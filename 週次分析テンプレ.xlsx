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9.xml" ContentType="application/vnd.ms-office.chartcolorstyle+xml"/>
  <Override PartName="/xl/charts/style4.xml" ContentType="application/vnd.ms-office.chartstyle+xml"/>
  <Override PartName="/xl/charts/colors8.xml" ContentType="application/vnd.ms-office.chartcolorstyle+xml"/>
  <Override PartName="/xl/charts/style3.xml" ContentType="application/vnd.ms-office.chart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style10.xml" ContentType="application/vnd.ms-office.chartstyle+xml"/>
  <Override PartName="/xl/charts/colors2.xml" ContentType="application/vnd.ms-office.chartcolor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colors3.xml" ContentType="application/vnd.ms-office.chartcolorstyle+xml"/>
  <Override PartName="/xl/charts/colors11.xml" ContentType="application/vnd.ms-office.chartcolorstyle+xml"/>
  <Override PartName="/xl/charts/style11.xml" ContentType="application/vnd.ms-office.chartstyle+xml"/>
  <Override PartName="/xl/charts/colors10.xml" ContentType="application/vnd.ms-office.chartcolorstyle+xml"/>
  <Override PartName="/xl/charts/colors12.xml" ContentType="application/vnd.ms-office.chartcolorstyle+xml"/>
  <Override PartName="/xl/charts/chart9.xml" ContentType="application/vnd.openxmlformats-officedocument.drawingml.chart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style12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9.xml" ContentType="application/vnd.ms-office.chartstyle+xml"/>
  <Override PartName="/xl/charts/style1.xml" ContentType="application/vnd.ms-office.chartstyle+xml"/>
  <Override PartName="/xl/charts/chart10.xml" ContentType="application/vnd.openxmlformats-officedocument.drawingml.chart+xml"/>
  <Override PartName="/xl/charts/style5.xml" ContentType="application/vnd.ms-office.chartstyle+xml"/>
  <Override PartName="/xl/charts/style8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7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ダッシュボード" sheetId="1" state="visible" r:id="rId3"/>
    <sheet name="日次入力" sheetId="2" state="visible" r:id="rId4"/>
    <sheet name="週次_媒体別CP" sheetId="3" state="visible" r:id="rId5"/>
    <sheet name="全体集計" sheetId="4" state="visible" r:id="rId6"/>
    <sheet name="用語集" sheetId="5" state="visible" r:id="rId7"/>
    <sheet name="使い方" sheetId="6" state="visible" r:id="rId8"/>
    <sheet name="推移データ" sheetId="7" state="visible" r:id="rId9"/>
    <sheet name="推移グラフ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<sst xmlns="http://schemas.openxmlformats.org/spreadsheetml/2006/main" count="2221" uniqueCount="255">
  <si>
    <t xml:space="preserve">介護校 マーケティング　週次分析ダッシュボード</t>
  </si>
  <si>
    <t xml:space="preserve">実測ベース立て直し版　／　数値の出どこ：スプレッドシート管理（手入力）　／　毎週「週次データ」タブに貼って更新</t>
  </si>
  <si>
    <t xml:space="preserve">① 目標設定（ここを編集／黄色セルが前提）</t>
  </si>
  <si>
    <r>
      <rPr>
        <sz val="11"/>
        <color rgb="FF1A1A2E"/>
        <rFont val="Noto Sans CJK SC"/>
        <family val="2"/>
      </rPr>
      <t xml:space="preserve">契約単価（</t>
    </r>
    <r>
      <rPr>
        <sz val="11"/>
        <color rgb="FF1A1A2E"/>
        <rFont val="DejaVu Sans"/>
        <family val="0"/>
        <charset val="134"/>
      </rPr>
      <t xml:space="preserve">FC</t>
    </r>
    <r>
      <rPr>
        <sz val="11"/>
        <color rgb="FF1A1A2E"/>
        <rFont val="Noto Sans CJK SC"/>
        <family val="2"/>
      </rPr>
      <t xml:space="preserve">取り分・円）</t>
    </r>
  </si>
  <si>
    <r>
      <rPr>
        <sz val="9"/>
        <color rgb="FF555555"/>
        <rFont val="Noto Sans CJK SC"/>
        <family val="2"/>
      </rPr>
      <t xml:space="preserve">←　</t>
    </r>
    <r>
      <rPr>
        <sz val="9"/>
        <color rgb="FF555555"/>
        <rFont val="DejaVu Sans"/>
        <family val="0"/>
        <charset val="134"/>
      </rPr>
      <t xml:space="preserve">1</t>
    </r>
    <r>
      <rPr>
        <sz val="9"/>
        <color rgb="FF555555"/>
        <rFont val="Noto Sans CJK SC"/>
        <family val="2"/>
      </rPr>
      <t xml:space="preserve">契約あたりの介護校売上</t>
    </r>
  </si>
  <si>
    <r>
      <rPr>
        <sz val="11"/>
        <color rgb="FF1A1A2E"/>
        <rFont val="Noto Sans CJK SC"/>
        <family val="2"/>
      </rPr>
      <t xml:space="preserve">許容</t>
    </r>
    <r>
      <rPr>
        <sz val="11"/>
        <color rgb="FF1A1A2E"/>
        <rFont val="DejaVu Sans"/>
        <family val="0"/>
        <charset val="134"/>
      </rPr>
      <t xml:space="preserve">CPA</t>
    </r>
    <r>
      <rPr>
        <sz val="11"/>
        <color rgb="FF1A1A2E"/>
        <rFont val="Noto Sans CJK SC"/>
        <family val="2"/>
      </rPr>
      <t xml:space="preserve">上限（円）</t>
    </r>
  </si>
  <si>
    <r>
      <rPr>
        <sz val="9"/>
        <color rgb="FF555555"/>
        <rFont val="Noto Sans CJK SC"/>
        <family val="2"/>
      </rPr>
      <t xml:space="preserve">←　</t>
    </r>
    <r>
      <rPr>
        <sz val="9"/>
        <color rgb="FF555555"/>
        <rFont val="DejaVu Sans"/>
        <family val="0"/>
        <charset val="134"/>
      </rPr>
      <t xml:space="preserve">1</t>
    </r>
    <r>
      <rPr>
        <sz val="9"/>
        <color rgb="FF555555"/>
        <rFont val="Noto Sans CJK SC"/>
        <family val="2"/>
      </rPr>
      <t xml:space="preserve">成約あたり広告費の上限ライン</t>
    </r>
  </si>
  <si>
    <r>
      <rPr>
        <sz val="11"/>
        <color rgb="FF1A1A2E"/>
        <rFont val="Noto Sans CJK SC"/>
        <family val="2"/>
      </rPr>
      <t xml:space="preserve">目標</t>
    </r>
    <r>
      <rPr>
        <sz val="11"/>
        <color rgb="FF1A1A2E"/>
        <rFont val="DejaVu Sans"/>
        <family val="0"/>
        <charset val="134"/>
      </rPr>
      <t xml:space="preserve">CPL</t>
    </r>
    <r>
      <rPr>
        <sz val="11"/>
        <color rgb="FF1A1A2E"/>
        <rFont val="Noto Sans CJK SC"/>
        <family val="2"/>
      </rPr>
      <t xml:space="preserve">（円）</t>
    </r>
  </si>
  <si>
    <t xml:space="preserve">目標 商談化率</t>
  </si>
  <si>
    <r>
      <rPr>
        <sz val="9"/>
        <color rgb="FF555555"/>
        <rFont val="Noto Sans CJK SC"/>
        <family val="2"/>
      </rPr>
      <t xml:space="preserve">←　第</t>
    </r>
    <r>
      <rPr>
        <sz val="9"/>
        <color rgb="FF555555"/>
        <rFont val="DejaVu Sans"/>
        <family val="0"/>
        <charset val="134"/>
      </rPr>
      <t xml:space="preserve">1</t>
    </r>
    <r>
      <rPr>
        <sz val="9"/>
        <color rgb="FF555555"/>
        <rFont val="Noto Sans CJK SC"/>
        <family val="2"/>
      </rPr>
      <t xml:space="preserve">段の目標（現状</t>
    </r>
    <r>
      <rPr>
        <sz val="9"/>
        <color rgb="FF555555"/>
        <rFont val="DejaVu Sans"/>
        <family val="0"/>
        <charset val="134"/>
      </rPr>
      <t xml:space="preserve">4%</t>
    </r>
    <r>
      <rPr>
        <sz val="9"/>
        <color rgb="FF555555"/>
        <rFont val="Noto Sans CJK SC"/>
        <family val="2"/>
      </rPr>
      <t xml:space="preserve">の</t>
    </r>
    <r>
      <rPr>
        <sz val="9"/>
        <color rgb="FF555555"/>
        <rFont val="DejaVu Sans"/>
        <family val="0"/>
        <charset val="134"/>
      </rPr>
      <t xml:space="preserve">2</t>
    </r>
    <r>
      <rPr>
        <sz val="9"/>
        <color rgb="FF555555"/>
        <rFont val="Noto Sans CJK SC"/>
        <family val="2"/>
      </rPr>
      <t xml:space="preserve">倍）</t>
    </r>
  </si>
  <si>
    <t xml:space="preserve">目標 成約率</t>
  </si>
  <si>
    <r>
      <rPr>
        <sz val="9"/>
        <color rgb="FF555555"/>
        <rFont val="Noto Sans CJK SC"/>
        <family val="2"/>
      </rPr>
      <t xml:space="preserve">←　第</t>
    </r>
    <r>
      <rPr>
        <sz val="9"/>
        <color rgb="FF555555"/>
        <rFont val="DejaVu Sans"/>
        <family val="0"/>
        <charset val="134"/>
      </rPr>
      <t xml:space="preserve">1</t>
    </r>
    <r>
      <rPr>
        <sz val="9"/>
        <color rgb="FF555555"/>
        <rFont val="Noto Sans CJK SC"/>
        <family val="2"/>
      </rPr>
      <t xml:space="preserve">段の目標（現状</t>
    </r>
    <r>
      <rPr>
        <sz val="9"/>
        <color rgb="FF555555"/>
        <rFont val="DejaVu Sans"/>
        <family val="0"/>
        <charset val="134"/>
      </rPr>
      <t xml:space="preserve">12%→</t>
    </r>
    <r>
      <rPr>
        <sz val="9"/>
        <color rgb="FF555555"/>
        <rFont val="Noto Sans CJK SC"/>
        <family val="2"/>
      </rPr>
      <t xml:space="preserve">）</t>
    </r>
  </si>
  <si>
    <t xml:space="preserve">目標 月予算（円）</t>
  </si>
  <si>
    <r>
      <rPr>
        <sz val="9"/>
        <color rgb="FF555555"/>
        <rFont val="Noto Sans CJK SC"/>
        <family val="2"/>
      </rPr>
      <t xml:space="preserve">←　現状</t>
    </r>
    <r>
      <rPr>
        <sz val="9"/>
        <color rgb="FF555555"/>
        <rFont val="DejaVu Sans"/>
        <family val="0"/>
        <charset val="134"/>
      </rPr>
      <t xml:space="preserve">75</t>
    </r>
    <r>
      <rPr>
        <sz val="9"/>
        <color rgb="FF555555"/>
        <rFont val="Noto Sans CJK SC"/>
        <family val="2"/>
      </rPr>
      <t xml:space="preserve">万から微増で運用</t>
    </r>
  </si>
  <si>
    <r>
      <rPr>
        <b val="true"/>
        <sz val="12"/>
        <color rgb="FFFFFFFF"/>
        <rFont val="Noto Sans CJK SC"/>
        <family val="2"/>
      </rPr>
      <t xml:space="preserve">② 現状（実測） </t>
    </r>
    <r>
      <rPr>
        <b val="true"/>
        <sz val="12"/>
        <color rgb="FFFFFFFF"/>
        <rFont val="DejaVu Sans"/>
        <family val="0"/>
        <charset val="134"/>
      </rPr>
      <t xml:space="preserve">vs </t>
    </r>
    <r>
      <rPr>
        <b val="true"/>
        <sz val="12"/>
        <color rgb="FFFFFFFF"/>
        <rFont val="Noto Sans CJK SC"/>
        <family val="2"/>
      </rPr>
      <t xml:space="preserve">目標（第</t>
    </r>
    <r>
      <rPr>
        <b val="true"/>
        <sz val="12"/>
        <color rgb="FFFFFFFF"/>
        <rFont val="DejaVu Sans"/>
        <family val="0"/>
        <charset val="134"/>
      </rPr>
      <t xml:space="preserve">1</t>
    </r>
    <r>
      <rPr>
        <b val="true"/>
        <sz val="12"/>
        <color rgb="FFFFFFFF"/>
        <rFont val="Noto Sans CJK SC"/>
        <family val="2"/>
      </rPr>
      <t xml:space="preserve">段）</t>
    </r>
  </si>
  <si>
    <t xml:space="preserve">指標</t>
  </si>
  <si>
    <t xml:space="preserve">現状（実測・月換算）</t>
  </si>
  <si>
    <r>
      <rPr>
        <b val="true"/>
        <sz val="11"/>
        <color rgb="FFFFFFFF"/>
        <rFont val="Noto Sans CJK SC"/>
        <family val="2"/>
      </rPr>
      <t xml:space="preserve">目標（第</t>
    </r>
    <r>
      <rPr>
        <b val="true"/>
        <sz val="11"/>
        <color rgb="FFFFFFFF"/>
        <rFont val="DejaVu Sans"/>
        <family val="0"/>
        <charset val="134"/>
      </rPr>
      <t xml:space="preserve">1</t>
    </r>
    <r>
      <rPr>
        <b val="true"/>
        <sz val="11"/>
        <color rgb="FFFFFFFF"/>
        <rFont val="Noto Sans CJK SC"/>
        <family val="2"/>
      </rPr>
      <t xml:space="preserve">段）</t>
    </r>
  </si>
  <si>
    <t xml:space="preserve">判定</t>
  </si>
  <si>
    <r>
      <rPr>
        <sz val="11"/>
        <color rgb="FF1A1A2E"/>
        <rFont val="Noto Sans CJK SC"/>
        <family val="2"/>
      </rPr>
      <t xml:space="preserve">広告費 </t>
    </r>
    <r>
      <rPr>
        <sz val="11"/>
        <color rgb="FF1A1A2E"/>
        <rFont val="DejaVu Sans"/>
        <family val="0"/>
        <charset val="134"/>
      </rPr>
      <t xml:space="preserve">/ </t>
    </r>
    <r>
      <rPr>
        <sz val="11"/>
        <color rgb="FF1A1A2E"/>
        <rFont val="Noto Sans CJK SC"/>
        <family val="2"/>
      </rPr>
      <t xml:space="preserve">月（円）</t>
    </r>
  </si>
  <si>
    <r>
      <rPr>
        <sz val="11"/>
        <color rgb="FF1A1A2E"/>
        <rFont val="DejaVu Sans"/>
        <family val="0"/>
        <charset val="1"/>
      </rPr>
      <t xml:space="preserve">CV</t>
    </r>
    <r>
      <rPr>
        <sz val="11"/>
        <color rgb="FF1A1A2E"/>
        <rFont val="Noto Sans CJK SC"/>
        <family val="2"/>
      </rPr>
      <t xml:space="preserve">（リード）</t>
    </r>
    <r>
      <rPr>
        <sz val="11"/>
        <color rgb="FF1A1A2E"/>
        <rFont val="DejaVu Sans"/>
        <family val="0"/>
        <charset val="1"/>
      </rPr>
      <t xml:space="preserve">/ </t>
    </r>
    <r>
      <rPr>
        <sz val="11"/>
        <color rgb="FF1A1A2E"/>
        <rFont val="Noto Sans CJK SC"/>
        <family val="2"/>
      </rPr>
      <t xml:space="preserve">月（件）</t>
    </r>
  </si>
  <si>
    <t xml:space="preserve">歩留まり（商談化率）</t>
  </si>
  <si>
    <r>
      <rPr>
        <sz val="11"/>
        <color rgb="FF1A1A2E"/>
        <rFont val="Noto Sans CJK SC"/>
        <family val="2"/>
      </rPr>
      <t xml:space="preserve">商談 </t>
    </r>
    <r>
      <rPr>
        <sz val="11"/>
        <color rgb="FF1A1A2E"/>
        <rFont val="DejaVu Sans"/>
        <family val="0"/>
        <charset val="134"/>
      </rPr>
      <t xml:space="preserve">/ </t>
    </r>
    <r>
      <rPr>
        <sz val="11"/>
        <color rgb="FF1A1A2E"/>
        <rFont val="Noto Sans CJK SC"/>
        <family val="2"/>
      </rPr>
      <t xml:space="preserve">月（件）</t>
    </r>
  </si>
  <si>
    <t xml:space="preserve">成約率</t>
  </si>
  <si>
    <r>
      <rPr>
        <sz val="11"/>
        <color rgb="FF1A1A2E"/>
        <rFont val="Noto Sans CJK SC"/>
        <family val="2"/>
      </rPr>
      <t xml:space="preserve">成約 </t>
    </r>
    <r>
      <rPr>
        <sz val="11"/>
        <color rgb="FF1A1A2E"/>
        <rFont val="DejaVu Sans"/>
        <family val="0"/>
        <charset val="134"/>
      </rPr>
      <t xml:space="preserve">/ </t>
    </r>
    <r>
      <rPr>
        <sz val="11"/>
        <color rgb="FF1A1A2E"/>
        <rFont val="Noto Sans CJK SC"/>
        <family val="2"/>
      </rPr>
      <t xml:space="preserve">月（件）</t>
    </r>
  </si>
  <si>
    <r>
      <rPr>
        <sz val="11"/>
        <color rgb="FF1A1A2E"/>
        <rFont val="Meiryo"/>
        <family val="0"/>
        <charset val="1"/>
      </rPr>
      <t xml:space="preserve">CPL</t>
    </r>
    <r>
      <rPr>
        <sz val="11"/>
        <color rgb="FF1A1A2E"/>
        <rFont val="Noto Sans CJK SC"/>
        <family val="2"/>
      </rPr>
      <t xml:space="preserve">（円）</t>
    </r>
  </si>
  <si>
    <r>
      <rPr>
        <sz val="11"/>
        <color rgb="FF1A1A2E"/>
        <rFont val="Meiryo"/>
        <family val="0"/>
        <charset val="1"/>
      </rPr>
      <t xml:space="preserve">1</t>
    </r>
    <r>
      <rPr>
        <sz val="11"/>
        <color rgb="FF1A1A2E"/>
        <rFont val="Noto Sans CJK SC"/>
        <family val="2"/>
      </rPr>
      <t xml:space="preserve">成約あたり広告費（円）</t>
    </r>
  </si>
  <si>
    <r>
      <rPr>
        <sz val="11"/>
        <color rgb="FF1A1A2E"/>
        <rFont val="Meiryo"/>
        <family val="0"/>
        <charset val="1"/>
      </rPr>
      <t xml:space="preserve">FC</t>
    </r>
    <r>
      <rPr>
        <sz val="11"/>
        <color rgb="FF1A1A2E"/>
        <rFont val="Noto Sans CJK SC"/>
        <family val="2"/>
      </rPr>
      <t xml:space="preserve">売上 </t>
    </r>
    <r>
      <rPr>
        <sz val="11"/>
        <color rgb="FF1A1A2E"/>
        <rFont val="Meiryo"/>
        <family val="0"/>
        <charset val="1"/>
      </rPr>
      <t xml:space="preserve">/ </t>
    </r>
    <r>
      <rPr>
        <sz val="11"/>
        <color rgb="FF1A1A2E"/>
        <rFont val="Noto Sans CJK SC"/>
        <family val="2"/>
      </rPr>
      <t xml:space="preserve">月（円）</t>
    </r>
  </si>
  <si>
    <r>
      <rPr>
        <sz val="11"/>
        <color rgb="FF1A1A2E"/>
        <rFont val="Noto Sans CJK SC"/>
        <family val="2"/>
      </rPr>
      <t xml:space="preserve">年</t>
    </r>
    <r>
      <rPr>
        <sz val="11"/>
        <color rgb="FF1A1A2E"/>
        <rFont val="DejaVu Sans"/>
        <family val="0"/>
        <charset val="134"/>
      </rPr>
      <t xml:space="preserve">FC</t>
    </r>
    <r>
      <rPr>
        <sz val="11"/>
        <color rgb="FF1A1A2E"/>
        <rFont val="Noto Sans CJK SC"/>
        <family val="2"/>
      </rPr>
      <t xml:space="preserve">売上（円）</t>
    </r>
  </si>
  <si>
    <r>
      <rPr>
        <sz val="9"/>
        <color rgb="FF555555"/>
        <rFont val="Noto Sans CJK SC"/>
        <family val="2"/>
      </rPr>
      <t xml:space="preserve">※「現状」列の青字（広告費・リード・商談化率・成約率）は実測値。ここを毎月の実数に更新すると全体が再計算されます。判定は ◎達成／△あと一歩</t>
    </r>
    <r>
      <rPr>
        <sz val="9"/>
        <color rgb="FF555555"/>
        <rFont val="DejaVu Sans"/>
        <family val="0"/>
        <charset val="134"/>
      </rPr>
      <t xml:space="preserve">(</t>
    </r>
    <r>
      <rPr>
        <sz val="9"/>
        <color rgb="FF555555"/>
        <rFont val="Noto Sans CJK SC"/>
        <family val="2"/>
      </rPr>
      <t xml:space="preserve">目標の</t>
    </r>
    <r>
      <rPr>
        <sz val="9"/>
        <color rgb="FF555555"/>
        <rFont val="DejaVu Sans"/>
        <family val="0"/>
        <charset val="134"/>
      </rPr>
      <t xml:space="preserve">75%</t>
    </r>
    <r>
      <rPr>
        <sz val="9"/>
        <color rgb="FF555555"/>
        <rFont val="Noto Sans CJK SC"/>
        <family val="2"/>
      </rPr>
      <t xml:space="preserve">以上</t>
    </r>
    <r>
      <rPr>
        <sz val="9"/>
        <color rgb="FF555555"/>
        <rFont val="DejaVu Sans"/>
        <family val="0"/>
        <charset val="134"/>
      </rPr>
      <t xml:space="preserve">)</t>
    </r>
    <r>
      <rPr>
        <sz val="9"/>
        <color rgb="FF555555"/>
        <rFont val="Noto Sans CJK SC"/>
        <family val="2"/>
      </rPr>
      <t xml:space="preserve">／✗未達。</t>
    </r>
    <r>
      <rPr>
        <sz val="9"/>
        <color rgb="FF555555"/>
        <rFont val="DejaVu Sans"/>
        <family val="0"/>
        <charset val="134"/>
      </rPr>
      <t xml:space="preserve">1</t>
    </r>
    <r>
      <rPr>
        <sz val="9"/>
        <color rgb="FF555555"/>
        <rFont val="Noto Sans CJK SC"/>
        <family val="2"/>
      </rPr>
      <t xml:space="preserve">成約あたり広告費は許容</t>
    </r>
    <r>
      <rPr>
        <sz val="9"/>
        <color rgb="FF555555"/>
        <rFont val="DejaVu Sans"/>
        <family val="0"/>
        <charset val="134"/>
      </rPr>
      <t xml:space="preserve">CPA</t>
    </r>
    <r>
      <rPr>
        <sz val="9"/>
        <color rgb="FF555555"/>
        <rFont val="Noto Sans CJK SC"/>
        <family val="2"/>
      </rPr>
      <t xml:space="preserve">基準で判定。</t>
    </r>
  </si>
  <si>
    <r>
      <rPr>
        <b val="true"/>
        <sz val="14"/>
        <color rgb="FFFFFFFF"/>
        <rFont val="Noto Sans CJK SC"/>
        <family val="2"/>
      </rPr>
      <t xml:space="preserve">日次入力（毎日</t>
    </r>
    <r>
      <rPr>
        <b val="true"/>
        <sz val="14"/>
        <color rgb="FFFFFFFF"/>
        <rFont val="Meiryo"/>
        <family val="0"/>
        <charset val="1"/>
      </rPr>
      <t xml:space="preserve">1</t>
    </r>
    <r>
      <rPr>
        <b val="true"/>
        <sz val="14"/>
        <color rgb="FFFFFFFF"/>
        <rFont val="Noto Sans CJK SC"/>
        <family val="2"/>
      </rPr>
      <t xml:space="preserve">行ずつ入力）</t>
    </r>
  </si>
  <si>
    <r>
      <rPr>
        <sz val="9"/>
        <color rgb="FFFFFFFF"/>
        <rFont val="Noto Sans CJK SC"/>
        <family val="2"/>
      </rPr>
      <t xml:space="preserve">日付・媒体・キャンペーンを選び、その日の数字を入力。媒体別</t>
    </r>
    <r>
      <rPr>
        <sz val="9"/>
        <color rgb="FFFFFFFF"/>
        <rFont val="Meiryo"/>
        <family val="0"/>
        <charset val="1"/>
      </rPr>
      <t xml:space="preserve">CP</t>
    </r>
    <r>
      <rPr>
        <sz val="9"/>
        <color rgb="FFFFFFFF"/>
        <rFont val="Noto Sans CJK SC"/>
        <family val="2"/>
      </rPr>
      <t xml:space="preserve">の</t>
    </r>
    <r>
      <rPr>
        <sz val="9"/>
        <color rgb="FFFFFFFF"/>
        <rFont val="Meiryo"/>
        <family val="0"/>
        <charset val="1"/>
      </rPr>
      <t xml:space="preserve">W10</t>
    </r>
    <r>
      <rPr>
        <sz val="9"/>
        <color rgb="FFFFFFFF"/>
        <rFont val="Noto Sans CJK SC"/>
        <family val="2"/>
      </rPr>
      <t xml:space="preserve">以降に自動集計。商談・成約は実施日で記録。</t>
    </r>
  </si>
  <si>
    <t xml:space="preserve">日付</t>
  </si>
  <si>
    <t xml:space="preserve">媒体</t>
  </si>
  <si>
    <t xml:space="preserve">キャンペーン</t>
  </si>
  <si>
    <t xml:space="preserve">消費金額</t>
  </si>
  <si>
    <t xml:space="preserve">IMP</t>
  </si>
  <si>
    <t xml:space="preserve">クリック</t>
  </si>
  <si>
    <t xml:space="preserve">CV</t>
  </si>
  <si>
    <t xml:space="preserve">商談</t>
  </si>
  <si>
    <t xml:space="preserve">成約</t>
  </si>
  <si>
    <t xml:space="preserve">Meta</t>
  </si>
  <si>
    <r>
      <rPr>
        <sz val="10"/>
        <color rgb="FF0000FF"/>
        <rFont val="Meiryo"/>
        <family val="0"/>
        <charset val="1"/>
      </rPr>
      <t xml:space="preserve">Meta</t>
    </r>
    <r>
      <rPr>
        <sz val="10"/>
        <color rgb="FF0000FF"/>
        <rFont val="Noto Sans CJK SC"/>
        <family val="2"/>
      </rPr>
      <t xml:space="preserve">ウェビナー</t>
    </r>
  </si>
  <si>
    <r>
      <rPr>
        <sz val="10"/>
        <color rgb="FF0000FF"/>
        <rFont val="Meiryo"/>
        <family val="0"/>
        <charset val="1"/>
      </rPr>
      <t xml:space="preserve">Meta</t>
    </r>
    <r>
      <rPr>
        <sz val="10"/>
        <color rgb="FF0000FF"/>
        <rFont val="Noto Sans CJK SC"/>
        <family val="2"/>
      </rPr>
      <t xml:space="preserve">介護校</t>
    </r>
  </si>
  <si>
    <t xml:space="preserve">MetaClaude</t>
  </si>
  <si>
    <r>
      <rPr>
        <b val="true"/>
        <sz val="14"/>
        <color rgb="FFFFFFFF"/>
        <rFont val="Noto Sans CJK SC"/>
        <family val="2"/>
      </rPr>
      <t xml:space="preserve">週次分析：媒体 </t>
    </r>
    <r>
      <rPr>
        <b val="true"/>
        <sz val="14"/>
        <color rgb="FFFFFFFF"/>
        <rFont val="Meiryo"/>
        <family val="0"/>
        <charset val="1"/>
      </rPr>
      <t xml:space="preserve">× </t>
    </r>
    <r>
      <rPr>
        <b val="true"/>
        <sz val="14"/>
        <color rgb="FFFFFFFF"/>
        <rFont val="Noto Sans CJK SC"/>
        <family val="2"/>
      </rPr>
      <t xml:space="preserve">キャンペーン別（表側＝時系列）</t>
    </r>
  </si>
  <si>
    <r>
      <rPr>
        <sz val="9"/>
        <color rgb="FFFFFFFF"/>
        <rFont val="Meiryo"/>
        <family val="0"/>
        <charset val="1"/>
      </rPr>
      <t xml:space="preserve">W1</t>
    </r>
    <r>
      <rPr>
        <sz val="9"/>
        <color rgb="FFFFFFFF"/>
        <rFont val="Noto Sans CJK SC"/>
        <family val="2"/>
      </rPr>
      <t xml:space="preserve">〜</t>
    </r>
    <r>
      <rPr>
        <sz val="9"/>
        <color rgb="FFFFFFFF"/>
        <rFont val="Meiryo"/>
        <family val="0"/>
        <charset val="1"/>
      </rPr>
      <t xml:space="preserve">W9</t>
    </r>
    <r>
      <rPr>
        <sz val="9"/>
        <color rgb="FFFFFFFF"/>
        <rFont val="Noto Sans CJK SC"/>
        <family val="2"/>
      </rPr>
      <t xml:space="preserve">は確定値。</t>
    </r>
    <r>
      <rPr>
        <sz val="9"/>
        <color rgb="FFFFFFFF"/>
        <rFont val="Meiryo"/>
        <family val="0"/>
        <charset val="1"/>
      </rPr>
      <t xml:space="preserve">W10</t>
    </r>
    <r>
      <rPr>
        <sz val="9"/>
        <color rgb="FFFFFFFF"/>
        <rFont val="Noto Sans CJK SC"/>
        <family val="2"/>
      </rPr>
      <t xml:space="preserve">以降（緑セル）は『日次入力』タブから自動集計。</t>
    </r>
    <r>
      <rPr>
        <sz val="9"/>
        <color rgb="FFFFFFFF"/>
        <rFont val="Meiryo"/>
        <family val="0"/>
        <charset val="1"/>
      </rPr>
      <t xml:space="preserve">CPM</t>
    </r>
    <r>
      <rPr>
        <sz val="9"/>
        <color rgb="FFFFFFFF"/>
        <rFont val="Noto Sans CJK SC"/>
        <family val="2"/>
      </rPr>
      <t xml:space="preserve">〜余裕倍率は自動計算。</t>
    </r>
  </si>
  <si>
    <r>
      <rPr>
        <b val="true"/>
        <sz val="11"/>
        <color rgb="FFFFFFFF"/>
        <rFont val="Noto Sans CJK SC"/>
        <family val="2"/>
      </rPr>
      <t xml:space="preserve">　</t>
    </r>
    <r>
      <rPr>
        <b val="true"/>
        <sz val="11"/>
        <color rgb="FFFFFFFF"/>
        <rFont val="Meiryo"/>
        <family val="0"/>
        <charset val="1"/>
      </rPr>
      <t xml:space="preserve">Meta </t>
    </r>
    <r>
      <rPr>
        <b val="true"/>
        <sz val="11"/>
        <color rgb="FFFFFFFF"/>
        <rFont val="Noto Sans CJK SC"/>
        <family val="2"/>
      </rPr>
      <t xml:space="preserve">／ ウェビナー告知用　（目標</t>
    </r>
    <r>
      <rPr>
        <b val="true"/>
        <sz val="11"/>
        <color rgb="FFFFFFFF"/>
        <rFont val="Meiryo"/>
        <family val="0"/>
        <charset val="1"/>
      </rPr>
      <t xml:space="preserve">CPL ¥3,000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</si>
  <si>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週</t>
  </si>
  <si>
    <t xml:space="preserve">期間</t>
  </si>
  <si>
    <t xml:space="preserve">CTR</t>
  </si>
  <si>
    <t xml:space="preserve">CPC</t>
  </si>
  <si>
    <t xml:space="preserve">CPM</t>
  </si>
  <si>
    <t xml:space="preserve">CVR</t>
  </si>
  <si>
    <t xml:space="preserve">CPL</t>
  </si>
  <si>
    <t xml:space="preserve">歩留まり</t>
  </si>
  <si>
    <r>
      <rPr>
        <b val="true"/>
        <sz val="9"/>
        <color rgb="FFFFFFFF"/>
        <rFont val="Meiryo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成約広告費</t>
    </r>
  </si>
  <si>
    <r>
      <rPr>
        <b val="true"/>
        <sz val="9"/>
        <color rgb="FFFFFFFF"/>
        <rFont val="Noto Sans CJK SC"/>
        <family val="2"/>
      </rPr>
      <t xml:space="preserve">対許容</t>
    </r>
    <r>
      <rPr>
        <b val="true"/>
        <sz val="9"/>
        <color rgb="FFFFFFFF"/>
        <rFont val="Meiryo"/>
        <family val="0"/>
        <charset val="1"/>
      </rPr>
      <t xml:space="preserve">CPA</t>
    </r>
  </si>
  <si>
    <t xml:space="preserve">余裕倍率</t>
  </si>
  <si>
    <t xml:space="preserve">W1</t>
  </si>
  <si>
    <t xml:space="preserve">4/7–4/13</t>
  </si>
  <si>
    <t xml:space="preserve">W2</t>
  </si>
  <si>
    <t xml:space="preserve">4/14–4/20</t>
  </si>
  <si>
    <t xml:space="preserve">W3</t>
  </si>
  <si>
    <t xml:space="preserve">4/21–4/27</t>
  </si>
  <si>
    <t xml:space="preserve">W4</t>
  </si>
  <si>
    <t xml:space="preserve">4/28–5/4</t>
  </si>
  <si>
    <t xml:space="preserve">配信なし</t>
  </si>
  <si>
    <t xml:space="preserve">W5</t>
  </si>
  <si>
    <t xml:space="preserve">5/5–5/11</t>
  </si>
  <si>
    <t xml:space="preserve">W6</t>
  </si>
  <si>
    <t xml:space="preserve">5/12–5/18</t>
  </si>
  <si>
    <t xml:space="preserve">W7</t>
  </si>
  <si>
    <t xml:space="preserve">5/19–5/25</t>
  </si>
  <si>
    <t xml:space="preserve">W8</t>
  </si>
  <si>
    <t xml:space="preserve">5/26–6/1</t>
  </si>
  <si>
    <t xml:space="preserve">W9</t>
  </si>
  <si>
    <t xml:space="preserve">6/2–6/8</t>
  </si>
  <si>
    <t xml:space="preserve">W10</t>
  </si>
  <si>
    <t xml:space="preserve">6/9–6/15</t>
  </si>
  <si>
    <t xml:space="preserve">W11</t>
  </si>
  <si>
    <t xml:space="preserve">6/16–6/22</t>
  </si>
  <si>
    <t xml:space="preserve">W12</t>
  </si>
  <si>
    <t xml:space="preserve">6/23–6/29</t>
  </si>
  <si>
    <t xml:space="preserve">W13</t>
  </si>
  <si>
    <t xml:space="preserve">6/30–7/6</t>
  </si>
  <si>
    <t xml:space="preserve">W14</t>
  </si>
  <si>
    <t xml:space="preserve">7/7–7/13</t>
  </si>
  <si>
    <t xml:space="preserve">W15</t>
  </si>
  <si>
    <t xml:space="preserve">7/14–7/20</t>
  </si>
  <si>
    <t xml:space="preserve">W16</t>
  </si>
  <si>
    <t xml:space="preserve">7/21–7/27</t>
  </si>
  <si>
    <t xml:space="preserve">W17</t>
  </si>
  <si>
    <t xml:space="preserve">7/28–8/3</t>
  </si>
  <si>
    <t xml:space="preserve">W18</t>
  </si>
  <si>
    <t xml:space="preserve">8/4–8/10</t>
  </si>
  <si>
    <t xml:space="preserve">W19</t>
  </si>
  <si>
    <t xml:space="preserve">8/11–8/17</t>
  </si>
  <si>
    <t xml:space="preserve">W20</t>
  </si>
  <si>
    <t xml:space="preserve">8/18–8/24</t>
  </si>
  <si>
    <t xml:space="preserve">W21</t>
  </si>
  <si>
    <t xml:space="preserve">8/25–8/31</t>
  </si>
  <si>
    <t xml:space="preserve">W22</t>
  </si>
  <si>
    <t xml:space="preserve">9/1–9/7</t>
  </si>
  <si>
    <t xml:space="preserve">W23</t>
  </si>
  <si>
    <t xml:space="preserve">9/8–9/14</t>
  </si>
  <si>
    <t xml:space="preserve">W24</t>
  </si>
  <si>
    <t xml:space="preserve">9/15–9/21</t>
  </si>
  <si>
    <t xml:space="preserve">W25</t>
  </si>
  <si>
    <t xml:space="preserve">9/22–9/28</t>
  </si>
  <si>
    <t xml:space="preserve">W26</t>
  </si>
  <si>
    <t xml:space="preserve">9/29–10/5</t>
  </si>
  <si>
    <t xml:space="preserve">W27</t>
  </si>
  <si>
    <t xml:space="preserve">10/6–10/12</t>
  </si>
  <si>
    <t xml:space="preserve">W28</t>
  </si>
  <si>
    <t xml:space="preserve">10/13–10/19</t>
  </si>
  <si>
    <t xml:space="preserve">W29</t>
  </si>
  <si>
    <t xml:space="preserve">10/20–10/26</t>
  </si>
  <si>
    <t xml:space="preserve">W30</t>
  </si>
  <si>
    <t xml:space="preserve">10/27–11/2</t>
  </si>
  <si>
    <t xml:space="preserve">W31</t>
  </si>
  <si>
    <t xml:space="preserve">11/3–11/9</t>
  </si>
  <si>
    <t xml:space="preserve">W32</t>
  </si>
  <si>
    <t xml:space="preserve">11/10–11/16</t>
  </si>
  <si>
    <t xml:space="preserve">W33</t>
  </si>
  <si>
    <t xml:space="preserve">11/17–11/23</t>
  </si>
  <si>
    <t xml:space="preserve">W34</t>
  </si>
  <si>
    <t xml:space="preserve">11/24–11/30</t>
  </si>
  <si>
    <t xml:space="preserve">W35</t>
  </si>
  <si>
    <t xml:space="preserve">12/1–12/7</t>
  </si>
  <si>
    <t xml:space="preserve">W36</t>
  </si>
  <si>
    <t xml:space="preserve">12/8–12/14</t>
  </si>
  <si>
    <t xml:space="preserve">W37</t>
  </si>
  <si>
    <t xml:space="preserve">12/15–12/21</t>
  </si>
  <si>
    <t xml:space="preserve">W38</t>
  </si>
  <si>
    <t xml:space="preserve">12/22–12/28</t>
  </si>
  <si>
    <t xml:space="preserve">W39</t>
  </si>
  <si>
    <t xml:space="preserve">12/29–1/4</t>
  </si>
  <si>
    <t xml:space="preserve">W40</t>
  </si>
  <si>
    <t xml:space="preserve">1/5–1/11</t>
  </si>
  <si>
    <t xml:space="preserve">W41</t>
  </si>
  <si>
    <t xml:space="preserve">1/12–1/18</t>
  </si>
  <si>
    <t xml:space="preserve">W42</t>
  </si>
  <si>
    <t xml:space="preserve">1/19–1/25</t>
  </si>
  <si>
    <t xml:space="preserve">W43</t>
  </si>
  <si>
    <t xml:space="preserve">1/26–2/1</t>
  </si>
  <si>
    <t xml:space="preserve">W44</t>
  </si>
  <si>
    <t xml:space="preserve">2/2–2/8</t>
  </si>
  <si>
    <t xml:space="preserve">W45</t>
  </si>
  <si>
    <t xml:space="preserve">2/9–2/15</t>
  </si>
  <si>
    <t xml:space="preserve">W46</t>
  </si>
  <si>
    <t xml:space="preserve">2/16–2/22</t>
  </si>
  <si>
    <t xml:space="preserve">W47</t>
  </si>
  <si>
    <t xml:space="preserve">2/23–3/1</t>
  </si>
  <si>
    <t xml:space="preserve">W48</t>
  </si>
  <si>
    <t xml:space="preserve">3/2–3/8</t>
  </si>
  <si>
    <t xml:space="preserve">W49</t>
  </si>
  <si>
    <t xml:space="preserve">3/9–3/15</t>
  </si>
  <si>
    <t xml:space="preserve">W50</t>
  </si>
  <si>
    <t xml:space="preserve">3/16–3/22</t>
  </si>
  <si>
    <t xml:space="preserve">W51</t>
  </si>
  <si>
    <t xml:space="preserve">3/23–3/29</t>
  </si>
  <si>
    <t xml:space="preserve">W52</t>
  </si>
  <si>
    <t xml:space="preserve">3/30–4/5</t>
  </si>
  <si>
    <t xml:space="preserve">合計</t>
  </si>
  <si>
    <r>
      <rPr>
        <b val="true"/>
        <sz val="11"/>
        <color rgb="FFFFFFFF"/>
        <rFont val="Noto Sans CJK SC"/>
        <family val="2"/>
      </rPr>
      <t xml:space="preserve">　</t>
    </r>
    <r>
      <rPr>
        <b val="true"/>
        <sz val="11"/>
        <color rgb="FFFFFFFF"/>
        <rFont val="Meiryo"/>
        <family val="0"/>
        <charset val="1"/>
      </rPr>
      <t xml:space="preserve">Meta </t>
    </r>
    <r>
      <rPr>
        <b val="true"/>
        <sz val="11"/>
        <color rgb="FFFFFFFF"/>
        <rFont val="Noto Sans CJK SC"/>
        <family val="2"/>
      </rPr>
      <t xml:space="preserve">／ 常設・介護校</t>
    </r>
    <r>
      <rPr>
        <b val="true"/>
        <sz val="11"/>
        <color rgb="FFFFFFFF"/>
        <rFont val="Meiryo"/>
        <family val="0"/>
        <charset val="1"/>
      </rPr>
      <t xml:space="preserve">LP</t>
    </r>
    <r>
      <rPr>
        <b val="true"/>
        <sz val="11"/>
        <color rgb="FFFFFFFF"/>
        <rFont val="Noto Sans CJK SC"/>
        <family val="2"/>
      </rPr>
      <t xml:space="preserve">　（目標</t>
    </r>
    <r>
      <rPr>
        <b val="true"/>
        <sz val="11"/>
        <color rgb="FFFFFFFF"/>
        <rFont val="Meiryo"/>
        <family val="0"/>
        <charset val="1"/>
      </rPr>
      <t xml:space="preserve">CPL ¥3,000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</si>
  <si>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　</t>
    </r>
    <r>
      <rPr>
        <b val="true"/>
        <sz val="11"/>
        <color rgb="FFFFFFFF"/>
        <rFont val="Meiryo"/>
        <family val="0"/>
        <charset val="1"/>
      </rPr>
      <t xml:space="preserve">Meta </t>
    </r>
    <r>
      <rPr>
        <b val="true"/>
        <sz val="11"/>
        <color rgb="FFFFFFFF"/>
        <rFont val="Noto Sans CJK SC"/>
        <family val="2"/>
      </rPr>
      <t xml:space="preserve">／ 常設・</t>
    </r>
    <r>
      <rPr>
        <b val="true"/>
        <sz val="11"/>
        <color rgb="FFFFFFFF"/>
        <rFont val="Meiryo"/>
        <family val="0"/>
        <charset val="1"/>
      </rPr>
      <t xml:space="preserve">ClaudeCode</t>
    </r>
    <r>
      <rPr>
        <b val="true"/>
        <sz val="11"/>
        <color rgb="FFFFFFFF"/>
        <rFont val="Noto Sans CJK SC"/>
        <family val="2"/>
      </rPr>
      <t xml:space="preserve">開発講座　（目標</t>
    </r>
    <r>
      <rPr>
        <b val="true"/>
        <sz val="11"/>
        <color rgb="FFFFFFFF"/>
        <rFont val="Meiryo"/>
        <family val="0"/>
        <charset val="1"/>
      </rPr>
      <t xml:space="preserve">CPL ¥3,000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</si>
  <si>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　</t>
    </r>
    <r>
      <rPr>
        <b val="true"/>
        <sz val="11"/>
        <color rgb="FFFFFFFF"/>
        <rFont val="Meiryo"/>
        <family val="0"/>
        <charset val="1"/>
      </rPr>
      <t xml:space="preserve">Google </t>
    </r>
    <r>
      <rPr>
        <b val="true"/>
        <sz val="11"/>
        <color rgb="FFFFFFFF"/>
        <rFont val="Noto Sans CJK SC"/>
        <family val="2"/>
      </rPr>
      <t xml:space="preserve">／ ウェビナー告知用　（目標</t>
    </r>
    <r>
      <rPr>
        <b val="true"/>
        <sz val="11"/>
        <color rgb="FFFFFFFF"/>
        <rFont val="Meiryo"/>
        <family val="0"/>
        <charset val="1"/>
      </rPr>
      <t xml:space="preserve">CPL ¥3,000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</si>
  <si>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　</t>
    </r>
    <r>
      <rPr>
        <b val="true"/>
        <sz val="11"/>
        <color rgb="FFFFFFFF"/>
        <rFont val="Meiryo"/>
        <family val="0"/>
        <charset val="1"/>
      </rPr>
      <t xml:space="preserve">Google </t>
    </r>
    <r>
      <rPr>
        <b val="true"/>
        <sz val="11"/>
        <color rgb="FFFFFFFF"/>
        <rFont val="Noto Sans CJK SC"/>
        <family val="2"/>
      </rPr>
      <t xml:space="preserve">／ 常設広告用　（目標</t>
    </r>
    <r>
      <rPr>
        <b val="true"/>
        <sz val="11"/>
        <color rgb="FFFFFFFF"/>
        <rFont val="Meiryo"/>
        <family val="0"/>
        <charset val="1"/>
      </rPr>
      <t xml:space="preserve">CPL ¥3,000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</si>
  <si>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　</t>
    </r>
    <r>
      <rPr>
        <b val="true"/>
        <sz val="11"/>
        <color rgb="FFFFFFFF"/>
        <rFont val="Meiryo"/>
        <family val="0"/>
        <charset val="1"/>
      </rPr>
      <t xml:space="preserve">LINE </t>
    </r>
    <r>
      <rPr>
        <b val="true"/>
        <sz val="11"/>
        <color rgb="FFFFFFFF"/>
        <rFont val="Noto Sans CJK SC"/>
        <family val="2"/>
      </rPr>
      <t xml:space="preserve">／ ウェビナー告知用　（目標</t>
    </r>
    <r>
      <rPr>
        <b val="true"/>
        <sz val="11"/>
        <color rgb="FFFFFFFF"/>
        <rFont val="Meiryo"/>
        <family val="0"/>
        <charset val="1"/>
      </rPr>
      <t xml:space="preserve">CPL ¥3,000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</si>
  <si>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　</t>
    </r>
    <r>
      <rPr>
        <b val="true"/>
        <sz val="11"/>
        <color rgb="FFFFFFFF"/>
        <rFont val="Meiryo"/>
        <family val="0"/>
        <charset val="1"/>
      </rPr>
      <t xml:space="preserve">LINE </t>
    </r>
    <r>
      <rPr>
        <b val="true"/>
        <sz val="11"/>
        <color rgb="FFFFFFFF"/>
        <rFont val="Noto Sans CJK SC"/>
        <family val="2"/>
      </rPr>
      <t xml:space="preserve">／ 常設広告用　（目標</t>
    </r>
    <r>
      <rPr>
        <b val="true"/>
        <sz val="11"/>
        <color rgb="FFFFFFFF"/>
        <rFont val="Meiryo"/>
        <family val="0"/>
        <charset val="1"/>
      </rPr>
      <t xml:space="preserve">CPL ¥3,000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</si>
  <si>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　広告外（紹介・オーガニック・展示会 等）　（広告費なし・</t>
    </r>
    <r>
      <rPr>
        <b val="true"/>
        <sz val="11"/>
        <color rgb="FFFFFFFF"/>
        <rFont val="Meiryo"/>
        <family val="0"/>
        <charset val="1"/>
      </rPr>
      <t xml:space="preserve">CV</t>
    </r>
    <r>
      <rPr>
        <b val="true"/>
        <sz val="11"/>
        <color rgb="FFFFFFFF"/>
        <rFont val="Noto Sans CJK SC"/>
        <family val="2"/>
      </rPr>
      <t xml:space="preserve">・商談・成約を入力）</t>
    </r>
  </si>
  <si>
    <t xml:space="preserve">開始前</t>
  </si>
  <si>
    <r>
      <rPr>
        <sz val="9"/>
        <color rgb="FF64748B"/>
        <rFont val="Noto Sans CJK SC"/>
        <family val="2"/>
      </rPr>
      <t xml:space="preserve">〜</t>
    </r>
    <r>
      <rPr>
        <sz val="9"/>
        <color rgb="FF64748B"/>
        <rFont val="Meiryo"/>
        <family val="0"/>
        <charset val="1"/>
      </rPr>
      <t xml:space="preserve">4/6</t>
    </r>
  </si>
  <si>
    <t xml:space="preserve">—</t>
  </si>
  <si>
    <t xml:space="preserve">全体集計（週次）── 広告ファネル（広告経由のみ） と 全体成果（広告＋広告外）</t>
  </si>
  <si>
    <r>
      <rPr>
        <sz val="9"/>
        <color rgb="FFFFFFFF"/>
        <rFont val="Noto Sans CJK SC"/>
        <family val="2"/>
      </rPr>
      <t xml:space="preserve">左＝広告経由のみ（商談化率・成約率・</t>
    </r>
    <r>
      <rPr>
        <sz val="9"/>
        <color rgb="FFFFFFFF"/>
        <rFont val="Meiryo"/>
        <family val="0"/>
        <charset val="1"/>
      </rPr>
      <t xml:space="preserve">CPL</t>
    </r>
    <r>
      <rPr>
        <sz val="9"/>
        <color rgb="FFFFFFFF"/>
        <rFont val="Noto Sans CJK SC"/>
        <family val="2"/>
      </rPr>
      <t xml:space="preserve">・広告</t>
    </r>
    <r>
      <rPr>
        <sz val="9"/>
        <color rgb="FFFFFFFF"/>
        <rFont val="Meiryo"/>
        <family val="0"/>
        <charset val="1"/>
      </rPr>
      <t xml:space="preserve">CPA</t>
    </r>
    <r>
      <rPr>
        <sz val="9"/>
        <color rgb="FFFFFFFF"/>
        <rFont val="Noto Sans CJK SC"/>
        <family val="2"/>
      </rPr>
      <t xml:space="preserve">は広告効率）／右＝広告＋広告外の総数（事業成果）。すべて媒体別シートから自動集計。</t>
    </r>
  </si>
  <si>
    <t xml:space="preserve">◀ 広告ファネル（広告経由のみ）</t>
  </si>
  <si>
    <t xml:space="preserve">全体成果（広告＋広告外）▶</t>
  </si>
  <si>
    <t xml:space="preserve">広告商談</t>
  </si>
  <si>
    <t xml:space="preserve">商談化率</t>
  </si>
  <si>
    <t xml:space="preserve">広告成約</t>
  </si>
  <si>
    <t xml:space="preserve">広告成約率</t>
  </si>
  <si>
    <r>
      <rPr>
        <b val="true"/>
        <sz val="9"/>
        <color rgb="FFFFFFFF"/>
        <rFont val="Noto Sans CJK SC"/>
        <family val="2"/>
      </rPr>
      <t xml:space="preserve">広告</t>
    </r>
    <r>
      <rPr>
        <b val="true"/>
        <sz val="9"/>
        <color rgb="FFFFFFFF"/>
        <rFont val="Meiryo"/>
        <family val="0"/>
        <charset val="1"/>
      </rPr>
      <t xml:space="preserve">CPA</t>
    </r>
  </si>
  <si>
    <t xml:space="preserve">広告外商談</t>
  </si>
  <si>
    <t xml:space="preserve">総商談</t>
  </si>
  <si>
    <t xml:space="preserve">広告外成約</t>
  </si>
  <si>
    <t xml:space="preserve">総成約</t>
  </si>
  <si>
    <t xml:space="preserve">総成約率</t>
  </si>
  <si>
    <t xml:space="preserve">累計</t>
  </si>
  <si>
    <r>
      <rPr>
        <sz val="9"/>
        <color rgb="FF64748B"/>
        <rFont val="Noto Sans CJK SC"/>
        <family val="2"/>
      </rPr>
      <t xml:space="preserve">※左ブロック（商談化率・成約率・</t>
    </r>
    <r>
      <rPr>
        <sz val="9"/>
        <color rgb="FF64748B"/>
        <rFont val="Meiryo"/>
        <family val="0"/>
        <charset val="1"/>
      </rPr>
      <t xml:space="preserve">CPL</t>
    </r>
    <r>
      <rPr>
        <sz val="9"/>
        <color rgb="FF64748B"/>
        <rFont val="Noto Sans CJK SC"/>
        <family val="2"/>
      </rPr>
      <t xml:space="preserve">・広告</t>
    </r>
    <r>
      <rPr>
        <sz val="9"/>
        <color rgb="FF64748B"/>
        <rFont val="Meiryo"/>
        <family val="0"/>
        <charset val="1"/>
      </rPr>
      <t xml:space="preserve">CPA</t>
    </r>
    <r>
      <rPr>
        <sz val="9"/>
        <color rgb="FF64748B"/>
        <rFont val="Noto Sans CJK SC"/>
        <family val="2"/>
      </rPr>
      <t xml:space="preserve">）は広告経由のみ＝目標と比較できる広告効率。右ブロックの総商談・総成約は「広告＋広告外」。広告</t>
    </r>
    <r>
      <rPr>
        <sz val="9"/>
        <color rgb="FF64748B"/>
        <rFont val="Meiryo"/>
        <family val="0"/>
        <charset val="1"/>
      </rPr>
      <t xml:space="preserve">CPA</t>
    </r>
    <r>
      <rPr>
        <sz val="9"/>
        <color rgb="FF64748B"/>
        <rFont val="Noto Sans CJK SC"/>
        <family val="2"/>
      </rPr>
      <t xml:space="preserve">＝広告費</t>
    </r>
    <r>
      <rPr>
        <sz val="9"/>
        <color rgb="FF64748B"/>
        <rFont val="Meiryo"/>
        <family val="0"/>
        <charset val="1"/>
      </rPr>
      <t xml:space="preserve">÷</t>
    </r>
    <r>
      <rPr>
        <sz val="9"/>
        <color rgb="FF64748B"/>
        <rFont val="Noto Sans CJK SC"/>
        <family val="2"/>
      </rPr>
      <t xml:space="preserve">広告成約。「開始前（〜</t>
    </r>
    <r>
      <rPr>
        <sz val="9"/>
        <color rgb="FF64748B"/>
        <rFont val="Meiryo"/>
        <family val="0"/>
        <charset val="1"/>
      </rPr>
      <t xml:space="preserve">4/6</t>
    </r>
    <r>
      <rPr>
        <sz val="9"/>
        <color rgb="FF64748B"/>
        <rFont val="Noto Sans CJK SC"/>
        <family val="2"/>
      </rPr>
      <t xml:space="preserve">）」は広告開始前に展示会・紹介・名刺で得た分を入れる行。レポート実測累計：商談</t>
    </r>
    <r>
      <rPr>
        <sz val="9"/>
        <color rgb="FF64748B"/>
        <rFont val="Meiryo"/>
        <family val="0"/>
        <charset val="1"/>
      </rPr>
      <t xml:space="preserve">14</t>
    </r>
    <r>
      <rPr>
        <sz val="9"/>
        <color rgb="FF64748B"/>
        <rFont val="Noto Sans CJK SC"/>
        <family val="2"/>
      </rPr>
      <t xml:space="preserve">件（</t>
    </r>
    <r>
      <rPr>
        <sz val="9"/>
        <color rgb="FF64748B"/>
        <rFont val="Meiryo"/>
        <family val="0"/>
        <charset val="1"/>
      </rPr>
      <t xml:space="preserve">W1</t>
    </r>
    <r>
      <rPr>
        <sz val="9"/>
        <color rgb="FF64748B"/>
        <rFont val="Noto Sans CJK SC"/>
        <family val="2"/>
      </rPr>
      <t xml:space="preserve">〜</t>
    </r>
    <r>
      <rPr>
        <sz val="9"/>
        <color rgb="FF64748B"/>
        <rFont val="Meiryo"/>
        <family val="0"/>
        <charset val="1"/>
      </rPr>
      <t xml:space="preserve">W7</t>
    </r>
    <r>
      <rPr>
        <sz val="9"/>
        <color rgb="FF64748B"/>
        <rFont val="Noto Sans CJK SC"/>
        <family val="2"/>
      </rPr>
      <t xml:space="preserve">）・成約</t>
    </r>
    <r>
      <rPr>
        <sz val="9"/>
        <color rgb="FF64748B"/>
        <rFont val="Meiryo"/>
        <family val="0"/>
        <charset val="1"/>
      </rPr>
      <t xml:space="preserve">1</t>
    </r>
    <r>
      <rPr>
        <sz val="9"/>
        <color rgb="FF64748B"/>
        <rFont val="Noto Sans CJK SC"/>
        <family val="2"/>
      </rPr>
      <t xml:space="preserve">件。</t>
    </r>
  </si>
  <si>
    <t xml:space="preserve">用語集（指標の定義）── レポートに準拠</t>
  </si>
  <si>
    <r>
      <rPr>
        <sz val="9"/>
        <color rgb="FF64748B"/>
        <rFont val="Noto Sans CJK SC"/>
        <family val="2"/>
      </rPr>
      <t xml:space="preserve">※末尾の『成約』『成約率』『</t>
    </r>
    <r>
      <rPr>
        <sz val="9"/>
        <color rgb="FF64748B"/>
        <rFont val="Meiryo"/>
        <family val="0"/>
        <charset val="1"/>
      </rPr>
      <t xml:space="preserve">1</t>
    </r>
    <r>
      <rPr>
        <sz val="9"/>
        <color rgb="FF64748B"/>
        <rFont val="Noto Sans CJK SC"/>
        <family val="2"/>
      </rPr>
      <t xml:space="preserve">成約あたり広告費』は、レポートの指標をその先（成約）まで拡張したもの。</t>
    </r>
  </si>
  <si>
    <r>
      <rPr>
        <b val="true"/>
        <sz val="11"/>
        <color rgb="FF1A1A2E"/>
        <rFont val="Meiryo"/>
        <family val="0"/>
        <charset val="1"/>
      </rPr>
      <t xml:space="preserve">IMP</t>
    </r>
    <r>
      <rPr>
        <b val="true"/>
        <sz val="11"/>
        <color rgb="FF1A1A2E"/>
        <rFont val="Noto Sans CJK SC"/>
        <family val="2"/>
      </rPr>
      <t xml:space="preserve">（インプレッション）</t>
    </r>
  </si>
  <si>
    <t xml:space="preserve">広告が表示された回数。</t>
  </si>
  <si>
    <t xml:space="preserve">クリック（リンククリック）</t>
  </si>
  <si>
    <t xml:space="preserve">広告がクリックされた回数。</t>
  </si>
  <si>
    <r>
      <rPr>
        <b val="true"/>
        <sz val="11"/>
        <color rgb="FF1A1A2E"/>
        <rFont val="Meiryo"/>
        <family val="0"/>
        <charset val="1"/>
      </rPr>
      <t xml:space="preserve">CV</t>
    </r>
    <r>
      <rPr>
        <b val="true"/>
        <sz val="11"/>
        <color rgb="FF1A1A2E"/>
        <rFont val="Noto Sans CJK SC"/>
        <family val="2"/>
      </rPr>
      <t xml:space="preserve">（コンバージョン）</t>
    </r>
  </si>
  <si>
    <t xml:space="preserve">成果。本レポートでは資料請求・申込などのリード獲得を指す。</t>
  </si>
  <si>
    <r>
      <rPr>
        <b val="true"/>
        <sz val="11"/>
        <color rgb="FF1A1A2E"/>
        <rFont val="Meiryo"/>
        <family val="0"/>
        <charset val="1"/>
      </rPr>
      <t xml:space="preserve">CTR</t>
    </r>
    <r>
      <rPr>
        <b val="true"/>
        <sz val="11"/>
        <color rgb="FF1A1A2E"/>
        <rFont val="Noto Sans CJK SC"/>
        <family val="2"/>
      </rPr>
      <t xml:space="preserve">（クリック率）</t>
    </r>
  </si>
  <si>
    <r>
      <rPr>
        <sz val="11"/>
        <color rgb="FF1A1A2E"/>
        <rFont val="Noto Sans CJK SC"/>
        <family val="2"/>
      </rPr>
      <t xml:space="preserve">＝クリック</t>
    </r>
    <r>
      <rPr>
        <sz val="11"/>
        <color rgb="FF1A1A2E"/>
        <rFont val="Meiryo"/>
        <family val="0"/>
        <charset val="1"/>
      </rPr>
      <t xml:space="preserve">÷IMP</t>
    </r>
    <r>
      <rPr>
        <sz val="11"/>
        <color rgb="FF1A1A2E"/>
        <rFont val="Noto Sans CJK SC"/>
        <family val="2"/>
      </rPr>
      <t xml:space="preserve">。表示に対しどれだけクリックされたか。</t>
    </r>
  </si>
  <si>
    <r>
      <rPr>
        <b val="true"/>
        <sz val="11"/>
        <color rgb="FF1A1A2E"/>
        <rFont val="Meiryo"/>
        <family val="0"/>
        <charset val="1"/>
      </rPr>
      <t xml:space="preserve">CPC</t>
    </r>
    <r>
      <rPr>
        <b val="true"/>
        <sz val="11"/>
        <color rgb="FF1A1A2E"/>
        <rFont val="Noto Sans CJK SC"/>
        <family val="2"/>
      </rPr>
      <t xml:space="preserve">（クリック単価）</t>
    </r>
  </si>
  <si>
    <r>
      <rPr>
        <sz val="11"/>
        <color rgb="FF1A1A2E"/>
        <rFont val="Noto Sans CJK SC"/>
        <family val="2"/>
      </rPr>
      <t xml:space="preserve">＝消費金額</t>
    </r>
    <r>
      <rPr>
        <sz val="11"/>
        <color rgb="FF1A1A2E"/>
        <rFont val="Meiryo"/>
        <family val="0"/>
        <charset val="1"/>
      </rPr>
      <t xml:space="preserve">÷</t>
    </r>
    <r>
      <rPr>
        <sz val="11"/>
        <color rgb="FF1A1A2E"/>
        <rFont val="Noto Sans CJK SC"/>
        <family val="2"/>
      </rPr>
      <t xml:space="preserve">クリック。</t>
    </r>
    <r>
      <rPr>
        <sz val="11"/>
        <color rgb="FF1A1A2E"/>
        <rFont val="Meiryo"/>
        <family val="0"/>
        <charset val="1"/>
      </rPr>
      <t xml:space="preserve">1</t>
    </r>
    <r>
      <rPr>
        <sz val="11"/>
        <color rgb="FF1A1A2E"/>
        <rFont val="Noto Sans CJK SC"/>
        <family val="2"/>
      </rPr>
      <t xml:space="preserve">クリックあたりの費用。</t>
    </r>
  </si>
  <si>
    <r>
      <rPr>
        <b val="true"/>
        <sz val="11"/>
        <color rgb="FF1A1A2E"/>
        <rFont val="Meiryo"/>
        <family val="0"/>
        <charset val="1"/>
      </rPr>
      <t xml:space="preserve">CPM</t>
    </r>
    <r>
      <rPr>
        <b val="true"/>
        <sz val="11"/>
        <color rgb="FF1A1A2E"/>
        <rFont val="Noto Sans CJK SC"/>
        <family val="2"/>
      </rPr>
      <t xml:space="preserve">（インプレッション単価）</t>
    </r>
  </si>
  <si>
    <r>
      <rPr>
        <sz val="11"/>
        <color rgb="FF1A1A2E"/>
        <rFont val="Noto Sans CJK SC"/>
        <family val="2"/>
      </rPr>
      <t xml:space="preserve">＝消費金額</t>
    </r>
    <r>
      <rPr>
        <sz val="11"/>
        <color rgb="FF1A1A2E"/>
        <rFont val="Meiryo"/>
        <family val="0"/>
        <charset val="1"/>
      </rPr>
      <t xml:space="preserve">÷IMP×1,000</t>
    </r>
    <r>
      <rPr>
        <sz val="11"/>
        <color rgb="FF1A1A2E"/>
        <rFont val="Noto Sans CJK SC"/>
        <family val="2"/>
      </rPr>
      <t xml:space="preserve">。広告を</t>
    </r>
    <r>
      <rPr>
        <sz val="11"/>
        <color rgb="FF1A1A2E"/>
        <rFont val="Meiryo"/>
        <family val="0"/>
        <charset val="1"/>
      </rPr>
      <t xml:space="preserve">1,000</t>
    </r>
    <r>
      <rPr>
        <sz val="11"/>
        <color rgb="FF1A1A2E"/>
        <rFont val="Noto Sans CJK SC"/>
        <family val="2"/>
      </rPr>
      <t xml:space="preserve">回表示する費用＝表示枠の</t>
    </r>
    <r>
      <rPr>
        <sz val="11"/>
        <color rgb="FF1A1A2E"/>
        <rFont val="Meiryo"/>
        <family val="0"/>
        <charset val="1"/>
      </rPr>
      <t xml:space="preserve">"</t>
    </r>
    <r>
      <rPr>
        <sz val="11"/>
        <color rgb="FF1A1A2E"/>
        <rFont val="Noto Sans CJK SC"/>
        <family val="2"/>
      </rPr>
      <t xml:space="preserve">仕入れ値</t>
    </r>
    <r>
      <rPr>
        <sz val="11"/>
        <color rgb="FF1A1A2E"/>
        <rFont val="Meiryo"/>
        <family val="0"/>
        <charset val="1"/>
      </rPr>
      <t xml:space="preserve">"</t>
    </r>
    <r>
      <rPr>
        <sz val="11"/>
        <color rgb="FF1A1A2E"/>
        <rFont val="Noto Sans CJK SC"/>
        <family val="2"/>
      </rPr>
      <t xml:space="preserve">。クリックや成約とは独立で、表示そのものの割高</t>
    </r>
    <r>
      <rPr>
        <sz val="11"/>
        <color rgb="FF1A1A2E"/>
        <rFont val="Meiryo"/>
        <family val="0"/>
        <charset val="1"/>
      </rPr>
      <t xml:space="preserve">/</t>
    </r>
    <r>
      <rPr>
        <sz val="11"/>
        <color rgb="FF1A1A2E"/>
        <rFont val="Noto Sans CJK SC"/>
        <family val="2"/>
      </rPr>
      <t xml:space="preserve">割安を表す。</t>
    </r>
  </si>
  <si>
    <r>
      <rPr>
        <b val="true"/>
        <sz val="11"/>
        <color rgb="FF1A1A2E"/>
        <rFont val="Meiryo"/>
        <family val="0"/>
        <charset val="1"/>
      </rPr>
      <t xml:space="preserve">CVR</t>
    </r>
    <r>
      <rPr>
        <b val="true"/>
        <sz val="11"/>
        <color rgb="FF1A1A2E"/>
        <rFont val="Noto Sans CJK SC"/>
        <family val="2"/>
      </rPr>
      <t xml:space="preserve">（コンバージョン率）</t>
    </r>
  </si>
  <si>
    <r>
      <rPr>
        <sz val="11"/>
        <color rgb="FF1A1A2E"/>
        <rFont val="Noto Sans CJK SC"/>
        <family val="2"/>
      </rPr>
      <t xml:space="preserve">＝</t>
    </r>
    <r>
      <rPr>
        <sz val="11"/>
        <color rgb="FF1A1A2E"/>
        <rFont val="Meiryo"/>
        <family val="0"/>
        <charset val="1"/>
      </rPr>
      <t xml:space="preserve">CV÷</t>
    </r>
    <r>
      <rPr>
        <sz val="11"/>
        <color rgb="FF1A1A2E"/>
        <rFont val="Noto Sans CJK SC"/>
        <family val="2"/>
      </rPr>
      <t xml:space="preserve">クリック。クリックがどれだけ成果につながったか。</t>
    </r>
  </si>
  <si>
    <r>
      <rPr>
        <b val="true"/>
        <sz val="11"/>
        <color rgb="FF1A1A2E"/>
        <rFont val="Meiryo"/>
        <family val="0"/>
        <charset val="1"/>
      </rPr>
      <t xml:space="preserve">CPL</t>
    </r>
    <r>
      <rPr>
        <b val="true"/>
        <sz val="11"/>
        <color rgb="FF1A1A2E"/>
        <rFont val="Noto Sans CJK SC"/>
        <family val="2"/>
      </rPr>
      <t xml:space="preserve">（リード獲得単価）</t>
    </r>
  </si>
  <si>
    <r>
      <rPr>
        <sz val="11"/>
        <color rgb="FF1A1A2E"/>
        <rFont val="Noto Sans CJK SC"/>
        <family val="2"/>
      </rPr>
      <t xml:space="preserve">＝消費金額</t>
    </r>
    <r>
      <rPr>
        <sz val="11"/>
        <color rgb="FF1A1A2E"/>
        <rFont val="Meiryo"/>
        <family val="0"/>
        <charset val="1"/>
      </rPr>
      <t xml:space="preserve">÷CV</t>
    </r>
    <r>
      <rPr>
        <sz val="11"/>
        <color rgb="FF1A1A2E"/>
        <rFont val="Noto Sans CJK SC"/>
        <family val="2"/>
      </rPr>
      <t xml:space="preserve">。</t>
    </r>
    <r>
      <rPr>
        <sz val="11"/>
        <color rgb="FF1A1A2E"/>
        <rFont val="Meiryo"/>
        <family val="0"/>
        <charset val="1"/>
      </rPr>
      <t xml:space="preserve">1</t>
    </r>
    <r>
      <rPr>
        <sz val="11"/>
        <color rgb="FF1A1A2E"/>
        <rFont val="Noto Sans CJK SC"/>
        <family val="2"/>
      </rPr>
      <t xml:space="preserve">件のリード獲得にかかった費用。</t>
    </r>
  </si>
  <si>
    <r>
      <rPr>
        <sz val="11"/>
        <color rgb="FF1A1A2E"/>
        <rFont val="Noto Sans CJK SC"/>
        <family val="2"/>
      </rPr>
      <t xml:space="preserve">＝許容</t>
    </r>
    <r>
      <rPr>
        <sz val="11"/>
        <color rgb="FF1A1A2E"/>
        <rFont val="Meiryo"/>
        <family val="0"/>
        <charset val="1"/>
      </rPr>
      <t xml:space="preserve">CPA÷1</t>
    </r>
    <r>
      <rPr>
        <sz val="11"/>
        <color rgb="FF1A1A2E"/>
        <rFont val="Noto Sans CJK SC"/>
        <family val="2"/>
      </rPr>
      <t xml:space="preserve">成約あたり広告費。</t>
    </r>
    <r>
      <rPr>
        <sz val="11"/>
        <color rgb="FF1A1A2E"/>
        <rFont val="Meiryo"/>
        <family val="0"/>
        <charset val="1"/>
      </rPr>
      <t xml:space="preserve">1.0</t>
    </r>
    <r>
      <rPr>
        <sz val="11"/>
        <color rgb="FF1A1A2E"/>
        <rFont val="Noto Sans CJK SC"/>
        <family val="2"/>
      </rPr>
      <t xml:space="preserve">超で成約コストが許容内＝余裕あり（大きいほど良い）。例：</t>
    </r>
    <r>
      <rPr>
        <sz val="11"/>
        <color rgb="FF1A1A2E"/>
        <rFont val="Meiryo"/>
        <family val="0"/>
        <charset val="1"/>
      </rPr>
      <t xml:space="preserve">1</t>
    </r>
    <r>
      <rPr>
        <sz val="11"/>
        <color rgb="FF1A1A2E"/>
        <rFont val="Noto Sans CJK SC"/>
        <family val="2"/>
      </rPr>
      <t xml:space="preserve">成約</t>
    </r>
    <r>
      <rPr>
        <sz val="11"/>
        <color rgb="FF1A1A2E"/>
        <rFont val="Meiryo"/>
        <family val="0"/>
        <charset val="1"/>
      </rPr>
      <t xml:space="preserve">¥171,000</t>
    </r>
    <r>
      <rPr>
        <sz val="11"/>
        <color rgb="FF1A1A2E"/>
        <rFont val="Noto Sans CJK SC"/>
        <family val="2"/>
      </rPr>
      <t xml:space="preserve">なら</t>
    </r>
    <r>
      <rPr>
        <sz val="11"/>
        <color rgb="FF1A1A2E"/>
        <rFont val="Meiryo"/>
        <family val="0"/>
        <charset val="1"/>
      </rPr>
      <t xml:space="preserve">307,000÷171,000</t>
    </r>
    <r>
      <rPr>
        <sz val="11"/>
        <color rgb="FF1A1A2E"/>
        <rFont val="Noto Sans CJK SC"/>
        <family val="2"/>
      </rPr>
      <t xml:space="preserve">＝</t>
    </r>
    <r>
      <rPr>
        <sz val="11"/>
        <color rgb="FF1A1A2E"/>
        <rFont val="Meiryo"/>
        <family val="0"/>
        <charset val="1"/>
      </rPr>
      <t xml:space="preserve">1.8</t>
    </r>
    <r>
      <rPr>
        <sz val="11"/>
        <color rgb="FF1A1A2E"/>
        <rFont val="Noto Sans CJK SC"/>
        <family val="2"/>
      </rPr>
      <t xml:space="preserve">倍。</t>
    </r>
  </si>
  <si>
    <t xml:space="preserve">フリークエンシー</t>
  </si>
  <si>
    <r>
      <rPr>
        <sz val="11"/>
        <color rgb="FF1A1A2E"/>
        <rFont val="Noto Sans CJK SC"/>
        <family val="2"/>
      </rPr>
      <t xml:space="preserve">＝</t>
    </r>
    <r>
      <rPr>
        <sz val="11"/>
        <color rgb="FF1A1A2E"/>
        <rFont val="Meiryo"/>
        <family val="0"/>
        <charset val="1"/>
      </rPr>
      <t xml:space="preserve">IMP÷</t>
    </r>
    <r>
      <rPr>
        <sz val="11"/>
        <color rgb="FF1A1A2E"/>
        <rFont val="Noto Sans CJK SC"/>
        <family val="2"/>
      </rPr>
      <t xml:space="preserve">リーチ（到達人数）。</t>
    </r>
    <r>
      <rPr>
        <sz val="11"/>
        <color rgb="FF1A1A2E"/>
        <rFont val="Meiryo"/>
        <family val="0"/>
        <charset val="1"/>
      </rPr>
      <t xml:space="preserve">1</t>
    </r>
    <r>
      <rPr>
        <sz val="11"/>
        <color rgb="FF1A1A2E"/>
        <rFont val="Noto Sans CJK SC"/>
        <family val="2"/>
      </rPr>
      <t xml:space="preserve">人あたり平均で広告を何回見たか。高い（週</t>
    </r>
    <r>
      <rPr>
        <sz val="11"/>
        <color rgb="FF1A1A2E"/>
        <rFont val="Meiryo"/>
        <family val="0"/>
        <charset val="1"/>
      </rPr>
      <t xml:space="preserve">3</t>
    </r>
    <r>
      <rPr>
        <sz val="11"/>
        <color rgb="FF1A1A2E"/>
        <rFont val="Noto Sans CJK SC"/>
        <family val="2"/>
      </rPr>
      <t xml:space="preserve">〜</t>
    </r>
    <r>
      <rPr>
        <sz val="11"/>
        <color rgb="FF1A1A2E"/>
        <rFont val="Meiryo"/>
        <family val="0"/>
        <charset val="1"/>
      </rPr>
      <t xml:space="preserve">4</t>
    </r>
    <r>
      <rPr>
        <sz val="11"/>
        <color rgb="FF1A1A2E"/>
        <rFont val="Noto Sans CJK SC"/>
        <family val="2"/>
      </rPr>
      <t xml:space="preserve">回超）と疲弊のサイン。</t>
    </r>
  </si>
  <si>
    <t xml:space="preserve">商談（個別相談実施数）</t>
  </si>
  <si>
    <r>
      <rPr>
        <sz val="11"/>
        <color rgb="FF1A1A2E"/>
        <rFont val="Noto Sans CJK SC"/>
        <family val="2"/>
      </rPr>
      <t xml:space="preserve">実施日基準。</t>
    </r>
    <r>
      <rPr>
        <sz val="11"/>
        <color rgb="FF1A1A2E"/>
        <rFont val="Meiryo"/>
        <family val="0"/>
        <charset val="1"/>
      </rPr>
      <t xml:space="preserve">Web</t>
    </r>
    <r>
      <rPr>
        <sz val="11"/>
        <color rgb="FF1A1A2E"/>
        <rFont val="Noto Sans CJK SC"/>
        <family val="2"/>
      </rPr>
      <t xml:space="preserve">会議など個別相談を実施した件数。</t>
    </r>
  </si>
  <si>
    <r>
      <rPr>
        <sz val="11"/>
        <color rgb="FF1A1A2E"/>
        <rFont val="Noto Sans CJK SC"/>
        <family val="2"/>
      </rPr>
      <t xml:space="preserve">＝商談数</t>
    </r>
    <r>
      <rPr>
        <sz val="11"/>
        <color rgb="FF1A1A2E"/>
        <rFont val="Meiryo"/>
        <family val="0"/>
        <charset val="1"/>
      </rPr>
      <t xml:space="preserve">÷CV</t>
    </r>
    <r>
      <rPr>
        <sz val="11"/>
        <color rgb="FF1A1A2E"/>
        <rFont val="Noto Sans CJK SC"/>
        <family val="2"/>
      </rPr>
      <t xml:space="preserve">。リード→商談への転換率。</t>
    </r>
  </si>
  <si>
    <t xml:space="preserve">成約（法人契約）</t>
  </si>
  <si>
    <t xml:space="preserve">契約に至った件数。リードタイムが長いため実施から遅れて確定する。</t>
  </si>
  <si>
    <r>
      <rPr>
        <sz val="11"/>
        <color rgb="FF1A1A2E"/>
        <rFont val="Noto Sans CJK SC"/>
        <family val="2"/>
      </rPr>
      <t xml:space="preserve">＝成約</t>
    </r>
    <r>
      <rPr>
        <sz val="11"/>
        <color rgb="FF1A1A2E"/>
        <rFont val="Meiryo"/>
        <family val="0"/>
        <charset val="1"/>
      </rPr>
      <t xml:space="preserve">÷</t>
    </r>
    <r>
      <rPr>
        <sz val="11"/>
        <color rgb="FF1A1A2E"/>
        <rFont val="Noto Sans CJK SC"/>
        <family val="2"/>
      </rPr>
      <t xml:space="preserve">商談。商談→成約への転換率。</t>
    </r>
  </si>
  <si>
    <r>
      <rPr>
        <b val="true"/>
        <sz val="11"/>
        <color rgb="FF1A1A2E"/>
        <rFont val="Meiryo"/>
        <family val="0"/>
        <charset val="1"/>
      </rPr>
      <t xml:space="preserve">1</t>
    </r>
    <r>
      <rPr>
        <b val="true"/>
        <sz val="11"/>
        <color rgb="FF1A1A2E"/>
        <rFont val="Noto Sans CJK SC"/>
        <family val="2"/>
      </rPr>
      <t xml:space="preserve">成約あたり広告費</t>
    </r>
  </si>
  <si>
    <r>
      <rPr>
        <sz val="11"/>
        <color rgb="FF1A1A2E"/>
        <rFont val="Noto Sans CJK SC"/>
        <family val="2"/>
      </rPr>
      <t xml:space="preserve">＝消費金額</t>
    </r>
    <r>
      <rPr>
        <sz val="11"/>
        <color rgb="FF1A1A2E"/>
        <rFont val="Meiryo"/>
        <family val="0"/>
        <charset val="1"/>
      </rPr>
      <t xml:space="preserve">÷</t>
    </r>
    <r>
      <rPr>
        <sz val="11"/>
        <color rgb="FF1A1A2E"/>
        <rFont val="Noto Sans CJK SC"/>
        <family val="2"/>
      </rPr>
      <t xml:space="preserve">成約。</t>
    </r>
    <r>
      <rPr>
        <sz val="11"/>
        <color rgb="FF1A1A2E"/>
        <rFont val="Meiryo"/>
        <family val="0"/>
        <charset val="1"/>
      </rPr>
      <t xml:space="preserve">1</t>
    </r>
    <r>
      <rPr>
        <sz val="11"/>
        <color rgb="FF1A1A2E"/>
        <rFont val="Noto Sans CJK SC"/>
        <family val="2"/>
      </rPr>
      <t xml:space="preserve">件の契約獲得にかかった広告費。許容</t>
    </r>
    <r>
      <rPr>
        <sz val="11"/>
        <color rgb="FF1A1A2E"/>
        <rFont val="Meiryo"/>
        <family val="0"/>
        <charset val="1"/>
      </rPr>
      <t xml:space="preserve">CPA</t>
    </r>
    <r>
      <rPr>
        <sz val="11"/>
        <color rgb="FF1A1A2E"/>
        <rFont val="Noto Sans CJK SC"/>
        <family val="2"/>
      </rPr>
      <t xml:space="preserve">上限と比較する。</t>
    </r>
  </si>
  <si>
    <t xml:space="preserve">分解の関係式</t>
  </si>
  <si>
    <r>
      <rPr>
        <sz val="11"/>
        <color rgb="FF1A1A2E"/>
        <rFont val="Meiryo"/>
        <family val="0"/>
        <charset val="1"/>
      </rPr>
      <t xml:space="preserve">CPL</t>
    </r>
    <r>
      <rPr>
        <sz val="11"/>
        <color rgb="FF1A1A2E"/>
        <rFont val="Noto Sans CJK SC"/>
        <family val="2"/>
      </rPr>
      <t xml:space="preserve">＝</t>
    </r>
    <r>
      <rPr>
        <sz val="11"/>
        <color rgb="FF1A1A2E"/>
        <rFont val="Meiryo"/>
        <family val="0"/>
        <charset val="1"/>
      </rPr>
      <t xml:space="preserve">CPM÷</t>
    </r>
    <r>
      <rPr>
        <sz val="11"/>
        <color rgb="FF1A1A2E"/>
        <rFont val="Noto Sans CJK SC"/>
        <family val="2"/>
      </rPr>
      <t xml:space="preserve">（</t>
    </r>
    <r>
      <rPr>
        <sz val="11"/>
        <color rgb="FF1A1A2E"/>
        <rFont val="Meiryo"/>
        <family val="0"/>
        <charset val="1"/>
      </rPr>
      <t xml:space="preserve">CTR×CVR</t>
    </r>
    <r>
      <rPr>
        <sz val="11"/>
        <color rgb="FF1A1A2E"/>
        <rFont val="Noto Sans CJK SC"/>
        <family val="2"/>
      </rPr>
      <t xml:space="preserve">）。</t>
    </r>
    <r>
      <rPr>
        <sz val="11"/>
        <color rgb="FF1A1A2E"/>
        <rFont val="Meiryo"/>
        <family val="0"/>
        <charset val="1"/>
      </rPr>
      <t xml:space="preserve">CPL</t>
    </r>
    <r>
      <rPr>
        <sz val="11"/>
        <color rgb="FF1A1A2E"/>
        <rFont val="Noto Sans CJK SC"/>
        <family val="2"/>
      </rPr>
      <t xml:space="preserve">の増減は</t>
    </r>
    <r>
      <rPr>
        <sz val="11"/>
        <color rgb="FF1A1A2E"/>
        <rFont val="Meiryo"/>
        <family val="0"/>
        <charset val="1"/>
      </rPr>
      <t xml:space="preserve">CPM</t>
    </r>
    <r>
      <rPr>
        <sz val="11"/>
        <color rgb="FF1A1A2E"/>
        <rFont val="Noto Sans CJK SC"/>
        <family val="2"/>
      </rPr>
      <t xml:space="preserve">・</t>
    </r>
    <r>
      <rPr>
        <sz val="11"/>
        <color rgb="FF1A1A2E"/>
        <rFont val="Meiryo"/>
        <family val="0"/>
        <charset val="1"/>
      </rPr>
      <t xml:space="preserve">CTR</t>
    </r>
    <r>
      <rPr>
        <sz val="11"/>
        <color rgb="FF1A1A2E"/>
        <rFont val="Noto Sans CJK SC"/>
        <family val="2"/>
      </rPr>
      <t xml:space="preserve">・</t>
    </r>
    <r>
      <rPr>
        <sz val="11"/>
        <color rgb="FF1A1A2E"/>
        <rFont val="Meiryo"/>
        <family val="0"/>
        <charset val="1"/>
      </rPr>
      <t xml:space="preserve">CVR</t>
    </r>
    <r>
      <rPr>
        <sz val="11"/>
        <color rgb="FF1A1A2E"/>
        <rFont val="Noto Sans CJK SC"/>
        <family val="2"/>
      </rPr>
      <t xml:space="preserve">のどれが動いたかに分解できる。</t>
    </r>
  </si>
  <si>
    <t xml:space="preserve">その他の目標値</t>
  </si>
  <si>
    <r>
      <rPr>
        <sz val="11"/>
        <color rgb="FF1A1A2E"/>
        <rFont val="Meiryo"/>
        <family val="0"/>
        <charset val="1"/>
      </rPr>
      <t xml:space="preserve">1</t>
    </r>
    <r>
      <rPr>
        <sz val="11"/>
        <color rgb="FF1A1A2E"/>
        <rFont val="Noto Sans CJK SC"/>
        <family val="2"/>
      </rPr>
      <t xml:space="preserve">契約あたり広告予算上限（許容</t>
    </r>
    <r>
      <rPr>
        <sz val="11"/>
        <color rgb="FF1A1A2E"/>
        <rFont val="Meiryo"/>
        <family val="0"/>
        <charset val="1"/>
      </rPr>
      <t xml:space="preserve">CPA</t>
    </r>
    <r>
      <rPr>
        <sz val="11"/>
        <color rgb="FF1A1A2E"/>
        <rFont val="Noto Sans CJK SC"/>
        <family val="2"/>
      </rPr>
      <t xml:space="preserve">）</t>
    </r>
    <r>
      <rPr>
        <sz val="11"/>
        <color rgb="FF1A1A2E"/>
        <rFont val="Meiryo"/>
        <family val="0"/>
        <charset val="1"/>
      </rPr>
      <t xml:space="preserve">¥307,000</t>
    </r>
    <r>
      <rPr>
        <sz val="11"/>
        <color rgb="FF1A1A2E"/>
        <rFont val="Noto Sans CJK SC"/>
        <family val="2"/>
      </rPr>
      <t xml:space="preserve">／平均</t>
    </r>
    <r>
      <rPr>
        <sz val="11"/>
        <color rgb="FF1A1A2E"/>
        <rFont val="Meiryo"/>
        <family val="0"/>
        <charset val="1"/>
      </rPr>
      <t xml:space="preserve">FC</t>
    </r>
    <r>
      <rPr>
        <sz val="11"/>
        <color rgb="FF1A1A2E"/>
        <rFont val="Noto Sans CJK SC"/>
        <family val="2"/>
      </rPr>
      <t xml:space="preserve">入金</t>
    </r>
    <r>
      <rPr>
        <sz val="11"/>
        <color rgb="FF1A1A2E"/>
        <rFont val="Meiryo"/>
        <family val="0"/>
        <charset val="1"/>
      </rPr>
      <t xml:space="preserve">¥1,006,399</t>
    </r>
    <r>
      <rPr>
        <sz val="11"/>
        <color rgb="FF1A1A2E"/>
        <rFont val="Noto Sans CJK SC"/>
        <family val="2"/>
      </rPr>
      <t xml:space="preserve">。</t>
    </r>
  </si>
  <si>
    <r>
      <rPr>
        <b val="true"/>
        <sz val="11"/>
        <color rgb="FF1A1A2E"/>
        <rFont val="Noto Sans CJK SC"/>
        <family val="2"/>
      </rPr>
      <t xml:space="preserve">目標</t>
    </r>
    <r>
      <rPr>
        <b val="true"/>
        <sz val="11"/>
        <color rgb="FF1A1A2E"/>
        <rFont val="Meiryo"/>
        <family val="0"/>
        <charset val="1"/>
      </rPr>
      <t xml:space="preserve">CPL</t>
    </r>
    <r>
      <rPr>
        <b val="true"/>
        <sz val="11"/>
        <color rgb="FF1A1A2E"/>
        <rFont val="Noto Sans CJK SC"/>
        <family val="2"/>
      </rPr>
      <t xml:space="preserve">（計画・全体）</t>
    </r>
  </si>
  <si>
    <r>
      <rPr>
        <b val="true"/>
        <sz val="11"/>
        <color rgb="FF1A1A2E"/>
        <rFont val="Noto Sans CJK SC"/>
        <family val="2"/>
      </rPr>
      <t xml:space="preserve">許容</t>
    </r>
    <r>
      <rPr>
        <b val="true"/>
        <sz val="11"/>
        <color rgb="FF1A1A2E"/>
        <rFont val="Meiryo"/>
        <family val="0"/>
        <charset val="1"/>
      </rPr>
      <t xml:space="preserve">CPA</t>
    </r>
    <r>
      <rPr>
        <b val="true"/>
        <sz val="11"/>
        <color rgb="FF1A1A2E"/>
        <rFont val="Noto Sans CJK SC"/>
        <family val="2"/>
      </rPr>
      <t xml:space="preserve">上限（円）</t>
    </r>
  </si>
  <si>
    <r>
      <rPr>
        <b val="true"/>
        <sz val="11"/>
        <color rgb="FF1A1A2E"/>
        <rFont val="Noto Sans CJK SC"/>
        <family val="2"/>
      </rPr>
      <t xml:space="preserve">契約単価（</t>
    </r>
    <r>
      <rPr>
        <b val="true"/>
        <sz val="11"/>
        <color rgb="FF1A1A2E"/>
        <rFont val="Meiryo"/>
        <family val="0"/>
        <charset val="1"/>
      </rPr>
      <t xml:space="preserve">FC</t>
    </r>
    <r>
      <rPr>
        <b val="true"/>
        <sz val="11"/>
        <color rgb="FF1A1A2E"/>
        <rFont val="Noto Sans CJK SC"/>
        <family val="2"/>
      </rPr>
      <t xml:space="preserve">取り分・円）</t>
    </r>
  </si>
  <si>
    <t xml:space="preserve">介護校 週次分析テンプレ ─ 使い方</t>
  </si>
  <si>
    <r>
      <rPr>
        <b val="true"/>
        <sz val="12"/>
        <color rgb="FFFFFFFF"/>
        <rFont val="Noto Sans CJK SC"/>
        <family val="2"/>
      </rPr>
      <t xml:space="preserve">【毎週やること（</t>
    </r>
    <r>
      <rPr>
        <b val="true"/>
        <sz val="12"/>
        <color rgb="FFFFFFFF"/>
        <rFont val="DejaVu Sans"/>
        <family val="0"/>
        <charset val="134"/>
      </rPr>
      <t xml:space="preserve">5</t>
    </r>
    <r>
      <rPr>
        <b val="true"/>
        <sz val="12"/>
        <color rgb="FFFFFFFF"/>
        <rFont val="Noto Sans CJK SC"/>
        <family val="2"/>
      </rPr>
      <t xml:space="preserve">ステップ）】</t>
    </r>
  </si>
  <si>
    <r>
      <rPr>
        <sz val="11"/>
        <color rgb="FF1A1A2E"/>
        <rFont val="Meiryo"/>
        <family val="0"/>
        <charset val="1"/>
      </rPr>
      <t xml:space="preserve">1. </t>
    </r>
    <r>
      <rPr>
        <sz val="11"/>
        <color rgb="FF1A1A2E"/>
        <rFont val="Noto Sans CJK SC"/>
        <family val="2"/>
      </rPr>
      <t xml:space="preserve">入力：「週次</t>
    </r>
    <r>
      <rPr>
        <sz val="11"/>
        <color rgb="FF1A1A2E"/>
        <rFont val="Meiryo"/>
        <family val="0"/>
        <charset val="1"/>
      </rPr>
      <t xml:space="preserve">_</t>
    </r>
    <r>
      <rPr>
        <sz val="11"/>
        <color rgb="FF1A1A2E"/>
        <rFont val="Noto Sans CJK SC"/>
        <family val="2"/>
      </rPr>
      <t xml:space="preserve">媒体別</t>
    </r>
    <r>
      <rPr>
        <sz val="11"/>
        <color rgb="FF1A1A2E"/>
        <rFont val="Meiryo"/>
        <family val="0"/>
        <charset val="1"/>
      </rPr>
      <t xml:space="preserve">CP</t>
    </r>
    <r>
      <rPr>
        <sz val="11"/>
        <color rgb="FF1A1A2E"/>
        <rFont val="Noto Sans CJK SC"/>
        <family val="2"/>
      </rPr>
      <t xml:space="preserve">」タブの新しい行に、その週の 広告費・</t>
    </r>
    <r>
      <rPr>
        <sz val="11"/>
        <color rgb="FF1A1A2E"/>
        <rFont val="Meiryo"/>
        <family val="0"/>
        <charset val="1"/>
      </rPr>
      <t xml:space="preserve">LP</t>
    </r>
    <r>
      <rPr>
        <sz val="11"/>
        <color rgb="FF1A1A2E"/>
        <rFont val="Noto Sans CJK SC"/>
        <family val="2"/>
      </rPr>
      <t xml:space="preserve">訪問</t>
    </r>
    <r>
      <rPr>
        <sz val="11"/>
        <color rgb="FF1A1A2E"/>
        <rFont val="Meiryo"/>
        <family val="0"/>
        <charset val="1"/>
      </rPr>
      <t xml:space="preserve">(</t>
    </r>
    <r>
      <rPr>
        <sz val="11"/>
        <color rgb="FF1A1A2E"/>
        <rFont val="Noto Sans CJK SC"/>
        <family val="2"/>
      </rPr>
      <t xml:space="preserve">クリック</t>
    </r>
    <r>
      <rPr>
        <sz val="11"/>
        <color rgb="FF1A1A2E"/>
        <rFont val="Meiryo"/>
        <family val="0"/>
        <charset val="1"/>
      </rPr>
      <t xml:space="preserve">)</t>
    </r>
    <r>
      <rPr>
        <sz val="11"/>
        <color rgb="FF1A1A2E"/>
        <rFont val="Noto Sans CJK SC"/>
        <family val="2"/>
      </rPr>
      <t xml:space="preserve">・リード・商談・成約 を入力する。</t>
    </r>
  </si>
  <si>
    <r>
      <rPr>
        <sz val="11"/>
        <color rgb="FF1A1A2E"/>
        <rFont val="Meiryo"/>
        <family val="0"/>
        <charset val="1"/>
      </rPr>
      <t xml:space="preserve">2. </t>
    </r>
    <r>
      <rPr>
        <sz val="11"/>
        <color rgb="FF1A1A2E"/>
        <rFont val="Noto Sans CJK SC"/>
        <family val="2"/>
      </rPr>
      <t xml:space="preserve">判定：右端の『商談化 判定』『成約 判定』が ◎△✗ で自動表示される（目標は「ダッシュボード」で設定）。</t>
    </r>
  </si>
  <si>
    <r>
      <rPr>
        <sz val="11"/>
        <color rgb="FF1A1A2E"/>
        <rFont val="Meiryo"/>
        <family val="0"/>
        <charset val="1"/>
      </rPr>
      <t xml:space="preserve">3. </t>
    </r>
    <r>
      <rPr>
        <sz val="11"/>
        <color rgb="FF1A1A2E"/>
        <rFont val="Noto Sans CJK SC"/>
        <family val="2"/>
      </rPr>
      <t xml:space="preserve">特定：◎でない段＝その週のボトルネック。まず『商談化率』を見る（上流は健全なので触らない）。</t>
    </r>
  </si>
  <si>
    <r>
      <rPr>
        <sz val="11"/>
        <color rgb="FF1A1A2E"/>
        <rFont val="Meiryo"/>
        <family val="0"/>
        <charset val="1"/>
      </rPr>
      <t xml:space="preserve">4. </t>
    </r>
    <r>
      <rPr>
        <sz val="11"/>
        <color rgb="FF1A1A2E"/>
        <rFont val="Noto Sans CJK SC"/>
        <family val="2"/>
      </rPr>
      <t xml:space="preserve">打ち手：ボトルネックの段に効く施策を</t>
    </r>
    <r>
      <rPr>
        <sz val="11"/>
        <color rgb="FF1A1A2E"/>
        <rFont val="Meiryo"/>
        <family val="0"/>
        <charset val="1"/>
      </rPr>
      <t xml:space="preserve">1</t>
    </r>
    <r>
      <rPr>
        <sz val="11"/>
        <color rgb="FF1A1A2E"/>
        <rFont val="Noto Sans CJK SC"/>
        <family val="2"/>
      </rPr>
      <t xml:space="preserve">つ実行。商談化なら①初動フォロー</t>
    </r>
    <r>
      <rPr>
        <sz val="11"/>
        <color rgb="FF1A1A2E"/>
        <rFont val="Meiryo"/>
        <family val="0"/>
        <charset val="1"/>
      </rPr>
      <t xml:space="preserve">&lt;1</t>
    </r>
    <r>
      <rPr>
        <sz val="11"/>
        <color rgb="FF1A1A2E"/>
        <rFont val="Noto Sans CJK SC"/>
        <family val="2"/>
      </rPr>
      <t xml:space="preserve">時間 ②商談予約への導線 ③スコアリング。</t>
    </r>
  </si>
  <si>
    <r>
      <rPr>
        <sz val="11"/>
        <color rgb="FF1A1A2E"/>
        <rFont val="Meiryo"/>
        <family val="0"/>
        <charset val="1"/>
      </rPr>
      <t xml:space="preserve">5. </t>
    </r>
    <r>
      <rPr>
        <sz val="11"/>
        <color rgb="FF1A1A2E"/>
        <rFont val="Noto Sans CJK SC"/>
        <family val="2"/>
      </rPr>
      <t xml:space="preserve">記録：失注理由・流入元</t>
    </r>
    <r>
      <rPr>
        <sz val="11"/>
        <color rgb="FF1A1A2E"/>
        <rFont val="Meiryo"/>
        <family val="0"/>
        <charset val="1"/>
      </rPr>
      <t xml:space="preserve">(v1/v2)</t>
    </r>
    <r>
      <rPr>
        <sz val="11"/>
        <color rgb="FF1A1A2E"/>
        <rFont val="Noto Sans CJK SC"/>
        <family val="2"/>
      </rPr>
      <t xml:space="preserve">・進行中商談のステータスを別途残し、翌週へ。</t>
    </r>
  </si>
  <si>
    <t xml:space="preserve">【指標の意味】</t>
  </si>
  <si>
    <r>
      <rPr>
        <sz val="11"/>
        <color rgb="FF1A1A2E"/>
        <rFont val="Meiryo"/>
        <family val="0"/>
        <charset val="1"/>
      </rPr>
      <t xml:space="preserve">CPL</t>
    </r>
    <r>
      <rPr>
        <sz val="11"/>
        <color rgb="FF1A1A2E"/>
        <rFont val="Noto Sans CJK SC"/>
        <family val="2"/>
      </rPr>
      <t xml:space="preserve">＝広告費</t>
    </r>
    <r>
      <rPr>
        <sz val="11"/>
        <color rgb="FF1A1A2E"/>
        <rFont val="Meiryo"/>
        <family val="0"/>
        <charset val="1"/>
      </rPr>
      <t xml:space="preserve">÷</t>
    </r>
    <r>
      <rPr>
        <sz val="11"/>
        <color rgb="FF1A1A2E"/>
        <rFont val="Noto Sans CJK SC"/>
        <family val="2"/>
      </rPr>
      <t xml:space="preserve">リード／</t>
    </r>
    <r>
      <rPr>
        <sz val="11"/>
        <color rgb="FF1A1A2E"/>
        <rFont val="Meiryo"/>
        <family val="0"/>
        <charset val="1"/>
      </rPr>
      <t xml:space="preserve">LP CVR</t>
    </r>
    <r>
      <rPr>
        <sz val="11"/>
        <color rgb="FF1A1A2E"/>
        <rFont val="Noto Sans CJK SC"/>
        <family val="2"/>
      </rPr>
      <t xml:space="preserve">＝リード</t>
    </r>
    <r>
      <rPr>
        <sz val="11"/>
        <color rgb="FF1A1A2E"/>
        <rFont val="Meiryo"/>
        <family val="0"/>
        <charset val="1"/>
      </rPr>
      <t xml:space="preserve">÷LP</t>
    </r>
    <r>
      <rPr>
        <sz val="11"/>
        <color rgb="FF1A1A2E"/>
        <rFont val="Noto Sans CJK SC"/>
        <family val="2"/>
      </rPr>
      <t xml:space="preserve">訪問／商談化率＝商談</t>
    </r>
    <r>
      <rPr>
        <sz val="11"/>
        <color rgb="FF1A1A2E"/>
        <rFont val="Meiryo"/>
        <family val="0"/>
        <charset val="1"/>
      </rPr>
      <t xml:space="preserve">÷</t>
    </r>
    <r>
      <rPr>
        <sz val="11"/>
        <color rgb="FF1A1A2E"/>
        <rFont val="Noto Sans CJK SC"/>
        <family val="2"/>
      </rPr>
      <t xml:space="preserve">リード／成約率＝成約</t>
    </r>
    <r>
      <rPr>
        <sz val="11"/>
        <color rgb="FF1A1A2E"/>
        <rFont val="Meiryo"/>
        <family val="0"/>
        <charset val="1"/>
      </rPr>
      <t xml:space="preserve">÷</t>
    </r>
    <r>
      <rPr>
        <sz val="11"/>
        <color rgb="FF1A1A2E"/>
        <rFont val="Noto Sans CJK SC"/>
        <family val="2"/>
      </rPr>
      <t xml:space="preserve">商談</t>
    </r>
  </si>
  <si>
    <r>
      <rPr>
        <sz val="11"/>
        <color rgb="FF1A1A2E"/>
        <rFont val="Meiryo"/>
        <family val="0"/>
        <charset val="1"/>
      </rPr>
      <t xml:space="preserve">1</t>
    </r>
    <r>
      <rPr>
        <sz val="11"/>
        <color rgb="FF1A1A2E"/>
        <rFont val="Noto Sans CJK SC"/>
        <family val="2"/>
      </rPr>
      <t xml:space="preserve">成約あたり広告費＝広告費</t>
    </r>
    <r>
      <rPr>
        <sz val="11"/>
        <color rgb="FF1A1A2E"/>
        <rFont val="Meiryo"/>
        <family val="0"/>
        <charset val="1"/>
      </rPr>
      <t xml:space="preserve">÷</t>
    </r>
    <r>
      <rPr>
        <sz val="11"/>
        <color rgb="FF1A1A2E"/>
        <rFont val="Noto Sans CJK SC"/>
        <family val="2"/>
      </rPr>
      <t xml:space="preserve">成約。これが『許容</t>
    </r>
    <r>
      <rPr>
        <sz val="11"/>
        <color rgb="FF1A1A2E"/>
        <rFont val="Meiryo"/>
        <family val="0"/>
        <charset val="1"/>
      </rPr>
      <t xml:space="preserve">CPA</t>
    </r>
    <r>
      <rPr>
        <sz val="11"/>
        <color rgb="FF1A1A2E"/>
        <rFont val="Noto Sans CJK SC"/>
        <family val="2"/>
      </rPr>
      <t xml:space="preserve">上限</t>
    </r>
    <r>
      <rPr>
        <sz val="11"/>
        <color rgb="FF1A1A2E"/>
        <rFont val="Meiryo"/>
        <family val="0"/>
        <charset val="1"/>
      </rPr>
      <t xml:space="preserve">(¥307,000)</t>
    </r>
    <r>
      <rPr>
        <sz val="11"/>
        <color rgb="FF1A1A2E"/>
        <rFont val="Noto Sans CJK SC"/>
        <family val="2"/>
      </rPr>
      <t xml:space="preserve">』を下回れば採算は健全。</t>
    </r>
  </si>
  <si>
    <r>
      <rPr>
        <sz val="11"/>
        <color rgb="FF1A1A2E"/>
        <rFont val="Meiryo"/>
        <family val="0"/>
        <charset val="1"/>
      </rPr>
      <t xml:space="preserve">ROAS</t>
    </r>
    <r>
      <rPr>
        <sz val="11"/>
        <color rgb="FF1A1A2E"/>
        <rFont val="Noto Sans CJK SC"/>
        <family val="2"/>
      </rPr>
      <t xml:space="preserve">＝</t>
    </r>
    <r>
      <rPr>
        <sz val="11"/>
        <color rgb="FF1A1A2E"/>
        <rFont val="Meiryo"/>
        <family val="0"/>
        <charset val="1"/>
      </rPr>
      <t xml:space="preserve">FC</t>
    </r>
    <r>
      <rPr>
        <sz val="11"/>
        <color rgb="FF1A1A2E"/>
        <rFont val="Noto Sans CJK SC"/>
        <family val="2"/>
      </rPr>
      <t xml:space="preserve">売上</t>
    </r>
    <r>
      <rPr>
        <sz val="11"/>
        <color rgb="FF1A1A2E"/>
        <rFont val="Meiryo"/>
        <family val="0"/>
        <charset val="1"/>
      </rPr>
      <t xml:space="preserve">÷</t>
    </r>
    <r>
      <rPr>
        <sz val="11"/>
        <color rgb="FF1A1A2E"/>
        <rFont val="Noto Sans CJK SC"/>
        <family val="2"/>
      </rPr>
      <t xml:space="preserve">広告費。</t>
    </r>
    <r>
      <rPr>
        <sz val="11"/>
        <color rgb="FF1A1A2E"/>
        <rFont val="Meiryo"/>
        <family val="0"/>
        <charset val="1"/>
      </rPr>
      <t xml:space="preserve">1.0</t>
    </r>
    <r>
      <rPr>
        <sz val="11"/>
        <color rgb="FF1A1A2E"/>
        <rFont val="Noto Sans CJK SC"/>
        <family val="2"/>
      </rPr>
      <t xml:space="preserve">で損益分岐、現状は約</t>
    </r>
    <r>
      <rPr>
        <sz val="11"/>
        <color rgb="FF1A1A2E"/>
        <rFont val="Meiryo"/>
        <family val="0"/>
        <charset val="1"/>
      </rPr>
      <t xml:space="preserve">1.4</t>
    </r>
    <r>
      <rPr>
        <sz val="11"/>
        <color rgb="FF1A1A2E"/>
        <rFont val="Noto Sans CJK SC"/>
        <family val="2"/>
      </rPr>
      <t xml:space="preserve">（薄利）。</t>
    </r>
  </si>
  <si>
    <t xml:space="preserve">【目標値（ダッシュボードで変更可）】</t>
  </si>
  <si>
    <r>
      <rPr>
        <sz val="11"/>
        <color rgb="FF1A1A2E"/>
        <rFont val="Noto Sans CJK SC"/>
        <family val="2"/>
      </rPr>
      <t xml:space="preserve">商談化率 </t>
    </r>
    <r>
      <rPr>
        <sz val="11"/>
        <color rgb="FF1A1A2E"/>
        <rFont val="DejaVu Sans"/>
        <family val="0"/>
        <charset val="134"/>
      </rPr>
      <t xml:space="preserve">8%</t>
    </r>
    <r>
      <rPr>
        <sz val="11"/>
        <color rgb="FF1A1A2E"/>
        <rFont val="Noto Sans CJK SC"/>
        <family val="2"/>
      </rPr>
      <t xml:space="preserve">・成約率 </t>
    </r>
    <r>
      <rPr>
        <sz val="11"/>
        <color rgb="FF1A1A2E"/>
        <rFont val="DejaVu Sans"/>
        <family val="0"/>
        <charset val="134"/>
      </rPr>
      <t xml:space="preserve">20%</t>
    </r>
    <r>
      <rPr>
        <sz val="11"/>
        <color rgb="FF1A1A2E"/>
        <rFont val="Noto Sans CJK SC"/>
        <family val="2"/>
      </rPr>
      <t xml:space="preserve">・</t>
    </r>
    <r>
      <rPr>
        <sz val="11"/>
        <color rgb="FF1A1A2E"/>
        <rFont val="DejaVu Sans"/>
        <family val="0"/>
        <charset val="134"/>
      </rPr>
      <t xml:space="preserve">CPL ¥3,000</t>
    </r>
    <r>
      <rPr>
        <sz val="11"/>
        <color rgb="FF1A1A2E"/>
        <rFont val="Noto Sans CJK SC"/>
        <family val="2"/>
      </rPr>
      <t xml:space="preserve">・契約単価 </t>
    </r>
    <r>
      <rPr>
        <sz val="11"/>
        <color rgb="FF1A1A2E"/>
        <rFont val="DejaVu Sans"/>
        <family val="0"/>
        <charset val="134"/>
      </rPr>
      <t xml:space="preserve">¥800,000</t>
    </r>
    <r>
      <rPr>
        <sz val="11"/>
        <color rgb="FF1A1A2E"/>
        <rFont val="Noto Sans CJK SC"/>
        <family val="2"/>
      </rPr>
      <t xml:space="preserve">・許容</t>
    </r>
    <r>
      <rPr>
        <sz val="11"/>
        <color rgb="FF1A1A2E"/>
        <rFont val="DejaVu Sans"/>
        <family val="0"/>
        <charset val="134"/>
      </rPr>
      <t xml:space="preserve">CPA ¥307,000</t>
    </r>
    <r>
      <rPr>
        <sz val="11"/>
        <color rgb="FF1A1A2E"/>
        <rFont val="Noto Sans CJK SC"/>
        <family val="2"/>
      </rPr>
      <t xml:space="preserve">（＝第</t>
    </r>
    <r>
      <rPr>
        <sz val="11"/>
        <color rgb="FF1A1A2E"/>
        <rFont val="DejaVu Sans"/>
        <family val="0"/>
        <charset val="134"/>
      </rPr>
      <t xml:space="preserve">1</t>
    </r>
    <r>
      <rPr>
        <sz val="11"/>
        <color rgb="FF1A1A2E"/>
        <rFont val="Noto Sans CJK SC"/>
        <family val="2"/>
      </rPr>
      <t xml:space="preserve">段：年</t>
    </r>
    <r>
      <rPr>
        <sz val="11"/>
        <color rgb="FF1A1A2E"/>
        <rFont val="DejaVu Sans"/>
        <family val="0"/>
        <charset val="134"/>
      </rPr>
      <t xml:space="preserve">5,000</t>
    </r>
    <r>
      <rPr>
        <sz val="11"/>
        <color rgb="FF1A1A2E"/>
        <rFont val="Noto Sans CJK SC"/>
        <family val="2"/>
      </rPr>
      <t xml:space="preserve">〜</t>
    </r>
    <r>
      <rPr>
        <sz val="11"/>
        <color rgb="FF1A1A2E"/>
        <rFont val="DejaVu Sans"/>
        <family val="0"/>
        <charset val="134"/>
      </rPr>
      <t xml:space="preserve">5,400</t>
    </r>
    <r>
      <rPr>
        <sz val="11"/>
        <color rgb="FF1A1A2E"/>
        <rFont val="Noto Sans CJK SC"/>
        <family val="2"/>
      </rPr>
      <t xml:space="preserve">万円ペース）</t>
    </r>
  </si>
  <si>
    <t xml:space="preserve">成約率と契約単価は判定途上の暫定値。進行中商談の結果・平均受講人数が出たら更新する。</t>
  </si>
  <si>
    <r>
      <rPr>
        <sz val="10"/>
        <color rgb="FFFEF3C7"/>
        <rFont val="Noto Sans CJK SC"/>
        <family val="2"/>
      </rPr>
      <t xml:space="preserve">【注意】数字は手入力（スプレッドシート管理）。</t>
    </r>
    <r>
      <rPr>
        <sz val="10"/>
        <color rgb="FFFEF3C7"/>
        <rFont val="DejaVu Sans"/>
        <family val="0"/>
        <charset val="134"/>
      </rPr>
      <t xml:space="preserve">LP</t>
    </r>
    <r>
      <rPr>
        <sz val="10"/>
        <color rgb="FFFEF3C7"/>
        <rFont val="Noto Sans CJK SC"/>
        <family val="2"/>
      </rPr>
      <t xml:space="preserve">訪問はクリック数を使い、</t>
    </r>
    <r>
      <rPr>
        <sz val="10"/>
        <color rgb="FFFEF3C7"/>
        <rFont val="DejaVu Sans"/>
        <family val="0"/>
        <charset val="134"/>
      </rPr>
      <t xml:space="preserve">LINE</t>
    </r>
    <r>
      <rPr>
        <sz val="10"/>
        <color rgb="FFFEF3C7"/>
        <rFont val="Noto Sans CJK SC"/>
        <family val="2"/>
      </rPr>
      <t xml:space="preserve">等の無効クリックは除外する。</t>
    </r>
  </si>
  <si>
    <t xml:space="preserve">推移グラフ用データ（媒体別シートに自動連動。空白＝未配信／グラフでギャップ）</t>
  </si>
  <si>
    <r>
      <rPr>
        <b val="true"/>
        <sz val="9"/>
        <rFont val="Meiryo"/>
        <family val="0"/>
        <charset val="1"/>
      </rPr>
      <t xml:space="preserve">Meta/</t>
    </r>
    <r>
      <rPr>
        <b val="true"/>
        <sz val="9"/>
        <rFont val="Noto Sans CJK SC"/>
        <family val="2"/>
      </rPr>
      <t xml:space="preserve">ウェビナー</t>
    </r>
  </si>
  <si>
    <r>
      <rPr>
        <b val="true"/>
        <sz val="9"/>
        <rFont val="Meiryo"/>
        <family val="0"/>
        <charset val="1"/>
      </rPr>
      <t xml:space="preserve">Meta/</t>
    </r>
    <r>
      <rPr>
        <b val="true"/>
        <sz val="9"/>
        <rFont val="Noto Sans CJK SC"/>
        <family val="2"/>
      </rPr>
      <t xml:space="preserve">介護校</t>
    </r>
  </si>
  <si>
    <t xml:space="preserve">Meta/Claude</t>
  </si>
  <si>
    <r>
      <rPr>
        <b val="true"/>
        <sz val="9"/>
        <rFont val="Meiryo"/>
        <family val="0"/>
        <charset val="1"/>
      </rPr>
      <t xml:space="preserve">Google/</t>
    </r>
    <r>
      <rPr>
        <b val="true"/>
        <sz val="9"/>
        <rFont val="Noto Sans CJK SC"/>
        <family val="2"/>
      </rPr>
      <t xml:space="preserve">ウェビナー</t>
    </r>
  </si>
  <si>
    <r>
      <rPr>
        <b val="true"/>
        <sz val="9"/>
        <rFont val="Meiryo"/>
        <family val="0"/>
        <charset val="1"/>
      </rPr>
      <t xml:space="preserve">Google/</t>
    </r>
    <r>
      <rPr>
        <b val="true"/>
        <sz val="9"/>
        <rFont val="Noto Sans CJK SC"/>
        <family val="2"/>
      </rPr>
      <t xml:space="preserve">常設</t>
    </r>
  </si>
  <si>
    <r>
      <rPr>
        <b val="true"/>
        <sz val="9"/>
        <rFont val="Meiryo"/>
        <family val="0"/>
        <charset val="1"/>
      </rPr>
      <t xml:space="preserve">LINE/</t>
    </r>
    <r>
      <rPr>
        <b val="true"/>
        <sz val="9"/>
        <rFont val="Noto Sans CJK SC"/>
        <family val="2"/>
      </rPr>
      <t xml:space="preserve">ウェビナー</t>
    </r>
  </si>
  <si>
    <r>
      <rPr>
        <b val="true"/>
        <sz val="9"/>
        <rFont val="Meiryo"/>
        <family val="0"/>
        <charset val="1"/>
      </rPr>
      <t xml:space="preserve">LINE/</t>
    </r>
    <r>
      <rPr>
        <b val="true"/>
        <sz val="9"/>
        <rFont val="Noto Sans CJK SC"/>
        <family val="2"/>
      </rPr>
      <t xml:space="preserve">常設</t>
    </r>
  </si>
  <si>
    <r>
      <rPr>
        <b val="true"/>
        <sz val="10"/>
        <color rgb="FF334155"/>
        <rFont val="Meiryo"/>
        <family val="0"/>
        <charset val="1"/>
      </rPr>
      <t xml:space="preserve">CV</t>
    </r>
    <r>
      <rPr>
        <b val="true"/>
        <sz val="10"/>
        <color rgb="FF334155"/>
        <rFont val="Noto Sans CJK SC"/>
        <family val="2"/>
      </rPr>
      <t xml:space="preserve">（リード）</t>
    </r>
  </si>
  <si>
    <t xml:space="preserve">広告外</t>
  </si>
  <si>
    <t xml:space="preserve">商談化率（全体）</t>
  </si>
  <si>
    <t xml:space="preserve">全体</t>
  </si>
  <si>
    <r>
      <rPr>
        <b val="true"/>
        <sz val="14"/>
        <color rgb="FFFFFFFF"/>
        <rFont val="Noto Sans CJK SC"/>
        <family val="2"/>
      </rPr>
      <t xml:space="preserve">媒体</t>
    </r>
    <r>
      <rPr>
        <b val="true"/>
        <sz val="14"/>
        <color rgb="FFFFFFFF"/>
        <rFont val="Meiryo"/>
        <family val="0"/>
        <charset val="1"/>
      </rPr>
      <t xml:space="preserve">×</t>
    </r>
    <r>
      <rPr>
        <b val="true"/>
        <sz val="14"/>
        <color rgb="FFFFFFFF"/>
        <rFont val="Noto Sans CJK SC"/>
        <family val="2"/>
      </rPr>
      <t xml:space="preserve">キャンペーン 週次推移（自動更新）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</si>
</sst>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\#,##0"/>
    <numFmt numFmtId="166" formatCode="0.0%"/>
    <numFmt numFmtId="167" formatCode="#,##0"/>
    <numFmt numFmtId="168" formatCode="#,##0.0"/>
    <numFmt numFmtId="169" formatCode="#,##0.00"/>
    <numFmt numFmtId="170" formatCode="yyyy/m/d"/>
    <numFmt numFmtId="171" formatCode="\¥#,##0"/>
    <numFmt numFmtId="172" formatCode="0.00\倍"/>
    <numFmt numFmtId="173" formatCode="0.0"/>
  </numFmts>
  <fonts count="4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 CJK SC"/>
      <family val="2"/>
    </font>
    <font>
      <sz val="9"/>
      <color rgb="FFFFFFFF"/>
      <name val="Noto Sans CJK SC"/>
      <family val="2"/>
    </font>
    <font>
      <b val="true"/>
      <sz val="12"/>
      <color rgb="FFFFFFFF"/>
      <name val="Noto Sans CJK SC"/>
      <family val="2"/>
    </font>
    <font>
      <sz val="11"/>
      <color rgb="FF1A1A2E"/>
      <name val="Noto Sans CJK SC"/>
      <family val="2"/>
    </font>
    <font>
      <sz val="11"/>
      <color rgb="FF1A1A2E"/>
      <name val="DejaVu Sans"/>
      <family val="0"/>
      <charset val="134"/>
    </font>
    <font>
      <b val="true"/>
      <sz val="11"/>
      <color rgb="FF0000FF"/>
      <name val="Meiryo"/>
      <family val="0"/>
      <charset val="1"/>
    </font>
    <font>
      <sz val="9"/>
      <color rgb="FF555555"/>
      <name val="Noto Sans CJK SC"/>
      <family val="2"/>
    </font>
    <font>
      <sz val="9"/>
      <color rgb="FF555555"/>
      <name val="DejaVu Sans"/>
      <family val="0"/>
      <charset val="134"/>
    </font>
    <font>
      <b val="true"/>
      <sz val="12"/>
      <color rgb="FFFFFFFF"/>
      <name val="DejaVu Sans"/>
      <family val="0"/>
      <charset val="134"/>
    </font>
    <font>
      <b val="true"/>
      <sz val="11"/>
      <color rgb="FFFFFFFF"/>
      <name val="Noto Sans CJK SC"/>
      <family val="2"/>
    </font>
    <font>
      <b val="true"/>
      <sz val="11"/>
      <color rgb="FFFFFFFF"/>
      <name val="DejaVu Sans"/>
      <family val="0"/>
      <charset val="134"/>
    </font>
    <font>
      <sz val="11"/>
      <color rgb="FF0000FF"/>
      <name val="Meiryo"/>
      <family val="0"/>
      <charset val="1"/>
    </font>
    <font>
      <sz val="11"/>
      <color rgb="FF1A1A2E"/>
      <name val="Meiryo"/>
      <family val="0"/>
      <charset val="1"/>
    </font>
    <font>
      <sz val="11"/>
      <color rgb="FF1A1A2E"/>
      <name val="DejaVu Sans"/>
      <family val="0"/>
      <charset val="1"/>
    </font>
    <font>
      <b val="true"/>
      <sz val="11"/>
      <color rgb="FF1A1A2E"/>
      <name val="Noto Sans CJK SC"/>
      <family val="2"/>
    </font>
    <font>
      <b val="true"/>
      <sz val="11"/>
      <name val="Noto Sans CJK SC"/>
      <family val="2"/>
    </font>
    <font>
      <b val="true"/>
      <sz val="14"/>
      <color rgb="FFFFFFFF"/>
      <name val="Noto Sans CJK SC"/>
      <family val="2"/>
    </font>
    <font>
      <b val="true"/>
      <sz val="14"/>
      <color rgb="FFFFFFFF"/>
      <name val="Meiryo"/>
      <family val="0"/>
      <charset val="1"/>
    </font>
    <font>
      <sz val="9"/>
      <color rgb="FFFFFFFF"/>
      <name val="Meiryo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Meiryo"/>
      <family val="0"/>
      <charset val="1"/>
    </font>
    <font>
      <sz val="10"/>
      <color rgb="FF0000FF"/>
      <name val="Meiryo"/>
      <family val="0"/>
      <charset val="1"/>
    </font>
    <font>
      <sz val="10"/>
      <color rgb="FF0000FF"/>
      <name val="Noto Sans CJK SC"/>
      <family val="2"/>
    </font>
    <font>
      <b val="true"/>
      <sz val="11"/>
      <color rgb="FFFFFFFF"/>
      <name val="Meiryo"/>
      <family val="0"/>
      <charset val="1"/>
    </font>
    <font>
      <b val="true"/>
      <sz val="11"/>
      <color rgb="FF1A1A2E"/>
      <name val="Meiryo"/>
      <family val="0"/>
      <charset val="1"/>
    </font>
    <font>
      <sz val="9"/>
      <color rgb="FF64748B"/>
      <name val="Meiryo"/>
      <family val="0"/>
      <charset val="1"/>
    </font>
    <font>
      <sz val="9"/>
      <color rgb="FF64748B"/>
      <name val="Noto Sans CJK SC"/>
      <family val="2"/>
    </font>
    <font>
      <sz val="11"/>
      <color rgb="FF64748B"/>
      <name val="Meiryo"/>
      <family val="0"/>
      <charset val="1"/>
    </font>
    <font>
      <sz val="10"/>
      <color rgb="FFFEF3C7"/>
      <name val="Noto Sans CJK SC"/>
      <family val="2"/>
    </font>
    <font>
      <sz val="10"/>
      <color rgb="FFFEF3C7"/>
      <name val="DejaVu Sans"/>
      <family val="0"/>
      <charset val="134"/>
    </font>
    <font>
      <b val="true"/>
      <sz val="10"/>
      <color rgb="FFFFFFFF"/>
      <name val="Noto Sans CJK SC"/>
      <family val="2"/>
    </font>
    <font>
      <b val="true"/>
      <sz val="10"/>
      <color rgb="FF334155"/>
      <name val="Noto Sans CJK SC"/>
      <family val="2"/>
    </font>
    <font>
      <b val="true"/>
      <sz val="9"/>
      <name val="Noto Sans CJK SC"/>
      <family val="2"/>
    </font>
    <font>
      <b val="true"/>
      <sz val="9"/>
      <name val="Meiryo"/>
      <family val="0"/>
      <charset val="1"/>
    </font>
    <font>
      <sz val="9"/>
      <name val="Meiryo"/>
      <family val="0"/>
      <charset val="1"/>
    </font>
    <font>
      <b val="true"/>
      <sz val="10"/>
      <color rgb="FF334155"/>
      <name val="Meiryo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8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E293B"/>
        <bgColor rgb="FF1A1A2E"/>
      </patternFill>
    </fill>
    <fill>
      <patternFill patternType="solid">
        <fgColor rgb="FF334155"/>
        <bgColor rgb="FF1E293B"/>
      </patternFill>
    </fill>
    <fill>
      <patternFill patternType="solid">
        <fgColor rgb="FF2563EB"/>
        <bgColor rgb="FF0066CC"/>
      </patternFill>
    </fill>
    <fill>
      <patternFill patternType="solid">
        <fgColor rgb="FFF1F5F9"/>
        <bgColor rgb="FFEEF2F7"/>
      </patternFill>
    </fill>
    <fill>
      <patternFill patternType="solid">
        <fgColor rgb="FFFFF6CC"/>
        <bgColor rgb="FFFEF3C7"/>
      </patternFill>
    </fill>
    <fill>
      <patternFill patternType="solid">
        <fgColor rgb="FFFFFDF0"/>
        <bgColor rgb="FFFFFFFF"/>
      </patternFill>
    </fill>
    <fill>
      <patternFill patternType="solid">
        <fgColor rgb="FFE0F2F1"/>
        <bgColor rgb="FFEEF2F7"/>
      </patternFill>
    </fill>
    <fill>
      <patternFill patternType="solid">
        <fgColor rgb="FFEEF2F7"/>
        <bgColor rgb="FFF1F5F9"/>
      </patternFill>
    </fill>
    <fill>
      <patternFill patternType="solid">
        <fgColor rgb="FF0F766E"/>
        <bgColor rgb="FF0891B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6"/>
      </left>
      <right/>
      <top style="thin">
        <color rgb="FFD9DEE6"/>
      </top>
      <bottom style="thin">
        <color rgb="FFD9DEE6"/>
      </bottom>
      <diagonal/>
    </border>
    <border diagonalUp="false" diagonalDown="false"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5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FFFF"/>
      </font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B3B3B3"/>
      <rgbColor rgb="FF555555"/>
      <rgbColor rgb="FF9999FF"/>
      <rgbColor rgb="FFDB2777"/>
      <rgbColor rgb="FFFFF6CC"/>
      <rgbColor rgb="FFE0F2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EEF2F7"/>
      <rgbColor rgb="FFF1F5F9"/>
      <rgbColor rgb="FFFEF3C7"/>
      <rgbColor rgb="FFFFFDF0"/>
      <rgbColor rgb="FFFF99CC"/>
      <rgbColor rgb="FFCC99FF"/>
      <rgbColor rgb="FFD9DEE6"/>
      <rgbColor rgb="FF2563EB"/>
      <rgbColor rgb="FF33CCCC"/>
      <rgbColor rgb="FF99CC00"/>
      <rgbColor rgb="FFFFCC00"/>
      <rgbColor rgb="FFF59E0B"/>
      <rgbColor rgb="FFFF6600"/>
      <rgbColor rgb="FF64748B"/>
      <rgbColor rgb="FF969696"/>
      <rgbColor rgb="FF003366"/>
      <rgbColor rgb="FF16A34A"/>
      <rgbColor rgb="FF003300"/>
      <rgbColor rgb="FF1A1A2E"/>
      <rgbColor rgb="FF993300"/>
      <rgbColor rgb="FF9333EA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消費金額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推移データ!B3</c:f>
              <c:strCache>
                <c:ptCount val="1"/>
                <c:pt idx="0">
                  <c:v>Meta/ウェビナー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circle"/>
            <c:size val="4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推移データ!$B$4:$B$55</c:f>
              <c:numCache>
                <c:formatCode>\¥#,##0</c:formatCode>
                <c:ptCount val="52"/>
                <c:pt idx="0">
                  <c:v>87849</c:v>
                </c:pt>
                <c:pt idx="1">
                  <c:v>84574</c:v>
                </c:pt>
                <c:pt idx="2">
                  <c:v>77500</c:v>
                </c:pt>
                <c:pt idx="7">
                  <c:v>63871</c:v>
                </c:pt>
                <c:pt idx="8">
                  <c:v>103281</c:v>
                </c:pt>
                <c:pt idx="9">
                  <c:v>36717</c:v>
                </c:pt>
                <c:pt idx="10">
                  <c:v>91426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推移データ!C3</c:f>
              <c:strCache>
                <c:ptCount val="1"/>
                <c:pt idx="0">
                  <c:v>Meta/介護校</c:v>
                </c:pt>
              </c:strCache>
            </c:strRef>
          </c:tx>
          <c:spPr>
            <a:solidFill>
              <a:srgbClr val="DC2626"/>
            </a:solidFill>
            <a:ln w="21960">
              <a:solidFill>
                <a:srgbClr val="DC2626"/>
              </a:solidFill>
              <a:round/>
            </a:ln>
          </c:spPr>
          <c:marker>
            <c:symbol val="circle"/>
            <c:size val="4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推移データ!$C$4:$C$55</c:f>
              <c:numCache>
                <c:formatCode>\¥#,##0</c:formatCode>
                <c:ptCount val="52"/>
                <c:pt idx="0">
                  <c:v>104849</c:v>
                </c:pt>
                <c:pt idx="1">
                  <c:v>45827</c:v>
                </c:pt>
                <c:pt idx="2">
                  <c:v>58556</c:v>
                </c:pt>
                <c:pt idx="3">
                  <c:v>79731</c:v>
                </c:pt>
                <c:pt idx="4">
                  <c:v>105749</c:v>
                </c:pt>
                <c:pt idx="5">
                  <c:v>105217</c:v>
                </c:pt>
                <c:pt idx="6">
                  <c:v>105644</c:v>
                </c:pt>
                <c:pt idx="7">
                  <c:v>103424</c:v>
                </c:pt>
                <c:pt idx="8">
                  <c:v>137186</c:v>
                </c:pt>
                <c:pt idx="9">
                  <c:v>98142</c:v>
                </c:pt>
                <c:pt idx="10">
                  <c:v>102707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推移データ!D3</c:f>
              <c:strCache>
                <c:ptCount val="1"/>
                <c:pt idx="0">
                  <c:v>Meta/Claude</c:v>
                </c:pt>
              </c:strCache>
            </c:strRef>
          </c:tx>
          <c:spPr>
            <a:solidFill>
              <a:srgbClr val="16A34A"/>
            </a:solidFill>
            <a:ln w="21960">
              <a:solidFill>
                <a:srgbClr val="16A34A"/>
              </a:solidFill>
              <a:round/>
            </a:ln>
          </c:spPr>
          <c:marker>
            <c:symbol val="circle"/>
            <c:size val="4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推移データ!$D$4:$D$55</c:f>
              <c:numCache>
                <c:formatCode>\¥#,##0</c:formatCode>
                <c:ptCount val="52"/>
                <c:pt idx="5">
                  <c:v>270</c:v>
                </c:pt>
                <c:pt idx="6">
                  <c:v>18825</c:v>
                </c:pt>
                <c:pt idx="7">
                  <c:v>43511</c:v>
                </c:pt>
                <c:pt idx="8">
                  <c:v>47766</c:v>
                </c:pt>
                <c:pt idx="9">
                  <c:v>40922</c:v>
                </c:pt>
                <c:pt idx="10">
                  <c:v>39028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推移データ!E3</c:f>
              <c:strCache>
                <c:ptCount val="1"/>
                <c:pt idx="0">
                  <c:v>Google/ウェビナー</c:v>
                </c:pt>
              </c:strCache>
            </c:strRef>
          </c:tx>
          <c:spPr>
            <a:solidFill>
              <a:srgbClr val="9333EA"/>
            </a:solidFill>
            <a:ln w="21960">
              <a:solidFill>
                <a:srgbClr val="9333EA"/>
              </a:solidFill>
              <a:round/>
            </a:ln>
          </c:spPr>
          <c:marker>
            <c:symbol val="circle"/>
            <c:size val="4"/>
            <c:spPr>
              <a:solidFill>
                <a:srgbClr val="9333E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推移データ!$E$4:$E$55</c:f>
              <c:numCache>
                <c:formatCode>\¥#,##0</c:formatCode>
                <c:ptCount val="52"/>
                <c:pt idx="0">
                  <c:v>13503</c:v>
                </c:pt>
                <c:pt idx="1">
                  <c:v>10788</c:v>
                </c:pt>
                <c:pt idx="2">
                  <c:v>21214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推移データ!F3</c:f>
              <c:strCache>
                <c:ptCount val="1"/>
                <c:pt idx="0">
                  <c:v>Google/常設</c:v>
                </c:pt>
              </c:strCache>
            </c:strRef>
          </c:tx>
          <c:spPr>
            <a:solidFill>
              <a:srgbClr val="0891B2"/>
            </a:solidFill>
            <a:ln w="21960">
              <a:solidFill>
                <a:srgbClr val="0891B2"/>
              </a:solidFill>
              <a:round/>
            </a:ln>
          </c:spPr>
          <c:marker>
            <c:symbol val="circle"/>
            <c:size val="4"/>
            <c:spPr>
              <a:solidFill>
                <a:srgbClr val="0891B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推移データ!$F$4:$F$55</c:f>
              <c:numCache>
                <c:formatCode>\¥#,##0</c:formatCode>
                <c:ptCount val="52"/>
                <c:pt idx="0">
                  <c:v>728</c:v>
                </c:pt>
                <c:pt idx="1">
                  <c:v>2027</c:v>
                </c:pt>
                <c:pt idx="2">
                  <c:v>14652</c:v>
                </c:pt>
                <c:pt idx="3">
                  <c:v>4279</c:v>
                </c:pt>
                <c:pt idx="4">
                  <c:v>2503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推移データ!G3</c:f>
              <c:strCache>
                <c:ptCount val="1"/>
                <c:pt idx="0">
                  <c:v>LINE/ウェビナー</c:v>
                </c:pt>
              </c:strCache>
            </c:strRef>
          </c:tx>
          <c:spPr>
            <a:solidFill>
              <a:srgbClr val="F59E0B"/>
            </a:solidFill>
            <a:ln w="21960">
              <a:solidFill>
                <a:srgbClr val="F59E0B"/>
              </a:solidFill>
              <a:round/>
            </a:ln>
          </c:spPr>
          <c:marker>
            <c:symbol val="circle"/>
            <c:size val="4"/>
            <c:spPr>
              <a:solidFill>
                <a:srgbClr val="F59E0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推移データ!$G$4:$G$55</c:f>
              <c:numCache>
                <c:formatCode>\¥#,##0</c:formatCode>
                <c:ptCount val="52"/>
                <c:pt idx="0">
                  <c:v>13144</c:v>
                </c:pt>
                <c:pt idx="1">
                  <c:v>13490</c:v>
                </c:pt>
                <c:pt idx="2">
                  <c:v>19971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推移データ!H3</c:f>
              <c:strCache>
                <c:ptCount val="1"/>
                <c:pt idx="0">
                  <c:v>LINE/常設</c:v>
                </c:pt>
              </c:strCache>
            </c:strRef>
          </c:tx>
          <c:spPr>
            <a:solidFill>
              <a:srgbClr val="64748B"/>
            </a:solidFill>
            <a:ln w="21960">
              <a:solidFill>
                <a:srgbClr val="64748B"/>
              </a:solidFill>
              <a:round/>
            </a:ln>
          </c:spPr>
          <c:marker>
            <c:symbol val="circle"/>
            <c:size val="4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推移データ!$H$4:$H$55</c:f>
              <c:numCache>
                <c:formatCode>\¥#,##0</c:formatCode>
                <c:ptCount val="52"/>
                <c:pt idx="0">
                  <c:v>26054</c:v>
                </c:pt>
                <c:pt idx="1">
                  <c:v>28429</c:v>
                </c:pt>
                <c:pt idx="2">
                  <c:v>13347</c:v>
                </c:pt>
                <c:pt idx="3">
                  <c:v>12696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875189"/>
        <c:axId val="45952746"/>
      </c:lineChart>
      <c:catAx>
        <c:axId val="8787518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952746"/>
        <c:crosses val="autoZero"/>
        <c:auto val="1"/>
        <c:lblAlgn val="ctr"/>
        <c:lblOffset val="100"/>
        <c:noMultiLvlLbl val="0"/>
      </c:catAx>
      <c:valAx>
        <c:axId val="459527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¥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8751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CV（リード）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推移データ!B58</c:f>
              <c:strCache>
                <c:ptCount val="1"/>
                <c:pt idx="0">
                  <c:v>Meta/ウェビナー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circle"/>
            <c:size val="4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推移データ!$A$59:$A$110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推移データ!$B$59:$B$110</c:f>
              <c:numCache>
                <c:formatCode>#,##0</c:formatCode>
                <c:ptCount val="52"/>
                <c:pt idx="0">
                  <c:v>35</c:v>
                </c:pt>
                <c:pt idx="1">
                  <c:v>34</c:v>
                </c:pt>
                <c:pt idx="2">
                  <c:v>25</c:v>
                </c:pt>
                <c:pt idx="7">
                  <c:v>49</c:v>
                </c:pt>
                <c:pt idx="8">
                  <c:v>68</c:v>
                </c:pt>
                <c:pt idx="9">
                  <c:v>33</c:v>
                </c:pt>
                <c:pt idx="10">
                  <c:v>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推移データ!C58</c:f>
              <c:strCache>
                <c:ptCount val="1"/>
                <c:pt idx="0">
                  <c:v>Meta/介護校</c:v>
                </c:pt>
              </c:strCache>
            </c:strRef>
          </c:tx>
          <c:spPr>
            <a:solidFill>
              <a:srgbClr val="DC2626"/>
            </a:solidFill>
            <a:ln w="21960">
              <a:solidFill>
                <a:srgbClr val="DC2626"/>
              </a:solidFill>
              <a:round/>
            </a:ln>
          </c:spPr>
          <c:marker>
            <c:symbol val="circle"/>
            <c:size val="4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推移データ!$A$59:$A$110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推移データ!$C$59:$C$110</c:f>
              <c:numCache>
                <c:formatCode>#,##0</c:formatCode>
                <c:ptCount val="52"/>
                <c:pt idx="0">
                  <c:v>18</c:v>
                </c:pt>
                <c:pt idx="1">
                  <c:v>51</c:v>
                </c:pt>
                <c:pt idx="2">
                  <c:v>22</c:v>
                </c:pt>
                <c:pt idx="3">
                  <c:v>34</c:v>
                </c:pt>
                <c:pt idx="4">
                  <c:v>35</c:v>
                </c:pt>
                <c:pt idx="5">
                  <c:v>31</c:v>
                </c:pt>
                <c:pt idx="6">
                  <c:v>41</c:v>
                </c:pt>
                <c:pt idx="7">
                  <c:v>25</c:v>
                </c:pt>
                <c:pt idx="8">
                  <c:v>28</c:v>
                </c:pt>
                <c:pt idx="9">
                  <c:v>19</c:v>
                </c:pt>
                <c:pt idx="10">
                  <c:v>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推移データ!D58</c:f>
              <c:strCache>
                <c:ptCount val="1"/>
                <c:pt idx="0">
                  <c:v>Meta/Claude</c:v>
                </c:pt>
              </c:strCache>
            </c:strRef>
          </c:tx>
          <c:spPr>
            <a:solidFill>
              <a:srgbClr val="16A34A"/>
            </a:solidFill>
            <a:ln w="21960">
              <a:solidFill>
                <a:srgbClr val="16A34A"/>
              </a:solidFill>
              <a:round/>
            </a:ln>
          </c:spPr>
          <c:marker>
            <c:symbol val="circle"/>
            <c:size val="4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推移データ!$A$59:$A$110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推移データ!$D$59:$D$110</c:f>
              <c:numCache>
                <c:formatCode>#,##0</c:formatCode>
                <c:ptCount val="52"/>
                <c:pt idx="5">
                  <c:v>0</c:v>
                </c:pt>
                <c:pt idx="6">
                  <c:v>13</c:v>
                </c:pt>
                <c:pt idx="7">
                  <c:v>23</c:v>
                </c:pt>
                <c:pt idx="8">
                  <c:v>30</c:v>
                </c:pt>
                <c:pt idx="9">
                  <c:v>31</c:v>
                </c:pt>
                <c:pt idx="10">
                  <c:v>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推移データ!E58</c:f>
              <c:strCache>
                <c:ptCount val="1"/>
                <c:pt idx="0">
                  <c:v>Google/ウェビナー</c:v>
                </c:pt>
              </c:strCache>
            </c:strRef>
          </c:tx>
          <c:spPr>
            <a:solidFill>
              <a:srgbClr val="9333EA"/>
            </a:solidFill>
            <a:ln w="21960">
              <a:solidFill>
                <a:srgbClr val="9333EA"/>
              </a:solidFill>
              <a:round/>
            </a:ln>
          </c:spPr>
          <c:marker>
            <c:symbol val="circle"/>
            <c:size val="4"/>
            <c:spPr>
              <a:solidFill>
                <a:srgbClr val="9333E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推移データ!$A$59:$A$110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推移データ!$E$59:$E$110</c:f>
              <c:numCache>
                <c:formatCode>#,##0</c:formatCode>
                <c:ptCount val="52"/>
                <c:pt idx="0">
                  <c:v>0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推移データ!F58</c:f>
              <c:strCache>
                <c:ptCount val="1"/>
                <c:pt idx="0">
                  <c:v>Google/常設</c:v>
                </c:pt>
              </c:strCache>
            </c:strRef>
          </c:tx>
          <c:spPr>
            <a:solidFill>
              <a:srgbClr val="0891B2"/>
            </a:solidFill>
            <a:ln w="21960">
              <a:solidFill>
                <a:srgbClr val="0891B2"/>
              </a:solidFill>
              <a:round/>
            </a:ln>
          </c:spPr>
          <c:marker>
            <c:symbol val="circle"/>
            <c:size val="4"/>
            <c:spPr>
              <a:solidFill>
                <a:srgbClr val="0891B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推移データ!$A$59:$A$110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推移データ!$F$59:$F$110</c:f>
              <c:numCache>
                <c:formatCode>#,##0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推移データ!G58</c:f>
              <c:strCache>
                <c:ptCount val="1"/>
                <c:pt idx="0">
                  <c:v>LINE/ウェビナー</c:v>
                </c:pt>
              </c:strCache>
            </c:strRef>
          </c:tx>
          <c:spPr>
            <a:solidFill>
              <a:srgbClr val="F59E0B"/>
            </a:solidFill>
            <a:ln w="21960">
              <a:solidFill>
                <a:srgbClr val="F59E0B"/>
              </a:solidFill>
              <a:round/>
            </a:ln>
          </c:spPr>
          <c:marker>
            <c:symbol val="circle"/>
            <c:size val="4"/>
            <c:spPr>
              <a:solidFill>
                <a:srgbClr val="F59E0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推移データ!$A$59:$A$110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推移データ!$G$59:$G$110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推移データ!H58</c:f>
              <c:strCache>
                <c:ptCount val="1"/>
                <c:pt idx="0">
                  <c:v>LINE/常設</c:v>
                </c:pt>
              </c:strCache>
            </c:strRef>
          </c:tx>
          <c:spPr>
            <a:solidFill>
              <a:srgbClr val="64748B"/>
            </a:solidFill>
            <a:ln w="21960">
              <a:solidFill>
                <a:srgbClr val="64748B"/>
              </a:solidFill>
              <a:round/>
            </a:ln>
          </c:spPr>
          <c:marker>
            <c:symbol val="circle"/>
            <c:size val="4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推移データ!$A$59:$A$110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推移データ!$H$59:$H$110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109534"/>
        <c:axId val="1081615"/>
      </c:lineChart>
      <c:catAx>
        <c:axId val="1310953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81615"/>
        <c:crosses val="autoZero"/>
        <c:auto val="1"/>
        <c:lblAlgn val="ctr"/>
        <c:lblOffset val="100"/>
        <c:noMultiLvlLbl val="0"/>
      </c:catAx>
      <c:valAx>
        <c:axId val="10816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10953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CPL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推移データ!B113</c:f>
              <c:strCache>
                <c:ptCount val="1"/>
                <c:pt idx="0">
                  <c:v>Meta/ウェビナー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circle"/>
            <c:size val="4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推移データ!$A$114:$A$165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推移データ!$B$114:$B$165</c:f>
              <c:numCache>
                <c:formatCode>\¥#,##0</c:formatCode>
                <c:ptCount val="52"/>
                <c:pt idx="0">
                  <c:v>2509.97142857143</c:v>
                </c:pt>
                <c:pt idx="1">
                  <c:v>2487.47058823529</c:v>
                </c:pt>
                <c:pt idx="2">
                  <c:v>3100</c:v>
                </c:pt>
                <c:pt idx="7">
                  <c:v>1303.48979591837</c:v>
                </c:pt>
                <c:pt idx="8">
                  <c:v>1518.83823529412</c:v>
                </c:pt>
                <c:pt idx="9">
                  <c:v>1112.63636363636</c:v>
                </c:pt>
                <c:pt idx="10">
                  <c:v>3265.21428571429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推移データ!C113</c:f>
              <c:strCache>
                <c:ptCount val="1"/>
                <c:pt idx="0">
                  <c:v>Meta/介護校</c:v>
                </c:pt>
              </c:strCache>
            </c:strRef>
          </c:tx>
          <c:spPr>
            <a:solidFill>
              <a:srgbClr val="DC2626"/>
            </a:solidFill>
            <a:ln w="21960">
              <a:solidFill>
                <a:srgbClr val="DC2626"/>
              </a:solidFill>
              <a:round/>
            </a:ln>
          </c:spPr>
          <c:marker>
            <c:symbol val="circle"/>
            <c:size val="4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推移データ!$A$114:$A$165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推移データ!$C$114:$C$165</c:f>
              <c:numCache>
                <c:formatCode>\¥#,##0</c:formatCode>
                <c:ptCount val="52"/>
                <c:pt idx="0">
                  <c:v>5824.94444444444</c:v>
                </c:pt>
                <c:pt idx="1">
                  <c:v>898.56862745098</c:v>
                </c:pt>
                <c:pt idx="2">
                  <c:v>2661.63636363636</c:v>
                </c:pt>
                <c:pt idx="3">
                  <c:v>2345.02941176471</c:v>
                </c:pt>
                <c:pt idx="4">
                  <c:v>3021.4</c:v>
                </c:pt>
                <c:pt idx="5">
                  <c:v>3394.09677419355</c:v>
                </c:pt>
                <c:pt idx="6">
                  <c:v>2576.68292682927</c:v>
                </c:pt>
                <c:pt idx="7">
                  <c:v>4136.96</c:v>
                </c:pt>
                <c:pt idx="8">
                  <c:v>4899.5</c:v>
                </c:pt>
                <c:pt idx="9">
                  <c:v>5165.36842105263</c:v>
                </c:pt>
                <c:pt idx="10">
                  <c:v>3950.26923076923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推移データ!D113</c:f>
              <c:strCache>
                <c:ptCount val="1"/>
                <c:pt idx="0">
                  <c:v>Meta/Claude</c:v>
                </c:pt>
              </c:strCache>
            </c:strRef>
          </c:tx>
          <c:spPr>
            <a:solidFill>
              <a:srgbClr val="16A34A"/>
            </a:solidFill>
            <a:ln w="21960">
              <a:solidFill>
                <a:srgbClr val="16A34A"/>
              </a:solidFill>
              <a:round/>
            </a:ln>
          </c:spPr>
          <c:marker>
            <c:symbol val="circle"/>
            <c:size val="4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推移データ!$A$114:$A$165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推移データ!$D$114:$D$165</c:f>
              <c:numCache>
                <c:formatCode>\¥#,##0</c:formatCode>
                <c:ptCount val="52"/>
                <c:pt idx="6">
                  <c:v>1448.07692307692</c:v>
                </c:pt>
                <c:pt idx="7">
                  <c:v>1891.78260869565</c:v>
                </c:pt>
                <c:pt idx="8">
                  <c:v>1592.2</c:v>
                </c:pt>
                <c:pt idx="9">
                  <c:v>1320.06451612903</c:v>
                </c:pt>
                <c:pt idx="10">
                  <c:v>1445.48148148148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推移データ!E113</c:f>
              <c:strCache>
                <c:ptCount val="1"/>
                <c:pt idx="0">
                  <c:v>Google/ウェビナー</c:v>
                </c:pt>
              </c:strCache>
            </c:strRef>
          </c:tx>
          <c:spPr>
            <a:solidFill>
              <a:srgbClr val="9333EA"/>
            </a:solidFill>
            <a:ln w="21960">
              <a:solidFill>
                <a:srgbClr val="9333EA"/>
              </a:solidFill>
              <a:round/>
            </a:ln>
          </c:spPr>
          <c:marker>
            <c:symbol val="circle"/>
            <c:size val="4"/>
            <c:spPr>
              <a:solidFill>
                <a:srgbClr val="9333E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推移データ!$A$114:$A$165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推移データ!$E$114:$E$165</c:f>
              <c:numCache>
                <c:formatCode>\¥#,##0</c:formatCode>
                <c:ptCount val="52"/>
                <c:pt idx="1">
                  <c:v>2697</c:v>
                </c:pt>
                <c:pt idx="2">
                  <c:v>10607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推移データ!F113</c:f>
              <c:strCache>
                <c:ptCount val="1"/>
                <c:pt idx="0">
                  <c:v>Google/常設</c:v>
                </c:pt>
              </c:strCache>
            </c:strRef>
          </c:tx>
          <c:spPr>
            <a:solidFill>
              <a:srgbClr val="0891B2"/>
            </a:solidFill>
            <a:ln w="21960">
              <a:solidFill>
                <a:srgbClr val="0891B2"/>
              </a:solidFill>
              <a:round/>
            </a:ln>
          </c:spPr>
          <c:marker>
            <c:symbol val="circle"/>
            <c:size val="4"/>
            <c:spPr>
              <a:solidFill>
                <a:srgbClr val="0891B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推移データ!$A$114:$A$165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推移データ!$F$114:$F$165</c:f>
              <c:numCache>
                <c:formatCode>\¥#,##0</c:formatCode>
                <c:ptCount val="52"/>
                <c:pt idx="1">
                  <c:v>2027</c:v>
                </c:pt>
                <c:pt idx="2">
                  <c:v>4884</c:v>
                </c:pt>
                <c:pt idx="3">
                  <c:v>4279</c:v>
                </c:pt>
                <c:pt idx="4">
                  <c:v>2503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推移データ!G113</c:f>
              <c:strCache>
                <c:ptCount val="1"/>
                <c:pt idx="0">
                  <c:v>LINE/ウェビナー</c:v>
                </c:pt>
              </c:strCache>
            </c:strRef>
          </c:tx>
          <c:spPr>
            <a:solidFill>
              <a:srgbClr val="F59E0B"/>
            </a:solidFill>
            <a:ln w="21960">
              <a:solidFill>
                <a:srgbClr val="F59E0B"/>
              </a:solidFill>
              <a:round/>
            </a:ln>
          </c:spPr>
          <c:marker>
            <c:symbol val="circle"/>
            <c:size val="4"/>
            <c:spPr>
              <a:solidFill>
                <a:srgbClr val="F59E0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推移データ!$A$114:$A$165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推移データ!$G$114:$G$165</c:f>
              <c:numCache>
                <c:formatCode>General</c:formatCode>
                <c:ptCount val="52"/>
              </c:numCache>
            </c:numRef>
          </c:val>
          <c:smooth val="0"/>
        </c:ser>
        <c:ser>
          <c:idx val="6"/>
          <c:order val="6"/>
          <c:tx>
            <c:strRef>
              <c:f>推移データ!H113</c:f>
              <c:strCache>
                <c:ptCount val="1"/>
                <c:pt idx="0">
                  <c:v>LINE/常設</c:v>
                </c:pt>
              </c:strCache>
            </c:strRef>
          </c:tx>
          <c:spPr>
            <a:solidFill>
              <a:srgbClr val="64748B"/>
            </a:solidFill>
            <a:ln w="21960">
              <a:solidFill>
                <a:srgbClr val="64748B"/>
              </a:solidFill>
              <a:round/>
            </a:ln>
          </c:spPr>
          <c:marker>
            <c:symbol val="circle"/>
            <c:size val="4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推移データ!$A$114:$A$165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推移データ!$H$114:$H$165</c:f>
              <c:numCache>
                <c:formatCode>General</c:formatCode>
                <c:ptCount val="52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747771"/>
        <c:axId val="77698498"/>
      </c:lineChart>
      <c:catAx>
        <c:axId val="8974777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698498"/>
        <c:crosses val="autoZero"/>
        <c:auto val="1"/>
        <c:lblAlgn val="ctr"/>
        <c:lblOffset val="100"/>
        <c:noMultiLvlLbl val="0"/>
      </c:catAx>
      <c:valAx>
        <c:axId val="776984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¥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7477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CPM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推移データ!B168</c:f>
              <c:strCache>
                <c:ptCount val="1"/>
                <c:pt idx="0">
                  <c:v>Meta/ウェビナー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circle"/>
            <c:size val="4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推移データ!$A$169:$A$220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推移データ!$B$169:$B$220</c:f>
              <c:numCache>
                <c:formatCode>\¥#,##0</c:formatCode>
                <c:ptCount val="52"/>
                <c:pt idx="0">
                  <c:v>2306.89845329692</c:v>
                </c:pt>
                <c:pt idx="1">
                  <c:v>2570.87272395659</c:v>
                </c:pt>
                <c:pt idx="2">
                  <c:v>3438.17931768777</c:v>
                </c:pt>
                <c:pt idx="7">
                  <c:v>3507.66104673513</c:v>
                </c:pt>
                <c:pt idx="8">
                  <c:v>2523.85025169835</c:v>
                </c:pt>
                <c:pt idx="9">
                  <c:v>2864.71093079504</c:v>
                </c:pt>
                <c:pt idx="10">
                  <c:v>2878.19927593263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推移データ!C168</c:f>
              <c:strCache>
                <c:ptCount val="1"/>
                <c:pt idx="0">
                  <c:v>Meta/介護校</c:v>
                </c:pt>
              </c:strCache>
            </c:strRef>
          </c:tx>
          <c:spPr>
            <a:solidFill>
              <a:srgbClr val="DC2626"/>
            </a:solidFill>
            <a:ln w="21960">
              <a:solidFill>
                <a:srgbClr val="DC2626"/>
              </a:solidFill>
              <a:round/>
            </a:ln>
          </c:spPr>
          <c:marker>
            <c:symbol val="circle"/>
            <c:size val="4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推移データ!$A$169:$A$220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推移データ!$C$169:$C$220</c:f>
              <c:numCache>
                <c:formatCode>\¥#,##0</c:formatCode>
                <c:ptCount val="52"/>
                <c:pt idx="0">
                  <c:v>906.512078297107</c:v>
                </c:pt>
                <c:pt idx="1">
                  <c:v>2302.17019993972</c:v>
                </c:pt>
                <c:pt idx="2">
                  <c:v>3086.93130897781</c:v>
                </c:pt>
                <c:pt idx="3">
                  <c:v>3289.77554051824</c:v>
                </c:pt>
                <c:pt idx="4">
                  <c:v>3957.22785615388</c:v>
                </c:pt>
                <c:pt idx="5">
                  <c:v>4483.42423725925</c:v>
                </c:pt>
                <c:pt idx="6">
                  <c:v>4715.19750055791</c:v>
                </c:pt>
                <c:pt idx="7">
                  <c:v>4982.60827672592</c:v>
                </c:pt>
                <c:pt idx="8">
                  <c:v>5097.38787946346</c:v>
                </c:pt>
                <c:pt idx="9">
                  <c:v>5819.96086105675</c:v>
                </c:pt>
                <c:pt idx="10">
                  <c:v>3181.55628523635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推移データ!D168</c:f>
              <c:strCache>
                <c:ptCount val="1"/>
                <c:pt idx="0">
                  <c:v>Meta/Claude</c:v>
                </c:pt>
              </c:strCache>
            </c:strRef>
          </c:tx>
          <c:spPr>
            <a:solidFill>
              <a:srgbClr val="16A34A"/>
            </a:solidFill>
            <a:ln w="21960">
              <a:solidFill>
                <a:srgbClr val="16A34A"/>
              </a:solidFill>
              <a:round/>
            </a:ln>
          </c:spPr>
          <c:marker>
            <c:symbol val="circle"/>
            <c:size val="4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推移データ!$A$169:$A$220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推移データ!$D$169:$D$220</c:f>
              <c:numCache>
                <c:formatCode>\¥#,##0</c:formatCode>
                <c:ptCount val="52"/>
                <c:pt idx="5">
                  <c:v>2571.42857142857</c:v>
                </c:pt>
                <c:pt idx="6">
                  <c:v>4506.82307876466</c:v>
                </c:pt>
                <c:pt idx="7">
                  <c:v>1854.37265598363</c:v>
                </c:pt>
                <c:pt idx="8">
                  <c:v>3338.64541832669</c:v>
                </c:pt>
                <c:pt idx="9">
                  <c:v>2538.2706860191</c:v>
                </c:pt>
                <c:pt idx="10">
                  <c:v>2460.1613716591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推移データ!E168</c:f>
              <c:strCache>
                <c:ptCount val="1"/>
                <c:pt idx="0">
                  <c:v>Google/ウェビナー</c:v>
                </c:pt>
              </c:strCache>
            </c:strRef>
          </c:tx>
          <c:spPr>
            <a:solidFill>
              <a:srgbClr val="9333EA"/>
            </a:solidFill>
            <a:ln w="21960">
              <a:solidFill>
                <a:srgbClr val="9333EA"/>
              </a:solidFill>
              <a:round/>
            </a:ln>
          </c:spPr>
          <c:marker>
            <c:symbol val="circle"/>
            <c:size val="4"/>
            <c:spPr>
              <a:solidFill>
                <a:srgbClr val="9333E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推移データ!$A$169:$A$220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推移データ!$E$169:$E$220</c:f>
              <c:numCache>
                <c:formatCode>\¥#,##0</c:formatCode>
                <c:ptCount val="52"/>
                <c:pt idx="0">
                  <c:v>14986.6814650388</c:v>
                </c:pt>
                <c:pt idx="1">
                  <c:v>8514.60142067877</c:v>
                </c:pt>
                <c:pt idx="2">
                  <c:v>19534.0699815838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推移データ!F168</c:f>
              <c:strCache>
                <c:ptCount val="1"/>
                <c:pt idx="0">
                  <c:v>Google/常設</c:v>
                </c:pt>
              </c:strCache>
            </c:strRef>
          </c:tx>
          <c:spPr>
            <a:solidFill>
              <a:srgbClr val="0891B2"/>
            </a:solidFill>
            <a:ln w="21960">
              <a:solidFill>
                <a:srgbClr val="0891B2"/>
              </a:solidFill>
              <a:round/>
            </a:ln>
          </c:spPr>
          <c:marker>
            <c:symbol val="circle"/>
            <c:size val="4"/>
            <c:spPr>
              <a:solidFill>
                <a:srgbClr val="0891B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推移データ!$A$169:$A$220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推移データ!$F$169:$F$220</c:f>
              <c:numCache>
                <c:formatCode>\¥#,##0</c:formatCode>
                <c:ptCount val="52"/>
                <c:pt idx="0">
                  <c:v>14857.1428571429</c:v>
                </c:pt>
                <c:pt idx="1">
                  <c:v>20474.7474747475</c:v>
                </c:pt>
                <c:pt idx="2">
                  <c:v>25393.4142114385</c:v>
                </c:pt>
                <c:pt idx="3">
                  <c:v>26251.5337423313</c:v>
                </c:pt>
                <c:pt idx="4">
                  <c:v>41716.6666666667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推移データ!G168</c:f>
              <c:strCache>
                <c:ptCount val="1"/>
                <c:pt idx="0">
                  <c:v>LINE/ウェビナー</c:v>
                </c:pt>
              </c:strCache>
            </c:strRef>
          </c:tx>
          <c:spPr>
            <a:solidFill>
              <a:srgbClr val="F59E0B"/>
            </a:solidFill>
            <a:ln w="21960">
              <a:solidFill>
                <a:srgbClr val="F59E0B"/>
              </a:solidFill>
              <a:round/>
            </a:ln>
          </c:spPr>
          <c:marker>
            <c:symbol val="circle"/>
            <c:size val="4"/>
            <c:spPr>
              <a:solidFill>
                <a:srgbClr val="F59E0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推移データ!$A$169:$A$220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推移データ!$G$169:$G$220</c:f>
              <c:numCache>
                <c:formatCode>\¥#,##0</c:formatCode>
                <c:ptCount val="52"/>
                <c:pt idx="0">
                  <c:v>47.8675557465467</c:v>
                </c:pt>
                <c:pt idx="1">
                  <c:v>48.6078831969502</c:v>
                </c:pt>
                <c:pt idx="2">
                  <c:v>74.0733872134297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推移データ!H168</c:f>
              <c:strCache>
                <c:ptCount val="1"/>
                <c:pt idx="0">
                  <c:v>LINE/常設</c:v>
                </c:pt>
              </c:strCache>
            </c:strRef>
          </c:tx>
          <c:spPr>
            <a:solidFill>
              <a:srgbClr val="64748B"/>
            </a:solidFill>
            <a:ln w="21960">
              <a:solidFill>
                <a:srgbClr val="64748B"/>
              </a:solidFill>
              <a:round/>
            </a:ln>
          </c:spPr>
          <c:marker>
            <c:symbol val="circle"/>
            <c:size val="4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推移データ!$A$169:$A$220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推移データ!$H$169:$H$220</c:f>
              <c:numCache>
                <c:formatCode>\¥#,##0</c:formatCode>
                <c:ptCount val="52"/>
                <c:pt idx="0">
                  <c:v>59.8833775015572</c:v>
                </c:pt>
                <c:pt idx="1">
                  <c:v>41.4387914548253</c:v>
                </c:pt>
                <c:pt idx="2">
                  <c:v>44.5349803301334</c:v>
                </c:pt>
                <c:pt idx="3">
                  <c:v>57.1933112296382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978780"/>
        <c:axId val="52711229"/>
      </c:lineChart>
      <c:catAx>
        <c:axId val="1997878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711229"/>
        <c:crosses val="autoZero"/>
        <c:auto val="1"/>
        <c:lblAlgn val="ctr"/>
        <c:lblOffset val="100"/>
        <c:noMultiLvlLbl val="0"/>
      </c:catAx>
      <c:valAx>
        <c:axId val="52711229"/>
        <c:scaling>
          <c:orientation val="minMax"/>
          <c:max val="100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¥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9787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CTR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推移データ!B223</c:f>
              <c:strCache>
                <c:ptCount val="1"/>
                <c:pt idx="0">
                  <c:v>Meta/ウェビナー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circle"/>
            <c:size val="4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推移データ!$A$224:$A$275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推移データ!$B$224:$B$275</c:f>
              <c:numCache>
                <c:formatCode>0.0%</c:formatCode>
                <c:ptCount val="52"/>
                <c:pt idx="0">
                  <c:v>0.0160710065386938</c:v>
                </c:pt>
                <c:pt idx="1">
                  <c:v>0.0160500957534122</c:v>
                </c:pt>
                <c:pt idx="2">
                  <c:v>0.0204516214897298</c:v>
                </c:pt>
                <c:pt idx="7">
                  <c:v>0.0257564940414081</c:v>
                </c:pt>
                <c:pt idx="8">
                  <c:v>0.0158594399100728</c:v>
                </c:pt>
                <c:pt idx="9">
                  <c:v>0.0181009596629476</c:v>
                </c:pt>
                <c:pt idx="10">
                  <c:v>0.0145128285849205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推移データ!C223</c:f>
              <c:strCache>
                <c:ptCount val="1"/>
                <c:pt idx="0">
                  <c:v>Meta/介護校</c:v>
                </c:pt>
              </c:strCache>
            </c:strRef>
          </c:tx>
          <c:spPr>
            <a:solidFill>
              <a:srgbClr val="DC2626"/>
            </a:solidFill>
            <a:ln w="21960">
              <a:solidFill>
                <a:srgbClr val="DC2626"/>
              </a:solidFill>
              <a:round/>
            </a:ln>
          </c:spPr>
          <c:marker>
            <c:symbol val="circle"/>
            <c:size val="4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推移データ!$A$224:$A$275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推移データ!$C$224:$C$275</c:f>
              <c:numCache>
                <c:formatCode>0.0%</c:formatCode>
                <c:ptCount val="52"/>
                <c:pt idx="0">
                  <c:v>0.0835019280316785</c:v>
                </c:pt>
                <c:pt idx="1">
                  <c:v>0.0281824575504873</c:v>
                </c:pt>
                <c:pt idx="2">
                  <c:v>0.0339501291581001</c:v>
                </c:pt>
                <c:pt idx="3">
                  <c:v>0.025623040105628</c:v>
                </c:pt>
                <c:pt idx="4">
                  <c:v>0.0324439621300004</c:v>
                </c:pt>
                <c:pt idx="5">
                  <c:v>0.0340889722174876</c:v>
                </c:pt>
                <c:pt idx="6">
                  <c:v>0.0359741129212229</c:v>
                </c:pt>
                <c:pt idx="7">
                  <c:v>0.0302548537842656</c:v>
                </c:pt>
                <c:pt idx="8">
                  <c:v>0.0307658009140564</c:v>
                </c:pt>
                <c:pt idx="9">
                  <c:v>0.0275751645614659</c:v>
                </c:pt>
                <c:pt idx="10">
                  <c:v>0.0239452326373831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推移データ!D223</c:f>
              <c:strCache>
                <c:ptCount val="1"/>
                <c:pt idx="0">
                  <c:v>Meta/Claude</c:v>
                </c:pt>
              </c:strCache>
            </c:strRef>
          </c:tx>
          <c:spPr>
            <a:solidFill>
              <a:srgbClr val="16A34A"/>
            </a:solidFill>
            <a:ln w="21960">
              <a:solidFill>
                <a:srgbClr val="16A34A"/>
              </a:solidFill>
              <a:round/>
            </a:ln>
          </c:spPr>
          <c:marker>
            <c:symbol val="circle"/>
            <c:size val="4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推移データ!$A$224:$A$275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推移データ!$D$224:$D$275</c:f>
              <c:numCache>
                <c:formatCode>0.0%</c:formatCode>
                <c:ptCount val="52"/>
                <c:pt idx="5">
                  <c:v>0.152380952380952</c:v>
                </c:pt>
                <c:pt idx="6">
                  <c:v>0.0615274120181949</c:v>
                </c:pt>
                <c:pt idx="7">
                  <c:v>0.0272332083191272</c:v>
                </c:pt>
                <c:pt idx="8">
                  <c:v>0.0322219892360383</c:v>
                </c:pt>
                <c:pt idx="9">
                  <c:v>0.0289046024066493</c:v>
                </c:pt>
                <c:pt idx="10">
                  <c:v>0.0241427130610187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推移データ!E223</c:f>
              <c:strCache>
                <c:ptCount val="1"/>
                <c:pt idx="0">
                  <c:v>Google/ウェビナー</c:v>
                </c:pt>
              </c:strCache>
            </c:strRef>
          </c:tx>
          <c:spPr>
            <a:solidFill>
              <a:srgbClr val="9333EA"/>
            </a:solidFill>
            <a:ln w="21960">
              <a:solidFill>
                <a:srgbClr val="9333EA"/>
              </a:solidFill>
              <a:round/>
            </a:ln>
          </c:spPr>
          <c:marker>
            <c:symbol val="circle"/>
            <c:size val="4"/>
            <c:spPr>
              <a:solidFill>
                <a:srgbClr val="9333E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推移データ!$A$224:$A$275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推移データ!$E$224:$E$275</c:f>
              <c:numCache>
                <c:formatCode>0.0%</c:formatCode>
                <c:ptCount val="52"/>
                <c:pt idx="0">
                  <c:v>0.276359600443951</c:v>
                </c:pt>
                <c:pt idx="1">
                  <c:v>0.0931333859510655</c:v>
                </c:pt>
                <c:pt idx="2">
                  <c:v>0.0441988950276243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推移データ!F223</c:f>
              <c:strCache>
                <c:ptCount val="1"/>
                <c:pt idx="0">
                  <c:v>Google/常設</c:v>
                </c:pt>
              </c:strCache>
            </c:strRef>
          </c:tx>
          <c:spPr>
            <a:solidFill>
              <a:srgbClr val="0891B2"/>
            </a:solidFill>
            <a:ln w="21960">
              <a:solidFill>
                <a:srgbClr val="0891B2"/>
              </a:solidFill>
              <a:round/>
            </a:ln>
          </c:spPr>
          <c:marker>
            <c:symbol val="circle"/>
            <c:size val="4"/>
            <c:spPr>
              <a:solidFill>
                <a:srgbClr val="0891B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推移データ!$A$224:$A$275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推移データ!$F$224:$F$275</c:f>
              <c:numCache>
                <c:formatCode>0.0%</c:formatCode>
                <c:ptCount val="52"/>
                <c:pt idx="0">
                  <c:v>0.408163265306122</c:v>
                </c:pt>
                <c:pt idx="1">
                  <c:v>0.313131313131313</c:v>
                </c:pt>
                <c:pt idx="2">
                  <c:v>0.428076256499133</c:v>
                </c:pt>
                <c:pt idx="3">
                  <c:v>0.355828220858896</c:v>
                </c:pt>
                <c:pt idx="4">
                  <c:v>0.333333333333333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推移データ!G223</c:f>
              <c:strCache>
                <c:ptCount val="1"/>
                <c:pt idx="0">
                  <c:v>LINE/ウェビナー</c:v>
                </c:pt>
              </c:strCache>
            </c:strRef>
          </c:tx>
          <c:spPr>
            <a:solidFill>
              <a:srgbClr val="F59E0B"/>
            </a:solidFill>
            <a:ln w="21960">
              <a:solidFill>
                <a:srgbClr val="F59E0B"/>
              </a:solidFill>
              <a:round/>
            </a:ln>
          </c:spPr>
          <c:marker>
            <c:symbol val="circle"/>
            <c:size val="4"/>
            <c:spPr>
              <a:solidFill>
                <a:srgbClr val="F59E0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推移データ!$A$224:$A$275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推移データ!$G$224:$G$275</c:f>
              <c:numCache>
                <c:formatCode>0.0%</c:formatCode>
                <c:ptCount val="52"/>
                <c:pt idx="0">
                  <c:v>0.0433044054612132</c:v>
                </c:pt>
                <c:pt idx="1">
                  <c:v>0.0545172181445409</c:v>
                </c:pt>
                <c:pt idx="2">
                  <c:v>0.0528761808679913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推移データ!H223</c:f>
              <c:strCache>
                <c:ptCount val="1"/>
                <c:pt idx="0">
                  <c:v>LINE/常設</c:v>
                </c:pt>
              </c:strCache>
            </c:strRef>
          </c:tx>
          <c:spPr>
            <a:solidFill>
              <a:srgbClr val="64748B"/>
            </a:solidFill>
            <a:ln w="21960">
              <a:solidFill>
                <a:srgbClr val="64748B"/>
              </a:solidFill>
              <a:round/>
            </a:ln>
          </c:spPr>
          <c:marker>
            <c:symbol val="circle"/>
            <c:size val="4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推移データ!$A$224:$A$275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推移データ!$H$224:$H$275</c:f>
              <c:numCache>
                <c:formatCode>0.0%</c:formatCode>
                <c:ptCount val="52"/>
                <c:pt idx="0">
                  <c:v>0.0538683779267673</c:v>
                </c:pt>
                <c:pt idx="1">
                  <c:v>0.028798276505434</c:v>
                </c:pt>
                <c:pt idx="2">
                  <c:v>0.0327964577556666</c:v>
                </c:pt>
                <c:pt idx="3">
                  <c:v>0.0370432103214646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567805"/>
        <c:axId val="33792233"/>
      </c:lineChart>
      <c:catAx>
        <c:axId val="5956780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792233"/>
        <c:crosses val="autoZero"/>
        <c:auto val="1"/>
        <c:lblAlgn val="ctr"/>
        <c:lblOffset val="100"/>
        <c:noMultiLvlLbl val="0"/>
      </c:catAx>
      <c:valAx>
        <c:axId val="337922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5678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CPC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推移データ!B278</c:f>
              <c:strCache>
                <c:ptCount val="1"/>
                <c:pt idx="0">
                  <c:v>Meta/ウェビナー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circle"/>
            <c:size val="4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推移データ!$A$279:$A$330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推移データ!$B$279:$B$330</c:f>
              <c:numCache>
                <c:formatCode>\¥#,##0</c:formatCode>
                <c:ptCount val="52"/>
                <c:pt idx="0">
                  <c:v>143.544117647059</c:v>
                </c:pt>
                <c:pt idx="1">
                  <c:v>160.17803030303</c:v>
                </c:pt>
                <c:pt idx="2">
                  <c:v>168.112798264642</c:v>
                </c:pt>
                <c:pt idx="7">
                  <c:v>136.185501066098</c:v>
                </c:pt>
                <c:pt idx="8">
                  <c:v>159.138674884438</c:v>
                </c:pt>
                <c:pt idx="9">
                  <c:v>158.262931034483</c:v>
                </c:pt>
                <c:pt idx="10">
                  <c:v>198.321041214751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推移データ!C278</c:f>
              <c:strCache>
                <c:ptCount val="1"/>
                <c:pt idx="0">
                  <c:v>Meta/介護校</c:v>
                </c:pt>
              </c:strCache>
            </c:strRef>
          </c:tx>
          <c:spPr>
            <a:solidFill>
              <a:srgbClr val="DC2626"/>
            </a:solidFill>
            <a:ln w="21960">
              <a:solidFill>
                <a:srgbClr val="DC2626"/>
              </a:solidFill>
              <a:round/>
            </a:ln>
          </c:spPr>
          <c:marker>
            <c:symbol val="circle"/>
            <c:size val="4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推移データ!$A$279:$A$330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推移データ!$C$279:$C$330</c:f>
              <c:numCache>
                <c:formatCode>\¥#,##0</c:formatCode>
                <c:ptCount val="52"/>
                <c:pt idx="0">
                  <c:v>10.8561814040174</c:v>
                </c:pt>
                <c:pt idx="1">
                  <c:v>81.6880570409982</c:v>
                </c:pt>
                <c:pt idx="2">
                  <c:v>90.9254658385093</c:v>
                </c:pt>
                <c:pt idx="3">
                  <c:v>128.391304347826</c:v>
                </c:pt>
                <c:pt idx="4">
                  <c:v>121.971164936563</c:v>
                </c:pt>
                <c:pt idx="5">
                  <c:v>131.52125</c:v>
                </c:pt>
                <c:pt idx="6">
                  <c:v>131.071960297767</c:v>
                </c:pt>
                <c:pt idx="7">
                  <c:v>164.687898089172</c:v>
                </c:pt>
                <c:pt idx="8">
                  <c:v>165.683574879227</c:v>
                </c:pt>
                <c:pt idx="9">
                  <c:v>211.058064516129</c:v>
                </c:pt>
                <c:pt idx="10">
                  <c:v>132.868046571798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推移データ!D278</c:f>
              <c:strCache>
                <c:ptCount val="1"/>
                <c:pt idx="0">
                  <c:v>Meta/Claude</c:v>
                </c:pt>
              </c:strCache>
            </c:strRef>
          </c:tx>
          <c:spPr>
            <a:solidFill>
              <a:srgbClr val="16A34A"/>
            </a:solidFill>
            <a:ln w="21960">
              <a:solidFill>
                <a:srgbClr val="16A34A"/>
              </a:solidFill>
              <a:round/>
            </a:ln>
          </c:spPr>
          <c:marker>
            <c:symbol val="circle"/>
            <c:size val="4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推移データ!$A$279:$A$330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推移データ!$D$279:$D$330</c:f>
              <c:numCache>
                <c:formatCode>\¥#,##0</c:formatCode>
                <c:ptCount val="52"/>
                <c:pt idx="5">
                  <c:v>16.875</c:v>
                </c:pt>
                <c:pt idx="6">
                  <c:v>73.2490272373541</c:v>
                </c:pt>
                <c:pt idx="7">
                  <c:v>68.0923317683881</c:v>
                </c:pt>
                <c:pt idx="8">
                  <c:v>103.613882863341</c:v>
                </c:pt>
                <c:pt idx="9">
                  <c:v>87.8154506437768</c:v>
                </c:pt>
                <c:pt idx="10">
                  <c:v>101.900783289817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推移データ!E278</c:f>
              <c:strCache>
                <c:ptCount val="1"/>
                <c:pt idx="0">
                  <c:v>Google/ウェビナー</c:v>
                </c:pt>
              </c:strCache>
            </c:strRef>
          </c:tx>
          <c:spPr>
            <a:solidFill>
              <a:srgbClr val="9333EA"/>
            </a:solidFill>
            <a:ln w="21960">
              <a:solidFill>
                <a:srgbClr val="9333EA"/>
              </a:solidFill>
              <a:round/>
            </a:ln>
          </c:spPr>
          <c:marker>
            <c:symbol val="circle"/>
            <c:size val="4"/>
            <c:spPr>
              <a:solidFill>
                <a:srgbClr val="9333E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推移データ!$A$279:$A$330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推移データ!$E$279:$E$330</c:f>
              <c:numCache>
                <c:formatCode>\¥#,##0</c:formatCode>
                <c:ptCount val="52"/>
                <c:pt idx="0">
                  <c:v>54.2289156626506</c:v>
                </c:pt>
                <c:pt idx="1">
                  <c:v>91.4237288135593</c:v>
                </c:pt>
                <c:pt idx="2">
                  <c:v>441.958333333333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推移データ!F278</c:f>
              <c:strCache>
                <c:ptCount val="1"/>
                <c:pt idx="0">
                  <c:v>Google/常設</c:v>
                </c:pt>
              </c:strCache>
            </c:strRef>
          </c:tx>
          <c:spPr>
            <a:solidFill>
              <a:srgbClr val="0891B2"/>
            </a:solidFill>
            <a:ln w="21960">
              <a:solidFill>
                <a:srgbClr val="0891B2"/>
              </a:solidFill>
              <a:round/>
            </a:ln>
          </c:spPr>
          <c:marker>
            <c:symbol val="circle"/>
            <c:size val="4"/>
            <c:spPr>
              <a:solidFill>
                <a:srgbClr val="0891B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推移データ!$A$279:$A$330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推移データ!$F$279:$F$330</c:f>
              <c:numCache>
                <c:formatCode>\¥#,##0</c:formatCode>
                <c:ptCount val="52"/>
                <c:pt idx="0">
                  <c:v>36.4</c:v>
                </c:pt>
                <c:pt idx="1">
                  <c:v>65.3870967741936</c:v>
                </c:pt>
                <c:pt idx="2">
                  <c:v>59.3198380566802</c:v>
                </c:pt>
                <c:pt idx="3">
                  <c:v>73.7758620689655</c:v>
                </c:pt>
                <c:pt idx="4">
                  <c:v>125.15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推移データ!G278</c:f>
              <c:strCache>
                <c:ptCount val="1"/>
                <c:pt idx="0">
                  <c:v>LINE/ウェビナー</c:v>
                </c:pt>
              </c:strCache>
            </c:strRef>
          </c:tx>
          <c:spPr>
            <a:solidFill>
              <a:srgbClr val="F59E0B"/>
            </a:solidFill>
            <a:ln w="21960">
              <a:solidFill>
                <a:srgbClr val="F59E0B"/>
              </a:solidFill>
              <a:round/>
            </a:ln>
          </c:spPr>
          <c:marker>
            <c:symbol val="circle"/>
            <c:size val="4"/>
            <c:spPr>
              <a:solidFill>
                <a:srgbClr val="F59E0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推移データ!$A$279:$A$330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推移データ!$G$279:$G$330</c:f>
              <c:numCache>
                <c:formatCode>\¥#,##0</c:formatCode>
                <c:ptCount val="52"/>
                <c:pt idx="0">
                  <c:v>1.10537381212682</c:v>
                </c:pt>
                <c:pt idx="1">
                  <c:v>0.891606080634501</c:v>
                </c:pt>
                <c:pt idx="2">
                  <c:v>1.40088383838384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推移データ!H278</c:f>
              <c:strCache>
                <c:ptCount val="1"/>
                <c:pt idx="0">
                  <c:v>LINE/常設</c:v>
                </c:pt>
              </c:strCache>
            </c:strRef>
          </c:tx>
          <c:spPr>
            <a:solidFill>
              <a:srgbClr val="64748B"/>
            </a:solidFill>
            <a:ln w="21960">
              <a:solidFill>
                <a:srgbClr val="64748B"/>
              </a:solidFill>
              <a:round/>
            </a:ln>
          </c:spPr>
          <c:marker>
            <c:symbol val="circle"/>
            <c:size val="4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推移データ!$A$279:$A$330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推移データ!$H$279:$H$330</c:f>
              <c:numCache>
                <c:formatCode>\¥#,##0</c:formatCode>
                <c:ptCount val="52"/>
                <c:pt idx="0">
                  <c:v>1.11166104876904</c:v>
                </c:pt>
                <c:pt idx="1">
                  <c:v>1.43893303639216</c:v>
                </c:pt>
                <c:pt idx="2">
                  <c:v>1.35792043951572</c:v>
                </c:pt>
                <c:pt idx="3">
                  <c:v>1.5439620576432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442432"/>
        <c:axId val="7349745"/>
      </c:lineChart>
      <c:catAx>
        <c:axId val="7344243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49745"/>
        <c:crosses val="autoZero"/>
        <c:auto val="1"/>
        <c:lblAlgn val="ctr"/>
        <c:lblOffset val="100"/>
        <c:noMultiLvlLbl val="0"/>
      </c:catAx>
      <c:valAx>
        <c:axId val="7349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¥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4424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CVR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推移データ!B333</c:f>
              <c:strCache>
                <c:ptCount val="1"/>
                <c:pt idx="0">
                  <c:v>Meta/ウェビナー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circle"/>
            <c:size val="4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推移データ!$A$334:$A$385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推移データ!$B$334:$B$385</c:f>
              <c:numCache>
                <c:formatCode>0.0%</c:formatCode>
                <c:ptCount val="52"/>
                <c:pt idx="0">
                  <c:v>0.0571895424836601</c:v>
                </c:pt>
                <c:pt idx="1">
                  <c:v>0.0643939393939394</c:v>
                </c:pt>
                <c:pt idx="2">
                  <c:v>0.0542299349240781</c:v>
                </c:pt>
                <c:pt idx="7">
                  <c:v>0.104477611940299</c:v>
                </c:pt>
                <c:pt idx="8">
                  <c:v>0.104776579352851</c:v>
                </c:pt>
                <c:pt idx="9">
                  <c:v>0.142241379310345</c:v>
                </c:pt>
                <c:pt idx="10">
                  <c:v>0.0607375271149675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推移データ!C333</c:f>
              <c:strCache>
                <c:ptCount val="1"/>
                <c:pt idx="0">
                  <c:v>Meta/介護校</c:v>
                </c:pt>
              </c:strCache>
            </c:strRef>
          </c:tx>
          <c:spPr>
            <a:solidFill>
              <a:srgbClr val="DC2626"/>
            </a:solidFill>
            <a:ln w="21960">
              <a:solidFill>
                <a:srgbClr val="DC2626"/>
              </a:solidFill>
              <a:round/>
            </a:ln>
          </c:spPr>
          <c:marker>
            <c:symbol val="circle"/>
            <c:size val="4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推移データ!$A$334:$A$385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推移データ!$C$334:$C$385</c:f>
              <c:numCache>
                <c:formatCode>0.0%</c:formatCode>
                <c:ptCount val="52"/>
                <c:pt idx="0">
                  <c:v>0.00186373990474218</c:v>
                </c:pt>
                <c:pt idx="1">
                  <c:v>0.0909090909090909</c:v>
                </c:pt>
                <c:pt idx="2">
                  <c:v>0.0341614906832298</c:v>
                </c:pt>
                <c:pt idx="3">
                  <c:v>0.0547504025764895</c:v>
                </c:pt>
                <c:pt idx="4">
                  <c:v>0.0403690888119954</c:v>
                </c:pt>
                <c:pt idx="5">
                  <c:v>0.03875</c:v>
                </c:pt>
                <c:pt idx="6">
                  <c:v>0.0508684863523573</c:v>
                </c:pt>
                <c:pt idx="7">
                  <c:v>0.0398089171974522</c:v>
                </c:pt>
                <c:pt idx="8">
                  <c:v>0.0338164251207729</c:v>
                </c:pt>
                <c:pt idx="9">
                  <c:v>0.0408602150537634</c:v>
                </c:pt>
                <c:pt idx="10">
                  <c:v>0.0336351875808538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推移データ!D333</c:f>
              <c:strCache>
                <c:ptCount val="1"/>
                <c:pt idx="0">
                  <c:v>Meta/Claude</c:v>
                </c:pt>
              </c:strCache>
            </c:strRef>
          </c:tx>
          <c:spPr>
            <a:solidFill>
              <a:srgbClr val="16A34A"/>
            </a:solidFill>
            <a:ln w="21960">
              <a:solidFill>
                <a:srgbClr val="16A34A"/>
              </a:solidFill>
              <a:round/>
            </a:ln>
          </c:spPr>
          <c:marker>
            <c:symbol val="circle"/>
            <c:size val="4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推移データ!$A$334:$A$385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推移データ!$D$334:$D$385</c:f>
              <c:numCache>
                <c:formatCode>0.0%</c:formatCode>
                <c:ptCount val="52"/>
                <c:pt idx="5">
                  <c:v>0</c:v>
                </c:pt>
                <c:pt idx="6">
                  <c:v>0.0505836575875486</c:v>
                </c:pt>
                <c:pt idx="7">
                  <c:v>0.0359937402190923</c:v>
                </c:pt>
                <c:pt idx="8">
                  <c:v>0.0650759219088937</c:v>
                </c:pt>
                <c:pt idx="9">
                  <c:v>0.0665236051502146</c:v>
                </c:pt>
                <c:pt idx="10">
                  <c:v>0.0704960835509138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推移データ!E333</c:f>
              <c:strCache>
                <c:ptCount val="1"/>
                <c:pt idx="0">
                  <c:v>Google/ウェビナー</c:v>
                </c:pt>
              </c:strCache>
            </c:strRef>
          </c:tx>
          <c:spPr>
            <a:solidFill>
              <a:srgbClr val="9333EA"/>
            </a:solidFill>
            <a:ln w="21960">
              <a:solidFill>
                <a:srgbClr val="9333EA"/>
              </a:solidFill>
              <a:round/>
            </a:ln>
          </c:spPr>
          <c:marker>
            <c:symbol val="circle"/>
            <c:size val="4"/>
            <c:spPr>
              <a:solidFill>
                <a:srgbClr val="9333E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推移データ!$A$334:$A$385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推移データ!$E$334:$E$385</c:f>
              <c:numCache>
                <c:formatCode>0.0%</c:formatCode>
                <c:ptCount val="52"/>
                <c:pt idx="0">
                  <c:v>0</c:v>
                </c:pt>
                <c:pt idx="1">
                  <c:v>0.0338983050847458</c:v>
                </c:pt>
                <c:pt idx="2">
                  <c:v>0.0416666666666667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推移データ!F333</c:f>
              <c:strCache>
                <c:ptCount val="1"/>
                <c:pt idx="0">
                  <c:v>Google/常設</c:v>
                </c:pt>
              </c:strCache>
            </c:strRef>
          </c:tx>
          <c:spPr>
            <a:solidFill>
              <a:srgbClr val="0891B2"/>
            </a:solidFill>
            <a:ln w="21960">
              <a:solidFill>
                <a:srgbClr val="0891B2"/>
              </a:solidFill>
              <a:round/>
            </a:ln>
          </c:spPr>
          <c:marker>
            <c:symbol val="circle"/>
            <c:size val="4"/>
            <c:spPr>
              <a:solidFill>
                <a:srgbClr val="0891B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推移データ!$A$334:$A$385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推移データ!$F$334:$F$385</c:f>
              <c:numCache>
                <c:formatCode>0.0%</c:formatCode>
                <c:ptCount val="52"/>
                <c:pt idx="0">
                  <c:v>0</c:v>
                </c:pt>
                <c:pt idx="1">
                  <c:v>0.032258064516129</c:v>
                </c:pt>
                <c:pt idx="2">
                  <c:v>0.0121457489878543</c:v>
                </c:pt>
                <c:pt idx="3">
                  <c:v>0.0172413793103448</c:v>
                </c:pt>
                <c:pt idx="4">
                  <c:v>0.05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推移データ!G333</c:f>
              <c:strCache>
                <c:ptCount val="1"/>
                <c:pt idx="0">
                  <c:v>LINE/ウェビナー</c:v>
                </c:pt>
              </c:strCache>
            </c:strRef>
          </c:tx>
          <c:spPr>
            <a:solidFill>
              <a:srgbClr val="F59E0B"/>
            </a:solidFill>
            <a:ln w="21960">
              <a:solidFill>
                <a:srgbClr val="F59E0B"/>
              </a:solidFill>
              <a:round/>
            </a:ln>
          </c:spPr>
          <c:marker>
            <c:symbol val="circle"/>
            <c:size val="4"/>
            <c:spPr>
              <a:solidFill>
                <a:srgbClr val="F59E0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推移データ!$A$334:$A$385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推移データ!$G$334:$G$385</c:f>
              <c:numCache>
                <c:formatCode>0.0%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推移データ!H333</c:f>
              <c:strCache>
                <c:ptCount val="1"/>
                <c:pt idx="0">
                  <c:v>LINE/常設</c:v>
                </c:pt>
              </c:strCache>
            </c:strRef>
          </c:tx>
          <c:spPr>
            <a:solidFill>
              <a:srgbClr val="64748B"/>
            </a:solidFill>
            <a:ln w="21960">
              <a:solidFill>
                <a:srgbClr val="64748B"/>
              </a:solidFill>
              <a:round/>
            </a:ln>
          </c:spPr>
          <c:marker>
            <c:symbol val="circle"/>
            <c:size val="4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推移データ!$A$334:$A$385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推移データ!$H$334:$H$385</c:f>
              <c:numCache>
                <c:formatCode>0.0%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5814206"/>
        <c:axId val="84069307"/>
      </c:lineChart>
      <c:catAx>
        <c:axId val="9581420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069307"/>
        <c:crosses val="autoZero"/>
        <c:auto val="1"/>
        <c:lblAlgn val="ctr"/>
        <c:lblOffset val="100"/>
        <c:noMultiLvlLbl val="0"/>
      </c:catAx>
      <c:valAx>
        <c:axId val="840693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8142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商談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推移データ!B388</c:f>
              <c:strCache>
                <c:ptCount val="1"/>
                <c:pt idx="0">
                  <c:v>Meta/ウェビナー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circle"/>
            <c:size val="4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推移データ!$A$389:$A$440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推移データ!$B$389:$B$440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推移データ!C388</c:f>
              <c:strCache>
                <c:ptCount val="1"/>
                <c:pt idx="0">
                  <c:v>Meta/介護校</c:v>
                </c:pt>
              </c:strCache>
            </c:strRef>
          </c:tx>
          <c:spPr>
            <a:solidFill>
              <a:srgbClr val="DC2626"/>
            </a:solidFill>
            <a:ln w="21960">
              <a:solidFill>
                <a:srgbClr val="DC2626"/>
              </a:solidFill>
              <a:round/>
            </a:ln>
          </c:spPr>
          <c:marker>
            <c:symbol val="circle"/>
            <c:size val="4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推移データ!$A$389:$A$440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推移データ!$C$389:$C$440</c:f>
              <c:numCache>
                <c:formatCode>#,##0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推移データ!D388</c:f>
              <c:strCache>
                <c:ptCount val="1"/>
                <c:pt idx="0">
                  <c:v>Meta/Claude</c:v>
                </c:pt>
              </c:strCache>
            </c:strRef>
          </c:tx>
          <c:spPr>
            <a:solidFill>
              <a:srgbClr val="16A34A"/>
            </a:solidFill>
            <a:ln w="21960">
              <a:solidFill>
                <a:srgbClr val="16A34A"/>
              </a:solidFill>
              <a:round/>
            </a:ln>
          </c:spPr>
          <c:marker>
            <c:symbol val="circle"/>
            <c:size val="4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推移データ!$A$389:$A$440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推移データ!$D$389:$D$440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推移データ!E388</c:f>
              <c:strCache>
                <c:ptCount val="1"/>
                <c:pt idx="0">
                  <c:v>Google/ウェビナー</c:v>
                </c:pt>
              </c:strCache>
            </c:strRef>
          </c:tx>
          <c:spPr>
            <a:solidFill>
              <a:srgbClr val="9333EA"/>
            </a:solidFill>
            <a:ln w="21960">
              <a:solidFill>
                <a:srgbClr val="9333EA"/>
              </a:solidFill>
              <a:round/>
            </a:ln>
          </c:spPr>
          <c:marker>
            <c:symbol val="circle"/>
            <c:size val="4"/>
            <c:spPr>
              <a:solidFill>
                <a:srgbClr val="9333E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推移データ!$A$389:$A$440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推移データ!$E$389:$E$440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推移データ!F388</c:f>
              <c:strCache>
                <c:ptCount val="1"/>
                <c:pt idx="0">
                  <c:v>Google/常設</c:v>
                </c:pt>
              </c:strCache>
            </c:strRef>
          </c:tx>
          <c:spPr>
            <a:solidFill>
              <a:srgbClr val="0891B2"/>
            </a:solidFill>
            <a:ln w="21960">
              <a:solidFill>
                <a:srgbClr val="0891B2"/>
              </a:solidFill>
              <a:round/>
            </a:ln>
          </c:spPr>
          <c:marker>
            <c:symbol val="circle"/>
            <c:size val="4"/>
            <c:spPr>
              <a:solidFill>
                <a:srgbClr val="0891B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推移データ!$A$389:$A$440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推移データ!$F$389:$F$440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推移データ!G388</c:f>
              <c:strCache>
                <c:ptCount val="1"/>
                <c:pt idx="0">
                  <c:v>LINE/ウェビナー</c:v>
                </c:pt>
              </c:strCache>
            </c:strRef>
          </c:tx>
          <c:spPr>
            <a:solidFill>
              <a:srgbClr val="F59E0B"/>
            </a:solidFill>
            <a:ln w="21960">
              <a:solidFill>
                <a:srgbClr val="F59E0B"/>
              </a:solidFill>
              <a:round/>
            </a:ln>
          </c:spPr>
          <c:marker>
            <c:symbol val="circle"/>
            <c:size val="4"/>
            <c:spPr>
              <a:solidFill>
                <a:srgbClr val="F59E0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推移データ!$A$389:$A$440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推移データ!$G$389:$G$440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推移データ!H388</c:f>
              <c:strCache>
                <c:ptCount val="1"/>
                <c:pt idx="0">
                  <c:v>LINE/常設</c:v>
                </c:pt>
              </c:strCache>
            </c:strRef>
          </c:tx>
          <c:spPr>
            <a:solidFill>
              <a:srgbClr val="64748B"/>
            </a:solidFill>
            <a:ln w="21960">
              <a:solidFill>
                <a:srgbClr val="64748B"/>
              </a:solidFill>
              <a:round/>
            </a:ln>
          </c:spPr>
          <c:marker>
            <c:symbol val="circle"/>
            <c:size val="4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推移データ!$A$389:$A$440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推移データ!$H$389:$H$440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推移データ!I388</c:f>
              <c:strCache>
                <c:ptCount val="1"/>
                <c:pt idx="0">
                  <c:v>広告外</c:v>
                </c:pt>
              </c:strCache>
            </c:strRef>
          </c:tx>
          <c:spPr>
            <a:solidFill>
              <a:srgbClr val="DB2777"/>
            </a:solidFill>
            <a:ln w="21960">
              <a:solidFill>
                <a:srgbClr val="DB2777"/>
              </a:solidFill>
              <a:round/>
            </a:ln>
          </c:spPr>
          <c:marker>
            <c:symbol val="circle"/>
            <c:size val="4"/>
            <c:spPr>
              <a:solidFill>
                <a:srgbClr val="DB2777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推移データ!$A$389:$A$440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推移データ!$I$389:$I$440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555339"/>
        <c:axId val="63208089"/>
      </c:lineChart>
      <c:catAx>
        <c:axId val="7555533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208089"/>
        <c:crosses val="autoZero"/>
        <c:auto val="1"/>
        <c:lblAlgn val="ctr"/>
        <c:lblOffset val="100"/>
        <c:noMultiLvlLbl val="0"/>
      </c:catAx>
      <c:valAx>
        <c:axId val="632080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5553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商談化率（全体）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推移データ!B443</c:f>
              <c:strCache>
                <c:ptCount val="1"/>
                <c:pt idx="0">
                  <c:v>全体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circle"/>
            <c:size val="4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推移データ!$A$444:$A$495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推移データ!$B$444:$B$495</c:f>
              <c:numCache>
                <c:formatCode>0.0%</c:formatCode>
                <c:ptCount val="52"/>
                <c:pt idx="0">
                  <c:v>0.0188679245283019</c:v>
                </c:pt>
                <c:pt idx="1">
                  <c:v>0.0222222222222222</c:v>
                </c:pt>
                <c:pt idx="2">
                  <c:v>0.0384615384615385</c:v>
                </c:pt>
                <c:pt idx="3">
                  <c:v>0.0285714285714286</c:v>
                </c:pt>
                <c:pt idx="4">
                  <c:v>0.0555555555555556</c:v>
                </c:pt>
                <c:pt idx="5">
                  <c:v>0.0967741935483871</c:v>
                </c:pt>
                <c:pt idx="6">
                  <c:v>0.0555555555555556</c:v>
                </c:pt>
                <c:pt idx="7">
                  <c:v>0.0103092783505155</c:v>
                </c:pt>
                <c:pt idx="8">
                  <c:v>0</c:v>
                </c:pt>
                <c:pt idx="9">
                  <c:v>0</c:v>
                </c:pt>
                <c:pt idx="10">
                  <c:v>0.0617283950617284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882058"/>
        <c:axId val="11913454"/>
      </c:lineChart>
      <c:catAx>
        <c:axId val="5488205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913454"/>
        <c:crosses val="autoZero"/>
        <c:auto val="1"/>
        <c:lblAlgn val="ctr"/>
        <c:lblOffset val="100"/>
        <c:noMultiLvlLbl val="0"/>
      </c:catAx>
      <c:valAx>
        <c:axId val="119134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8820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成約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推移データ!B498</c:f>
              <c:strCache>
                <c:ptCount val="1"/>
                <c:pt idx="0">
                  <c:v>Meta/ウェビナー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circle"/>
            <c:size val="4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推移データ!$A$499:$A$550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推移データ!$B$499:$B$550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推移データ!C498</c:f>
              <c:strCache>
                <c:ptCount val="1"/>
                <c:pt idx="0">
                  <c:v>Meta/介護校</c:v>
                </c:pt>
              </c:strCache>
            </c:strRef>
          </c:tx>
          <c:spPr>
            <a:solidFill>
              <a:srgbClr val="DC2626"/>
            </a:solidFill>
            <a:ln w="21960">
              <a:solidFill>
                <a:srgbClr val="DC2626"/>
              </a:solidFill>
              <a:round/>
            </a:ln>
          </c:spPr>
          <c:marker>
            <c:symbol val="circle"/>
            <c:size val="4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推移データ!$A$499:$A$550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推移データ!$C$499:$C$550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推移データ!D498</c:f>
              <c:strCache>
                <c:ptCount val="1"/>
                <c:pt idx="0">
                  <c:v>Meta/Claude</c:v>
                </c:pt>
              </c:strCache>
            </c:strRef>
          </c:tx>
          <c:spPr>
            <a:solidFill>
              <a:srgbClr val="16A34A"/>
            </a:solidFill>
            <a:ln w="21960">
              <a:solidFill>
                <a:srgbClr val="16A34A"/>
              </a:solidFill>
              <a:round/>
            </a:ln>
          </c:spPr>
          <c:marker>
            <c:symbol val="circle"/>
            <c:size val="4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推移データ!$A$499:$A$550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推移データ!$D$499:$D$550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推移データ!E498</c:f>
              <c:strCache>
                <c:ptCount val="1"/>
                <c:pt idx="0">
                  <c:v>Google/ウェビナー</c:v>
                </c:pt>
              </c:strCache>
            </c:strRef>
          </c:tx>
          <c:spPr>
            <a:solidFill>
              <a:srgbClr val="9333EA"/>
            </a:solidFill>
            <a:ln w="21960">
              <a:solidFill>
                <a:srgbClr val="9333EA"/>
              </a:solidFill>
              <a:round/>
            </a:ln>
          </c:spPr>
          <c:marker>
            <c:symbol val="circle"/>
            <c:size val="4"/>
            <c:spPr>
              <a:solidFill>
                <a:srgbClr val="9333E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推移データ!$A$499:$A$550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推移データ!$E$499:$E$550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推移データ!F498</c:f>
              <c:strCache>
                <c:ptCount val="1"/>
                <c:pt idx="0">
                  <c:v>Google/常設</c:v>
                </c:pt>
              </c:strCache>
            </c:strRef>
          </c:tx>
          <c:spPr>
            <a:solidFill>
              <a:srgbClr val="0891B2"/>
            </a:solidFill>
            <a:ln w="21960">
              <a:solidFill>
                <a:srgbClr val="0891B2"/>
              </a:solidFill>
              <a:round/>
            </a:ln>
          </c:spPr>
          <c:marker>
            <c:symbol val="circle"/>
            <c:size val="4"/>
            <c:spPr>
              <a:solidFill>
                <a:srgbClr val="0891B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推移データ!$A$499:$A$550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推移データ!$F$499:$F$550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推移データ!G498</c:f>
              <c:strCache>
                <c:ptCount val="1"/>
                <c:pt idx="0">
                  <c:v>LINE/ウェビナー</c:v>
                </c:pt>
              </c:strCache>
            </c:strRef>
          </c:tx>
          <c:spPr>
            <a:solidFill>
              <a:srgbClr val="F59E0B"/>
            </a:solidFill>
            <a:ln w="21960">
              <a:solidFill>
                <a:srgbClr val="F59E0B"/>
              </a:solidFill>
              <a:round/>
            </a:ln>
          </c:spPr>
          <c:marker>
            <c:symbol val="circle"/>
            <c:size val="4"/>
            <c:spPr>
              <a:solidFill>
                <a:srgbClr val="F59E0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推移データ!$A$499:$A$550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推移データ!$G$499:$G$550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推移データ!H498</c:f>
              <c:strCache>
                <c:ptCount val="1"/>
                <c:pt idx="0">
                  <c:v>LINE/常設</c:v>
                </c:pt>
              </c:strCache>
            </c:strRef>
          </c:tx>
          <c:spPr>
            <a:solidFill>
              <a:srgbClr val="64748B"/>
            </a:solidFill>
            <a:ln w="21960">
              <a:solidFill>
                <a:srgbClr val="64748B"/>
              </a:solidFill>
              <a:round/>
            </a:ln>
          </c:spPr>
          <c:marker>
            <c:symbol val="circle"/>
            <c:size val="4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推移データ!$A$499:$A$550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推移データ!$H$499:$H$550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推移データ!I498</c:f>
              <c:strCache>
                <c:ptCount val="1"/>
                <c:pt idx="0">
                  <c:v>広告外</c:v>
                </c:pt>
              </c:strCache>
            </c:strRef>
          </c:tx>
          <c:spPr>
            <a:solidFill>
              <a:srgbClr val="DB2777"/>
            </a:solidFill>
            <a:ln w="21960">
              <a:solidFill>
                <a:srgbClr val="DB2777"/>
              </a:solidFill>
              <a:round/>
            </a:ln>
          </c:spPr>
          <c:marker>
            <c:symbol val="circle"/>
            <c:size val="4"/>
            <c:spPr>
              <a:solidFill>
                <a:srgbClr val="DB2777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推移データ!$A$499:$A$550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推移データ!$I$499:$I$550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0823458"/>
        <c:axId val="37182025"/>
      </c:lineChart>
      <c:catAx>
        <c:axId val="2082345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182025"/>
        <c:crosses val="autoZero"/>
        <c:auto val="1"/>
        <c:lblAlgn val="ctr"/>
        <c:lblOffset val="100"/>
        <c:noMultiLvlLbl val="0"/>
      </c:catAx>
      <c:valAx>
        <c:axId val="371820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8234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成約率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推移データ!B553</c:f>
              <c:strCache>
                <c:ptCount val="1"/>
                <c:pt idx="0">
                  <c:v>Meta/ウェビナー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circle"/>
            <c:size val="4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推移データ!$A$554:$A$605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推移データ!$B$554:$B$605</c:f>
              <c:numCache>
                <c:formatCode>0.0%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推移データ!C553</c:f>
              <c:strCache>
                <c:ptCount val="1"/>
                <c:pt idx="0">
                  <c:v>Meta/介護校</c:v>
                </c:pt>
              </c:strCache>
            </c:strRef>
          </c:tx>
          <c:spPr>
            <a:solidFill>
              <a:srgbClr val="DC2626"/>
            </a:solidFill>
            <a:ln w="21960">
              <a:solidFill>
                <a:srgbClr val="DC2626"/>
              </a:solidFill>
              <a:round/>
            </a:ln>
          </c:spPr>
          <c:marker>
            <c:symbol val="circle"/>
            <c:size val="4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推移データ!$A$554:$A$605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推移データ!$C$554:$C$605</c:f>
              <c:numCache>
                <c:formatCode>0.0%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推移データ!D553</c:f>
              <c:strCache>
                <c:ptCount val="1"/>
                <c:pt idx="0">
                  <c:v>Meta/Claude</c:v>
                </c:pt>
              </c:strCache>
            </c:strRef>
          </c:tx>
          <c:spPr>
            <a:solidFill>
              <a:srgbClr val="16A34A"/>
            </a:solidFill>
            <a:ln w="21960">
              <a:solidFill>
                <a:srgbClr val="16A34A"/>
              </a:solidFill>
              <a:round/>
            </a:ln>
          </c:spPr>
          <c:marker>
            <c:symbol val="circle"/>
            <c:size val="4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推移データ!$A$554:$A$605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推移データ!$D$554:$D$605</c:f>
              <c:numCache>
                <c:formatCode>0.0%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推移データ!E553</c:f>
              <c:strCache>
                <c:ptCount val="1"/>
                <c:pt idx="0">
                  <c:v>Google/ウェビナー</c:v>
                </c:pt>
              </c:strCache>
            </c:strRef>
          </c:tx>
          <c:spPr>
            <a:solidFill>
              <a:srgbClr val="9333EA"/>
            </a:solidFill>
            <a:ln w="21960">
              <a:solidFill>
                <a:srgbClr val="9333EA"/>
              </a:solidFill>
              <a:round/>
            </a:ln>
          </c:spPr>
          <c:marker>
            <c:symbol val="circle"/>
            <c:size val="4"/>
            <c:spPr>
              <a:solidFill>
                <a:srgbClr val="9333E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推移データ!$A$554:$A$605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推移データ!$E$554:$E$605</c:f>
              <c:numCache>
                <c:formatCode>0.0%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推移データ!F553</c:f>
              <c:strCache>
                <c:ptCount val="1"/>
                <c:pt idx="0">
                  <c:v>Google/常設</c:v>
                </c:pt>
              </c:strCache>
            </c:strRef>
          </c:tx>
          <c:spPr>
            <a:solidFill>
              <a:srgbClr val="0891B2"/>
            </a:solidFill>
            <a:ln w="21960">
              <a:solidFill>
                <a:srgbClr val="0891B2"/>
              </a:solidFill>
              <a:round/>
            </a:ln>
          </c:spPr>
          <c:marker>
            <c:symbol val="circle"/>
            <c:size val="4"/>
            <c:spPr>
              <a:solidFill>
                <a:srgbClr val="0891B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推移データ!$A$554:$A$605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推移データ!$F$554:$F$605</c:f>
              <c:numCache>
                <c:formatCode>0.0%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推移データ!G553</c:f>
              <c:strCache>
                <c:ptCount val="1"/>
                <c:pt idx="0">
                  <c:v>LINE/ウェビナー</c:v>
                </c:pt>
              </c:strCache>
            </c:strRef>
          </c:tx>
          <c:spPr>
            <a:solidFill>
              <a:srgbClr val="F59E0B"/>
            </a:solidFill>
            <a:ln w="21960">
              <a:solidFill>
                <a:srgbClr val="F59E0B"/>
              </a:solidFill>
              <a:round/>
            </a:ln>
          </c:spPr>
          <c:marker>
            <c:symbol val="circle"/>
            <c:size val="4"/>
            <c:spPr>
              <a:solidFill>
                <a:srgbClr val="F59E0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推移データ!$A$554:$A$605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推移データ!$G$554:$G$605</c:f>
              <c:numCache>
                <c:formatCode>0.0%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推移データ!H553</c:f>
              <c:strCache>
                <c:ptCount val="1"/>
                <c:pt idx="0">
                  <c:v>LINE/常設</c:v>
                </c:pt>
              </c:strCache>
            </c:strRef>
          </c:tx>
          <c:spPr>
            <a:solidFill>
              <a:srgbClr val="64748B"/>
            </a:solidFill>
            <a:ln w="21960">
              <a:solidFill>
                <a:srgbClr val="64748B"/>
              </a:solidFill>
              <a:round/>
            </a:ln>
          </c:spPr>
          <c:marker>
            <c:symbol val="circle"/>
            <c:size val="4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推移データ!$A$554:$A$605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推移データ!$H$554:$H$605</c:f>
              <c:numCache>
                <c:formatCode>0.0%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推移データ!I553</c:f>
              <c:strCache>
                <c:ptCount val="1"/>
                <c:pt idx="0">
                  <c:v>広告外</c:v>
                </c:pt>
              </c:strCache>
            </c:strRef>
          </c:tx>
          <c:spPr>
            <a:solidFill>
              <a:srgbClr val="DB2777"/>
            </a:solidFill>
            <a:ln w="21960">
              <a:solidFill>
                <a:srgbClr val="DB2777"/>
              </a:solidFill>
              <a:round/>
            </a:ln>
          </c:spPr>
          <c:marker>
            <c:symbol val="circle"/>
            <c:size val="4"/>
            <c:spPr>
              <a:solidFill>
                <a:srgbClr val="DB2777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推移データ!$A$554:$A$605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推移データ!$I$554:$I$605</c:f>
              <c:numCache>
                <c:formatCode>0.0%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02284"/>
        <c:axId val="56976550"/>
      </c:lineChart>
      <c:catAx>
        <c:axId val="130228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976550"/>
        <c:crosses val="autoZero"/>
        <c:auto val="1"/>
        <c:lblAlgn val="ctr"/>
        <c:lblOffset val="100"/>
        <c:noMultiLvlLbl val="0"/>
      </c:catAx>
      <c:valAx>
        <c:axId val="569765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022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余裕倍率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推移データ!B608</c:f>
              <c:strCache>
                <c:ptCount val="1"/>
                <c:pt idx="0">
                  <c:v>Meta/ウェビナー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circle"/>
            <c:size val="4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推移データ!$A$609:$A$660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推移データ!$B$609:$B$660</c:f>
              <c:numCache>
                <c:formatCode>0.0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推移データ!C608</c:f>
              <c:strCache>
                <c:ptCount val="1"/>
                <c:pt idx="0">
                  <c:v>Meta/介護校</c:v>
                </c:pt>
              </c:strCache>
            </c:strRef>
          </c:tx>
          <c:spPr>
            <a:solidFill>
              <a:srgbClr val="DC2626"/>
            </a:solidFill>
            <a:ln w="21960">
              <a:solidFill>
                <a:srgbClr val="DC2626"/>
              </a:solidFill>
              <a:round/>
            </a:ln>
          </c:spPr>
          <c:marker>
            <c:symbol val="circle"/>
            <c:size val="4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推移データ!$A$609:$A$660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推移データ!$C$609:$C$660</c:f>
              <c:numCache>
                <c:formatCode>0.0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2.90598614213775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推移データ!D608</c:f>
              <c:strCache>
                <c:ptCount val="1"/>
                <c:pt idx="0">
                  <c:v>Meta/Claude</c:v>
                </c:pt>
              </c:strCache>
            </c:strRef>
          </c:tx>
          <c:spPr>
            <a:solidFill>
              <a:srgbClr val="16A34A"/>
            </a:solidFill>
            <a:ln w="21960">
              <a:solidFill>
                <a:srgbClr val="16A34A"/>
              </a:solidFill>
              <a:round/>
            </a:ln>
          </c:spPr>
          <c:marker>
            <c:symbol val="circle"/>
            <c:size val="4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推移データ!$A$609:$A$660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推移データ!$D$609:$D$660</c:f>
              <c:numCache>
                <c:formatCode>0.0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推移データ!E608</c:f>
              <c:strCache>
                <c:ptCount val="1"/>
                <c:pt idx="0">
                  <c:v>Google/ウェビナー</c:v>
                </c:pt>
              </c:strCache>
            </c:strRef>
          </c:tx>
          <c:spPr>
            <a:solidFill>
              <a:srgbClr val="9333EA"/>
            </a:solidFill>
            <a:ln w="21960">
              <a:solidFill>
                <a:srgbClr val="9333EA"/>
              </a:solidFill>
              <a:round/>
            </a:ln>
          </c:spPr>
          <c:marker>
            <c:symbol val="circle"/>
            <c:size val="4"/>
            <c:spPr>
              <a:solidFill>
                <a:srgbClr val="9333E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推移データ!$A$609:$A$660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推移データ!$E$609:$E$660</c:f>
              <c:numCache>
                <c:formatCode>0.0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推移データ!F608</c:f>
              <c:strCache>
                <c:ptCount val="1"/>
                <c:pt idx="0">
                  <c:v>Google/常設</c:v>
                </c:pt>
              </c:strCache>
            </c:strRef>
          </c:tx>
          <c:spPr>
            <a:solidFill>
              <a:srgbClr val="0891B2"/>
            </a:solidFill>
            <a:ln w="21960">
              <a:solidFill>
                <a:srgbClr val="0891B2"/>
              </a:solidFill>
              <a:round/>
            </a:ln>
          </c:spPr>
          <c:marker>
            <c:symbol val="circle"/>
            <c:size val="4"/>
            <c:spPr>
              <a:solidFill>
                <a:srgbClr val="0891B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推移データ!$A$609:$A$660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推移データ!$F$609:$F$660</c:f>
              <c:numCache>
                <c:formatCode>0.0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推移データ!G608</c:f>
              <c:strCache>
                <c:ptCount val="1"/>
                <c:pt idx="0">
                  <c:v>LINE/ウェビナー</c:v>
                </c:pt>
              </c:strCache>
            </c:strRef>
          </c:tx>
          <c:spPr>
            <a:solidFill>
              <a:srgbClr val="F59E0B"/>
            </a:solidFill>
            <a:ln w="21960">
              <a:solidFill>
                <a:srgbClr val="F59E0B"/>
              </a:solidFill>
              <a:round/>
            </a:ln>
          </c:spPr>
          <c:marker>
            <c:symbol val="circle"/>
            <c:size val="4"/>
            <c:spPr>
              <a:solidFill>
                <a:srgbClr val="F59E0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推移データ!$A$609:$A$660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推移データ!$G$609:$G$660</c:f>
              <c:numCache>
                <c:formatCode>0.0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推移データ!H608</c:f>
              <c:strCache>
                <c:ptCount val="1"/>
                <c:pt idx="0">
                  <c:v>LINE/常設</c:v>
                </c:pt>
              </c:strCache>
            </c:strRef>
          </c:tx>
          <c:spPr>
            <a:solidFill>
              <a:srgbClr val="64748B"/>
            </a:solidFill>
            <a:ln w="21960">
              <a:solidFill>
                <a:srgbClr val="64748B"/>
              </a:solidFill>
              <a:round/>
            </a:ln>
          </c:spPr>
          <c:marker>
            <c:symbol val="circle"/>
            <c:size val="4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推移データ!$A$609:$A$660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推移データ!$H$609:$H$660</c:f>
              <c:numCache>
                <c:formatCode>0.0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013397"/>
        <c:axId val="21681485"/>
      </c:lineChart>
      <c:catAx>
        <c:axId val="5101339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681485"/>
        <c:crosses val="autoZero"/>
        <c:auto val="1"/>
        <c:lblAlgn val="ctr"/>
        <c:lblOffset val="100"/>
        <c:noMultiLvlLbl val="0"/>
      </c:catAx>
      <c:valAx>
        <c:axId val="216814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0133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9</xdr:col>
      <xdr:colOff>75960</xdr:colOff>
      <xdr:row>17</xdr:row>
      <xdr:rowOff>22320</xdr:rowOff>
    </xdr:to>
    <xdr:graphicFrame>
      <xdr:nvGraphicFramePr>
        <xdr:cNvPr id="1" name="Chart 1"/>
        <xdr:cNvGraphicFramePr/>
      </xdr:nvGraphicFramePr>
      <xdr:xfrm>
        <a:off x="0" y="49536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20</xdr:col>
      <xdr:colOff>75960</xdr:colOff>
      <xdr:row>17</xdr:row>
      <xdr:rowOff>22320</xdr:rowOff>
    </xdr:to>
    <xdr:graphicFrame>
      <xdr:nvGraphicFramePr>
        <xdr:cNvPr id="2" name="Chart 2"/>
        <xdr:cNvGraphicFramePr/>
      </xdr:nvGraphicFramePr>
      <xdr:xfrm>
        <a:off x="6726600" y="49536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75960</xdr:colOff>
      <xdr:row>34</xdr:row>
      <xdr:rowOff>22320</xdr:rowOff>
    </xdr:to>
    <xdr:graphicFrame>
      <xdr:nvGraphicFramePr>
        <xdr:cNvPr id="3" name="Chart 3"/>
        <xdr:cNvGraphicFramePr/>
      </xdr:nvGraphicFramePr>
      <xdr:xfrm>
        <a:off x="0" y="373392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19</xdr:row>
      <xdr:rowOff>0</xdr:rowOff>
    </xdr:from>
    <xdr:to>
      <xdr:col>20</xdr:col>
      <xdr:colOff>75960</xdr:colOff>
      <xdr:row>34</xdr:row>
      <xdr:rowOff>22320</xdr:rowOff>
    </xdr:to>
    <xdr:graphicFrame>
      <xdr:nvGraphicFramePr>
        <xdr:cNvPr id="4" name="Chart 4"/>
        <xdr:cNvGraphicFramePr/>
      </xdr:nvGraphicFramePr>
      <xdr:xfrm>
        <a:off x="6726600" y="373392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75960</xdr:colOff>
      <xdr:row>51</xdr:row>
      <xdr:rowOff>22320</xdr:rowOff>
    </xdr:to>
    <xdr:graphicFrame>
      <xdr:nvGraphicFramePr>
        <xdr:cNvPr id="5" name="Chart 5"/>
        <xdr:cNvGraphicFramePr/>
      </xdr:nvGraphicFramePr>
      <xdr:xfrm>
        <a:off x="0" y="697248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36</xdr:row>
      <xdr:rowOff>0</xdr:rowOff>
    </xdr:from>
    <xdr:to>
      <xdr:col>20</xdr:col>
      <xdr:colOff>75960</xdr:colOff>
      <xdr:row>51</xdr:row>
      <xdr:rowOff>22320</xdr:rowOff>
    </xdr:to>
    <xdr:graphicFrame>
      <xdr:nvGraphicFramePr>
        <xdr:cNvPr id="6" name="Chart 6"/>
        <xdr:cNvGraphicFramePr/>
      </xdr:nvGraphicFramePr>
      <xdr:xfrm>
        <a:off x="6726600" y="697248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53</xdr:row>
      <xdr:rowOff>0</xdr:rowOff>
    </xdr:from>
    <xdr:to>
      <xdr:col>9</xdr:col>
      <xdr:colOff>75960</xdr:colOff>
      <xdr:row>68</xdr:row>
      <xdr:rowOff>21960</xdr:rowOff>
    </xdr:to>
    <xdr:graphicFrame>
      <xdr:nvGraphicFramePr>
        <xdr:cNvPr id="7" name="Chart 7"/>
        <xdr:cNvGraphicFramePr/>
      </xdr:nvGraphicFramePr>
      <xdr:xfrm>
        <a:off x="0" y="1021068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53</xdr:row>
      <xdr:rowOff>0</xdr:rowOff>
    </xdr:from>
    <xdr:to>
      <xdr:col>20</xdr:col>
      <xdr:colOff>75960</xdr:colOff>
      <xdr:row>68</xdr:row>
      <xdr:rowOff>21960</xdr:rowOff>
    </xdr:to>
    <xdr:graphicFrame>
      <xdr:nvGraphicFramePr>
        <xdr:cNvPr id="8" name="Chart 8"/>
        <xdr:cNvGraphicFramePr/>
      </xdr:nvGraphicFramePr>
      <xdr:xfrm>
        <a:off x="6726600" y="1021068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70</xdr:row>
      <xdr:rowOff>0</xdr:rowOff>
    </xdr:from>
    <xdr:to>
      <xdr:col>9</xdr:col>
      <xdr:colOff>75960</xdr:colOff>
      <xdr:row>85</xdr:row>
      <xdr:rowOff>21960</xdr:rowOff>
    </xdr:to>
    <xdr:graphicFrame>
      <xdr:nvGraphicFramePr>
        <xdr:cNvPr id="9" name="Chart 9"/>
        <xdr:cNvGraphicFramePr/>
      </xdr:nvGraphicFramePr>
      <xdr:xfrm>
        <a:off x="0" y="1344924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11</xdr:col>
      <xdr:colOff>0</xdr:colOff>
      <xdr:row>70</xdr:row>
      <xdr:rowOff>0</xdr:rowOff>
    </xdr:from>
    <xdr:to>
      <xdr:col>20</xdr:col>
      <xdr:colOff>75960</xdr:colOff>
      <xdr:row>85</xdr:row>
      <xdr:rowOff>21960</xdr:rowOff>
    </xdr:to>
    <xdr:graphicFrame>
      <xdr:nvGraphicFramePr>
        <xdr:cNvPr id="10" name="Chart 10"/>
        <xdr:cNvGraphicFramePr/>
      </xdr:nvGraphicFramePr>
      <xdr:xfrm>
        <a:off x="6726600" y="1344924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87</xdr:row>
      <xdr:rowOff>0</xdr:rowOff>
    </xdr:from>
    <xdr:to>
      <xdr:col>9</xdr:col>
      <xdr:colOff>75960</xdr:colOff>
      <xdr:row>102</xdr:row>
      <xdr:rowOff>21960</xdr:rowOff>
    </xdr:to>
    <xdr:graphicFrame>
      <xdr:nvGraphicFramePr>
        <xdr:cNvPr id="11" name="Chart 11"/>
        <xdr:cNvGraphicFramePr/>
      </xdr:nvGraphicFramePr>
      <xdr:xfrm>
        <a:off x="0" y="1668780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11</xdr:col>
      <xdr:colOff>0</xdr:colOff>
      <xdr:row>87</xdr:row>
      <xdr:rowOff>0</xdr:rowOff>
    </xdr:from>
    <xdr:to>
      <xdr:col>20</xdr:col>
      <xdr:colOff>75960</xdr:colOff>
      <xdr:row>102</xdr:row>
      <xdr:rowOff>21960</xdr:rowOff>
    </xdr:to>
    <xdr:graphicFrame>
      <xdr:nvGraphicFramePr>
        <xdr:cNvPr id="12" name="Chart 12"/>
        <xdr:cNvGraphicFramePr/>
      </xdr:nvGraphicFramePr>
      <xdr:xfrm>
        <a:off x="6726600" y="1668780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7.15" hidden="false" customHeight="false" outlineLevel="0" collapsed="false">
      <c r="A5" s="4" t="s">
        <v>3</v>
      </c>
      <c r="B5" s="5" t="n">
        <v>800000</v>
      </c>
      <c r="C5" s="6" t="s">
        <v>4</v>
      </c>
      <c r="D5" s="6"/>
    </row>
    <row r="6" customFormat="false" ht="17.15" hidden="false" customHeight="false" outlineLevel="0" collapsed="false">
      <c r="A6" s="4" t="s">
        <v>5</v>
      </c>
      <c r="B6" s="5" t="n">
        <v>307000</v>
      </c>
      <c r="C6" s="6" t="s">
        <v>6</v>
      </c>
      <c r="D6" s="6"/>
    </row>
    <row r="7" customFormat="false" ht="17.15" hidden="false" customHeight="false" outlineLevel="0" collapsed="false">
      <c r="A7" s="4" t="s">
        <v>7</v>
      </c>
      <c r="B7" s="5" t="n">
        <v>3000</v>
      </c>
      <c r="C7" s="6"/>
      <c r="D7" s="6"/>
    </row>
    <row r="8" customFormat="false" ht="15" hidden="false" customHeight="false" outlineLevel="0" collapsed="false">
      <c r="A8" s="4" t="s">
        <v>8</v>
      </c>
      <c r="B8" s="7" t="n">
        <v>0.08</v>
      </c>
      <c r="C8" s="6" t="s">
        <v>9</v>
      </c>
      <c r="D8" s="6"/>
    </row>
    <row r="9" customFormat="false" ht="15" hidden="false" customHeight="false" outlineLevel="0" collapsed="false">
      <c r="A9" s="4" t="s">
        <v>10</v>
      </c>
      <c r="B9" s="7" t="n">
        <v>0.2</v>
      </c>
      <c r="C9" s="6" t="s">
        <v>11</v>
      </c>
      <c r="D9" s="6"/>
    </row>
    <row r="10" customFormat="false" ht="15" hidden="false" customHeight="false" outlineLevel="0" collapsed="false">
      <c r="A10" s="4" t="s">
        <v>12</v>
      </c>
      <c r="B10" s="5" t="n">
        <v>1050000</v>
      </c>
      <c r="C10" s="6" t="s">
        <v>13</v>
      </c>
      <c r="D10" s="6"/>
    </row>
    <row r="12" customFormat="false" ht="19.4" hidden="false" customHeight="false" outlineLevel="0" collapsed="false">
      <c r="A12" s="3" t="s">
        <v>14</v>
      </c>
      <c r="B12" s="3"/>
      <c r="C12" s="3"/>
      <c r="D12" s="3"/>
    </row>
    <row r="13" customFormat="false" ht="19.5" hidden="false" customHeight="true" outlineLevel="0" collapsed="false">
      <c r="A13" s="8" t="s">
        <v>15</v>
      </c>
      <c r="B13" s="8" t="s">
        <v>16</v>
      </c>
      <c r="C13" s="8" t="s">
        <v>17</v>
      </c>
      <c r="D13" s="8" t="s">
        <v>18</v>
      </c>
    </row>
    <row r="14" customFormat="false" ht="17.15" hidden="false" customHeight="false" outlineLevel="0" collapsed="false">
      <c r="A14" s="4" t="s">
        <v>19</v>
      </c>
      <c r="B14" s="9" t="n">
        <v>755563</v>
      </c>
      <c r="C14" s="10" t="n">
        <f aca="false">$B$10</f>
        <v>1050000</v>
      </c>
    </row>
    <row r="15" customFormat="false" ht="17.15" hidden="false" customHeight="false" outlineLevel="0" collapsed="false">
      <c r="A15" s="11" t="s">
        <v>20</v>
      </c>
      <c r="B15" s="12" t="n">
        <v>276</v>
      </c>
      <c r="C15" s="13" t="n">
        <f aca="false">$B$10/$B$7</f>
        <v>350</v>
      </c>
    </row>
    <row r="16" customFormat="false" ht="15" hidden="false" customHeight="false" outlineLevel="0" collapsed="false">
      <c r="A16" s="4" t="s">
        <v>21</v>
      </c>
      <c r="B16" s="14" t="n">
        <v>0.04</v>
      </c>
      <c r="C16" s="15" t="n">
        <f aca="false">$B$8</f>
        <v>0.08</v>
      </c>
      <c r="D16" s="16" t="str">
        <f aca="false">IF(B16&gt;=C16,"◎ 達成",IF(B16&gt;=C16*0.75,"△ あと一歩","✗ 未達"))</f>
        <v>✗ 未達</v>
      </c>
    </row>
    <row r="17" customFormat="false" ht="17.15" hidden="false" customHeight="false" outlineLevel="0" collapsed="false">
      <c r="A17" s="4" t="s">
        <v>22</v>
      </c>
      <c r="B17" s="17" t="n">
        <f aca="false">B15*B16</f>
        <v>11.04</v>
      </c>
      <c r="C17" s="17" t="n">
        <f aca="false">C15*C16</f>
        <v>28</v>
      </c>
    </row>
    <row r="18" customFormat="false" ht="15" hidden="false" customHeight="false" outlineLevel="0" collapsed="false">
      <c r="A18" s="4" t="s">
        <v>23</v>
      </c>
      <c r="B18" s="14" t="n">
        <v>0.12</v>
      </c>
      <c r="C18" s="15" t="n">
        <f aca="false">$B$9</f>
        <v>0.2</v>
      </c>
      <c r="D18" s="16" t="str">
        <f aca="false">IF(B18&gt;=C18,"◎ 達成",IF(B18&gt;=C18*0.75,"△ あと一歩","✗ 未達"))</f>
        <v>✗ 未達</v>
      </c>
    </row>
    <row r="19" customFormat="false" ht="17.15" hidden="false" customHeight="false" outlineLevel="0" collapsed="false">
      <c r="A19" s="4" t="s">
        <v>24</v>
      </c>
      <c r="B19" s="18" t="n">
        <f aca="false">B17*B18</f>
        <v>1.3248</v>
      </c>
      <c r="C19" s="18" t="n">
        <f aca="false">C17*C18</f>
        <v>5.6</v>
      </c>
      <c r="D19" s="16" t="str">
        <f aca="false">IF(B19&gt;=C19,"◎ 達成",IF(B19&gt;=C19*0.75,"△ あと一歩","✗ 未達"))</f>
        <v>✗ 未達</v>
      </c>
    </row>
    <row r="20" customFormat="false" ht="17.15" hidden="false" customHeight="false" outlineLevel="0" collapsed="false">
      <c r="A20" s="19" t="s">
        <v>25</v>
      </c>
      <c r="B20" s="10" t="n">
        <f aca="false">B14/B15</f>
        <v>2737.54710144928</v>
      </c>
      <c r="C20" s="10" t="n">
        <f aca="false">$B$7</f>
        <v>3000</v>
      </c>
    </row>
    <row r="21" customFormat="false" ht="17.15" hidden="false" customHeight="false" outlineLevel="0" collapsed="false">
      <c r="A21" s="19" t="s">
        <v>26</v>
      </c>
      <c r="B21" s="10" t="n">
        <f aca="false">IFERROR(B14/B19,0)</f>
        <v>570322.312801932</v>
      </c>
      <c r="C21" s="10" t="n">
        <f aca="false">IFERROR(C14/C19,0)</f>
        <v>187500</v>
      </c>
      <c r="D21" s="20" t="str">
        <f aca="false">IF(B21&lt;=C21,"◎ 達成",IF(B21&lt;=C21*1.3,"△ あと一歩","✗ 未達"))</f>
        <v>✗ 未達</v>
      </c>
    </row>
    <row r="22" customFormat="false" ht="17.15" hidden="false" customHeight="false" outlineLevel="0" collapsed="false">
      <c r="A22" s="19" t="s">
        <v>27</v>
      </c>
      <c r="B22" s="10" t="n">
        <f aca="false">B19*$B$5</f>
        <v>1059840</v>
      </c>
      <c r="C22" s="10" t="n">
        <f aca="false">C19*$B$5</f>
        <v>4480000</v>
      </c>
    </row>
    <row r="23" customFormat="false" ht="17.15" hidden="false" customHeight="false" outlineLevel="0" collapsed="false">
      <c r="A23" s="4" t="s">
        <v>28</v>
      </c>
      <c r="B23" s="10" t="n">
        <f aca="false">B22*12</f>
        <v>12718080</v>
      </c>
      <c r="C23" s="10" t="n">
        <f aca="false">C22*12</f>
        <v>53760000</v>
      </c>
      <c r="D23" s="16" t="str">
        <f aca="false">IF(B23&gt;=C23,"◎ 達成",IF(B23&gt;=C23*0.75,"△ あと一歩","✗ 未達"))</f>
        <v>✗ 未達</v>
      </c>
    </row>
    <row r="25" customFormat="false" ht="43.5" hidden="false" customHeight="true" outlineLevel="0" collapsed="false">
      <c r="A25" s="21" t="s">
        <v>29</v>
      </c>
      <c r="B25" s="21"/>
      <c r="C25" s="21"/>
      <c r="D25" s="21"/>
    </row>
  </sheetData>
  <mergeCells count="11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A12:D12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9" min="7" style="0" width="7"/>
  </cols>
  <sheetData>
    <row r="1" customFormat="false" ht="21.6" hidden="false" customHeight="false" outlineLevel="0" collapsed="false">
      <c r="A1" s="22" t="s">
        <v>30</v>
      </c>
      <c r="B1" s="22"/>
      <c r="C1" s="22"/>
      <c r="D1" s="22"/>
      <c r="E1" s="22"/>
      <c r="F1" s="22"/>
      <c r="G1" s="22"/>
      <c r="H1" s="22"/>
      <c r="I1" s="22"/>
    </row>
    <row r="2" customFormat="false" ht="14.15" hidden="false" customHeight="false" outlineLevel="0" collapsed="false">
      <c r="A2" s="23" t="s">
        <v>31</v>
      </c>
      <c r="B2" s="23"/>
      <c r="C2" s="23"/>
      <c r="D2" s="23"/>
      <c r="E2" s="23"/>
      <c r="F2" s="23"/>
      <c r="G2" s="23"/>
      <c r="H2" s="23"/>
      <c r="I2" s="23"/>
    </row>
    <row r="3" customFormat="false" ht="21.75" hidden="false" customHeight="true" outlineLevel="0" collapsed="false">
      <c r="A3" s="24" t="s">
        <v>32</v>
      </c>
      <c r="B3" s="24" t="s">
        <v>33</v>
      </c>
      <c r="C3" s="24" t="s">
        <v>34</v>
      </c>
      <c r="D3" s="24" t="s">
        <v>35</v>
      </c>
      <c r="E3" s="25" t="s">
        <v>36</v>
      </c>
      <c r="F3" s="24" t="s">
        <v>37</v>
      </c>
      <c r="G3" s="25" t="s">
        <v>38</v>
      </c>
      <c r="H3" s="24" t="s">
        <v>39</v>
      </c>
      <c r="I3" s="24" t="s">
        <v>40</v>
      </c>
    </row>
    <row r="4" customFormat="false" ht="15" hidden="false" customHeight="false" outlineLevel="0" collapsed="false">
      <c r="A4" s="26" t="n">
        <v>46182</v>
      </c>
      <c r="B4" s="27" t="s">
        <v>41</v>
      </c>
      <c r="C4" s="27" t="s">
        <v>42</v>
      </c>
      <c r="D4" s="28" t="n">
        <v>16749</v>
      </c>
      <c r="E4" s="29" t="n">
        <v>5791</v>
      </c>
      <c r="F4" s="29" t="n">
        <v>90</v>
      </c>
      <c r="G4" s="29" t="n">
        <v>18</v>
      </c>
      <c r="H4" s="29" t="n">
        <v>0</v>
      </c>
      <c r="I4" s="29" t="n">
        <v>0</v>
      </c>
    </row>
    <row r="5" customFormat="false" ht="15" hidden="false" customHeight="false" outlineLevel="0" collapsed="false">
      <c r="A5" s="26" t="n">
        <v>46182</v>
      </c>
      <c r="B5" s="27" t="s">
        <v>41</v>
      </c>
      <c r="C5" s="27" t="s">
        <v>43</v>
      </c>
      <c r="D5" s="28" t="n">
        <v>19628</v>
      </c>
      <c r="E5" s="29" t="n">
        <v>2821</v>
      </c>
      <c r="F5" s="29" t="n">
        <v>92</v>
      </c>
      <c r="G5" s="29" t="n">
        <v>3</v>
      </c>
      <c r="H5" s="29" t="n">
        <v>0</v>
      </c>
      <c r="I5" s="29" t="n">
        <v>0</v>
      </c>
    </row>
    <row r="6" customFormat="false" ht="15" hidden="false" customHeight="false" outlineLevel="0" collapsed="false">
      <c r="A6" s="26" t="n">
        <v>46182</v>
      </c>
      <c r="B6" s="27" t="s">
        <v>41</v>
      </c>
      <c r="C6" s="27" t="s">
        <v>44</v>
      </c>
      <c r="D6" s="28" t="n">
        <v>6308</v>
      </c>
      <c r="E6" s="29" t="n">
        <v>1734</v>
      </c>
      <c r="F6" s="29" t="n">
        <v>55</v>
      </c>
      <c r="G6" s="29" t="n">
        <v>8</v>
      </c>
      <c r="H6" s="29" t="n">
        <v>0</v>
      </c>
      <c r="I6" s="29" t="n">
        <v>0</v>
      </c>
    </row>
    <row r="7" customFormat="false" ht="15" hidden="false" customHeight="false" outlineLevel="0" collapsed="false">
      <c r="A7" s="26" t="n">
        <v>46183</v>
      </c>
      <c r="B7" s="27" t="s">
        <v>41</v>
      </c>
      <c r="C7" s="27" t="s">
        <v>42</v>
      </c>
      <c r="D7" s="28" t="n">
        <v>15510</v>
      </c>
      <c r="E7" s="29" t="n">
        <v>5433</v>
      </c>
      <c r="F7" s="29" t="n">
        <v>109</v>
      </c>
      <c r="G7" s="29" t="n">
        <v>10</v>
      </c>
      <c r="H7" s="29" t="n">
        <v>0</v>
      </c>
      <c r="I7" s="29" t="n">
        <v>0</v>
      </c>
    </row>
    <row r="8" customFormat="false" ht="15" hidden="false" customHeight="false" outlineLevel="0" collapsed="false">
      <c r="A8" s="26" t="n">
        <v>46183</v>
      </c>
      <c r="B8" s="27" t="s">
        <v>41</v>
      </c>
      <c r="C8" s="27" t="s">
        <v>43</v>
      </c>
      <c r="D8" s="28" t="n">
        <v>19628</v>
      </c>
      <c r="E8" s="29" t="n">
        <v>2821</v>
      </c>
      <c r="F8" s="29" t="n">
        <v>92</v>
      </c>
      <c r="G8" s="29" t="n">
        <v>3</v>
      </c>
      <c r="H8" s="29" t="n">
        <v>0</v>
      </c>
      <c r="I8" s="29" t="n">
        <v>0</v>
      </c>
    </row>
    <row r="9" customFormat="false" ht="15" hidden="false" customHeight="false" outlineLevel="0" collapsed="false">
      <c r="A9" s="26" t="n">
        <v>46183</v>
      </c>
      <c r="B9" s="27" t="s">
        <v>41</v>
      </c>
      <c r="C9" s="27" t="s">
        <v>44</v>
      </c>
      <c r="D9" s="28" t="n">
        <v>6717</v>
      </c>
      <c r="E9" s="29" t="n">
        <v>1947</v>
      </c>
      <c r="F9" s="29" t="n">
        <v>71</v>
      </c>
      <c r="G9" s="29" t="n">
        <v>5</v>
      </c>
      <c r="H9" s="29" t="n">
        <v>0</v>
      </c>
      <c r="I9" s="29" t="n">
        <v>0</v>
      </c>
    </row>
    <row r="10" customFormat="false" ht="15" hidden="false" customHeight="false" outlineLevel="0" collapsed="false">
      <c r="A10" s="26" t="n">
        <v>46184</v>
      </c>
      <c r="B10" s="27" t="s">
        <v>41</v>
      </c>
      <c r="C10" s="27" t="s">
        <v>42</v>
      </c>
      <c r="D10" s="28" t="n">
        <v>4458</v>
      </c>
      <c r="E10" s="29" t="n">
        <v>1593</v>
      </c>
      <c r="F10" s="29" t="n">
        <v>33</v>
      </c>
      <c r="G10" s="29" t="n">
        <v>5</v>
      </c>
      <c r="H10" s="29" t="n">
        <v>0</v>
      </c>
      <c r="I10" s="29" t="n">
        <v>0</v>
      </c>
    </row>
    <row r="11" customFormat="false" ht="15" hidden="false" customHeight="false" outlineLevel="0" collapsed="false">
      <c r="A11" s="26" t="n">
        <v>46184</v>
      </c>
      <c r="B11" s="27" t="s">
        <v>41</v>
      </c>
      <c r="C11" s="27" t="s">
        <v>43</v>
      </c>
      <c r="D11" s="28" t="n">
        <v>17023</v>
      </c>
      <c r="E11" s="29" t="n">
        <v>2691</v>
      </c>
      <c r="F11" s="29" t="n">
        <v>69</v>
      </c>
      <c r="G11" s="29" t="n">
        <v>1</v>
      </c>
      <c r="H11" s="29" t="n">
        <v>0</v>
      </c>
      <c r="I11" s="29" t="n">
        <v>0</v>
      </c>
    </row>
    <row r="12" customFormat="false" ht="15" hidden="false" customHeight="false" outlineLevel="0" collapsed="false">
      <c r="A12" s="26" t="n">
        <v>46184</v>
      </c>
      <c r="B12" s="27" t="s">
        <v>41</v>
      </c>
      <c r="C12" s="27" t="s">
        <v>44</v>
      </c>
      <c r="D12" s="28" t="n">
        <v>5818</v>
      </c>
      <c r="E12" s="29" t="n">
        <v>2786</v>
      </c>
      <c r="F12" s="29" t="n">
        <v>66</v>
      </c>
      <c r="G12" s="29" t="n">
        <v>6</v>
      </c>
      <c r="H12" s="29" t="n">
        <v>0</v>
      </c>
      <c r="I12" s="29" t="n">
        <v>0</v>
      </c>
    </row>
    <row r="13" customFormat="false" ht="15" hidden="false" customHeight="false" outlineLevel="0" collapsed="false">
      <c r="A13" s="26" t="n">
        <v>46185</v>
      </c>
      <c r="B13" s="27" t="s">
        <v>41</v>
      </c>
      <c r="C13" s="27" t="s">
        <v>43</v>
      </c>
      <c r="D13" s="28" t="n">
        <v>13326</v>
      </c>
      <c r="E13" s="29" t="n">
        <v>2397</v>
      </c>
      <c r="F13" s="29" t="n">
        <v>68</v>
      </c>
      <c r="G13" s="29" t="n">
        <v>0</v>
      </c>
      <c r="H13" s="29" t="n">
        <v>0</v>
      </c>
      <c r="I13" s="29" t="n">
        <v>0</v>
      </c>
    </row>
    <row r="14" customFormat="false" ht="15" hidden="false" customHeight="false" outlineLevel="0" collapsed="false">
      <c r="A14" s="26" t="n">
        <v>46185</v>
      </c>
      <c r="B14" s="27" t="s">
        <v>41</v>
      </c>
      <c r="C14" s="27" t="s">
        <v>44</v>
      </c>
      <c r="D14" s="28" t="n">
        <v>5709</v>
      </c>
      <c r="E14" s="29" t="n">
        <v>3051</v>
      </c>
      <c r="F14" s="29" t="n">
        <v>83</v>
      </c>
      <c r="G14" s="29" t="n">
        <v>2</v>
      </c>
      <c r="H14" s="29" t="n">
        <v>0</v>
      </c>
      <c r="I14" s="29" t="n">
        <v>0</v>
      </c>
    </row>
    <row r="15" customFormat="false" ht="15" hidden="false" customHeight="false" outlineLevel="0" collapsed="false">
      <c r="A15" s="26" t="n">
        <v>46186</v>
      </c>
      <c r="B15" s="27" t="s">
        <v>41</v>
      </c>
      <c r="C15" s="27" t="s">
        <v>43</v>
      </c>
      <c r="D15" s="28" t="n">
        <v>12008</v>
      </c>
      <c r="E15" s="29" t="n">
        <v>2083</v>
      </c>
      <c r="F15" s="29" t="n">
        <v>37</v>
      </c>
      <c r="G15" s="29" t="n">
        <v>5</v>
      </c>
      <c r="H15" s="29" t="n">
        <v>0</v>
      </c>
      <c r="I15" s="29" t="n">
        <v>0</v>
      </c>
    </row>
    <row r="16" customFormat="false" ht="15" hidden="false" customHeight="false" outlineLevel="0" collapsed="false">
      <c r="A16" s="26" t="n">
        <v>46186</v>
      </c>
      <c r="B16" s="27" t="s">
        <v>41</v>
      </c>
      <c r="C16" s="27" t="s">
        <v>44</v>
      </c>
      <c r="D16" s="28" t="n">
        <v>5585</v>
      </c>
      <c r="E16" s="29" t="n">
        <v>2369</v>
      </c>
      <c r="F16" s="29" t="n">
        <v>61</v>
      </c>
      <c r="G16" s="29" t="n">
        <v>3</v>
      </c>
      <c r="H16" s="29" t="n">
        <v>0</v>
      </c>
      <c r="I16" s="29" t="n">
        <v>0</v>
      </c>
    </row>
    <row r="17" customFormat="false" ht="15" hidden="false" customHeight="false" outlineLevel="0" collapsed="false">
      <c r="A17" s="26" t="n">
        <v>46187</v>
      </c>
      <c r="B17" s="27" t="s">
        <v>41</v>
      </c>
      <c r="C17" s="27" t="s">
        <v>43</v>
      </c>
      <c r="D17" s="28" t="n">
        <v>8602</v>
      </c>
      <c r="E17" s="29" t="n">
        <v>2143</v>
      </c>
      <c r="F17" s="29" t="n">
        <v>63</v>
      </c>
      <c r="G17" s="29" t="n">
        <v>3</v>
      </c>
      <c r="H17" s="29" t="n">
        <v>0</v>
      </c>
      <c r="I17" s="29" t="n">
        <v>0</v>
      </c>
    </row>
    <row r="18" customFormat="false" ht="15" hidden="false" customHeight="false" outlineLevel="0" collapsed="false">
      <c r="A18" s="26" t="n">
        <v>46187</v>
      </c>
      <c r="B18" s="27" t="s">
        <v>41</v>
      </c>
      <c r="C18" s="27" t="s">
        <v>44</v>
      </c>
      <c r="D18" s="28" t="n">
        <v>6201</v>
      </c>
      <c r="E18" s="29" t="n">
        <v>2281</v>
      </c>
      <c r="F18" s="29" t="n">
        <v>71</v>
      </c>
      <c r="G18" s="29" t="n">
        <v>3</v>
      </c>
      <c r="H18" s="29" t="n">
        <v>0</v>
      </c>
      <c r="I18" s="29" t="n">
        <v>0</v>
      </c>
    </row>
    <row r="19" customFormat="false" ht="15" hidden="false" customHeight="false" outlineLevel="0" collapsed="false">
      <c r="A19" s="26" t="n">
        <v>46188</v>
      </c>
      <c r="B19" s="27" t="s">
        <v>41</v>
      </c>
      <c r="C19" s="27" t="s">
        <v>43</v>
      </c>
      <c r="D19" s="28" t="n">
        <v>7927</v>
      </c>
      <c r="E19" s="29" t="n">
        <v>1907</v>
      </c>
      <c r="F19" s="29" t="n">
        <v>44</v>
      </c>
      <c r="G19" s="29" t="n">
        <v>4</v>
      </c>
      <c r="H19" s="29" t="n">
        <v>0</v>
      </c>
      <c r="I19" s="29" t="n">
        <v>0</v>
      </c>
    </row>
    <row r="20" customFormat="false" ht="15" hidden="false" customHeight="false" outlineLevel="0" collapsed="false">
      <c r="A20" s="26" t="n">
        <v>46188</v>
      </c>
      <c r="B20" s="27" t="s">
        <v>41</v>
      </c>
      <c r="C20" s="27" t="s">
        <v>44</v>
      </c>
      <c r="D20" s="28" t="n">
        <v>4584</v>
      </c>
      <c r="E20" s="29" t="n">
        <v>1954</v>
      </c>
      <c r="F20" s="29" t="n">
        <v>59</v>
      </c>
      <c r="G20" s="29" t="n">
        <v>4</v>
      </c>
      <c r="H20" s="29" t="n">
        <v>0</v>
      </c>
      <c r="I20" s="29" t="n">
        <v>0</v>
      </c>
    </row>
    <row r="21" customFormat="false" ht="15" hidden="false" customHeight="false" outlineLevel="0" collapsed="false">
      <c r="A21" s="26" t="n">
        <v>46189</v>
      </c>
      <c r="B21" s="27" t="s">
        <v>41</v>
      </c>
      <c r="C21" s="27" t="s">
        <v>43</v>
      </c>
      <c r="D21" s="28" t="n">
        <v>13581</v>
      </c>
      <c r="E21" s="29" t="n">
        <v>3514</v>
      </c>
      <c r="F21" s="29" t="n">
        <v>96</v>
      </c>
      <c r="G21" s="29" t="n">
        <v>5</v>
      </c>
      <c r="H21" s="29" t="n">
        <v>0</v>
      </c>
      <c r="I21" s="29" t="n">
        <v>0</v>
      </c>
    </row>
    <row r="22" customFormat="false" ht="15" hidden="false" customHeight="false" outlineLevel="0" collapsed="false">
      <c r="A22" s="26" t="n">
        <v>46189</v>
      </c>
      <c r="B22" s="27" t="s">
        <v>41</v>
      </c>
      <c r="C22" s="27" t="s">
        <v>44</v>
      </c>
      <c r="D22" s="28" t="n">
        <v>5516</v>
      </c>
      <c r="E22" s="29" t="n">
        <v>2185</v>
      </c>
      <c r="F22" s="29" t="n">
        <v>44</v>
      </c>
      <c r="G22" s="29" t="n">
        <v>0</v>
      </c>
      <c r="H22" s="29" t="n">
        <v>0</v>
      </c>
      <c r="I22" s="29" t="n">
        <v>0</v>
      </c>
    </row>
    <row r="23" customFormat="false" ht="15" hidden="false" customHeight="false" outlineLevel="0" collapsed="false">
      <c r="A23" s="26" t="n">
        <v>46189</v>
      </c>
      <c r="B23" s="27" t="s">
        <v>41</v>
      </c>
      <c r="C23" s="27" t="s">
        <v>42</v>
      </c>
      <c r="D23" s="28" t="n">
        <v>0</v>
      </c>
      <c r="E23" s="29" t="n">
        <v>0</v>
      </c>
      <c r="F23" s="29" t="n">
        <v>0</v>
      </c>
      <c r="G23" s="29" t="n">
        <v>0</v>
      </c>
      <c r="H23" s="29" t="n">
        <v>2</v>
      </c>
      <c r="I23" s="29" t="n">
        <v>0</v>
      </c>
    </row>
    <row r="24" customFormat="false" ht="15" hidden="false" customHeight="false" outlineLevel="0" collapsed="false">
      <c r="A24" s="26" t="n">
        <v>46190</v>
      </c>
      <c r="B24" s="27" t="s">
        <v>41</v>
      </c>
      <c r="C24" s="27" t="s">
        <v>42</v>
      </c>
      <c r="D24" s="28" t="n">
        <v>2885</v>
      </c>
      <c r="E24" s="29" t="n">
        <v>893</v>
      </c>
      <c r="F24" s="29" t="n">
        <v>20</v>
      </c>
      <c r="G24" s="29" t="n">
        <v>3</v>
      </c>
      <c r="H24" s="29" t="n">
        <v>1</v>
      </c>
      <c r="I24" s="29" t="n">
        <v>0</v>
      </c>
    </row>
    <row r="25" customFormat="false" ht="15" hidden="false" customHeight="false" outlineLevel="0" collapsed="false">
      <c r="A25" s="26" t="n">
        <v>46190</v>
      </c>
      <c r="B25" s="27" t="s">
        <v>41</v>
      </c>
      <c r="C25" s="27" t="s">
        <v>43</v>
      </c>
      <c r="D25" s="28" t="n">
        <v>15289</v>
      </c>
      <c r="E25" s="29" t="n">
        <v>4626</v>
      </c>
      <c r="F25" s="29" t="n">
        <v>90</v>
      </c>
      <c r="G25" s="29" t="n">
        <v>3</v>
      </c>
      <c r="H25" s="29" t="n">
        <v>0</v>
      </c>
      <c r="I25" s="29" t="n">
        <v>0</v>
      </c>
    </row>
    <row r="26" customFormat="false" ht="15" hidden="false" customHeight="false" outlineLevel="0" collapsed="false">
      <c r="A26" s="26" t="n">
        <v>46190</v>
      </c>
      <c r="B26" s="27" t="s">
        <v>41</v>
      </c>
      <c r="C26" s="27" t="s">
        <v>44</v>
      </c>
      <c r="D26" s="28" t="n">
        <v>6102</v>
      </c>
      <c r="E26" s="29" t="n">
        <v>2835</v>
      </c>
      <c r="F26" s="29" t="n">
        <v>70</v>
      </c>
      <c r="G26" s="29" t="n">
        <v>4</v>
      </c>
      <c r="H26" s="29" t="n">
        <v>0</v>
      </c>
      <c r="I26" s="29" t="n">
        <v>0</v>
      </c>
    </row>
    <row r="27" customFormat="false" ht="15" hidden="false" customHeight="false" outlineLevel="0" collapsed="false">
      <c r="A27" s="26" t="n">
        <v>46191</v>
      </c>
      <c r="B27" s="27" t="s">
        <v>41</v>
      </c>
      <c r="C27" s="27" t="s">
        <v>42</v>
      </c>
      <c r="D27" s="28" t="n">
        <v>17740</v>
      </c>
      <c r="E27" s="29" t="n">
        <v>4926</v>
      </c>
      <c r="F27" s="29" t="n">
        <v>62</v>
      </c>
      <c r="G27" s="29" t="n">
        <v>4</v>
      </c>
      <c r="H27" s="29" t="n">
        <v>0</v>
      </c>
      <c r="I27" s="29" t="n">
        <v>0</v>
      </c>
    </row>
    <row r="28" customFormat="false" ht="15" hidden="false" customHeight="false" outlineLevel="0" collapsed="false">
      <c r="A28" s="26" t="n">
        <v>46191</v>
      </c>
      <c r="B28" s="27" t="s">
        <v>41</v>
      </c>
      <c r="C28" s="27" t="s">
        <v>43</v>
      </c>
      <c r="D28" s="28" t="n">
        <v>14950</v>
      </c>
      <c r="E28" s="29" t="n">
        <v>4985</v>
      </c>
      <c r="F28" s="29" t="n">
        <v>130</v>
      </c>
      <c r="G28" s="29" t="n">
        <v>3</v>
      </c>
      <c r="H28" s="29" t="n">
        <v>0</v>
      </c>
      <c r="I28" s="29" t="n">
        <v>0</v>
      </c>
    </row>
    <row r="29" customFormat="false" ht="15" hidden="false" customHeight="false" outlineLevel="0" collapsed="false">
      <c r="A29" s="26" t="n">
        <v>46191</v>
      </c>
      <c r="B29" s="27" t="s">
        <v>41</v>
      </c>
      <c r="C29" s="27" t="s">
        <v>44</v>
      </c>
      <c r="D29" s="28" t="n">
        <v>5822</v>
      </c>
      <c r="E29" s="29" t="n">
        <v>2279</v>
      </c>
      <c r="F29" s="29" t="n">
        <v>54</v>
      </c>
      <c r="G29" s="29" t="n">
        <v>6</v>
      </c>
      <c r="H29" s="29" t="n">
        <v>0</v>
      </c>
      <c r="I29" s="29" t="n">
        <v>0</v>
      </c>
    </row>
    <row r="30" customFormat="false" ht="15" hidden="false" customHeight="false" outlineLevel="0" collapsed="false">
      <c r="A30" s="26" t="n">
        <v>46192</v>
      </c>
      <c r="B30" s="27" t="s">
        <v>41</v>
      </c>
      <c r="C30" s="27" t="s">
        <v>42</v>
      </c>
      <c r="D30" s="28" t="n">
        <v>18605</v>
      </c>
      <c r="E30" s="29" t="n">
        <v>6090</v>
      </c>
      <c r="F30" s="29" t="n">
        <v>99</v>
      </c>
      <c r="G30" s="29" t="n">
        <v>6</v>
      </c>
      <c r="H30" s="29" t="n">
        <v>0</v>
      </c>
      <c r="I30" s="29" t="n">
        <v>0</v>
      </c>
    </row>
    <row r="31" customFormat="false" ht="15" hidden="false" customHeight="false" outlineLevel="0" collapsed="false">
      <c r="A31" s="26" t="n">
        <v>46192</v>
      </c>
      <c r="B31" s="27" t="s">
        <v>41</v>
      </c>
      <c r="C31" s="27" t="s">
        <v>43</v>
      </c>
      <c r="D31" s="28" t="n">
        <v>13472</v>
      </c>
      <c r="E31" s="29" t="n">
        <v>4749</v>
      </c>
      <c r="F31" s="29" t="n">
        <v>111</v>
      </c>
      <c r="G31" s="29" t="n">
        <v>5</v>
      </c>
      <c r="H31" s="29" t="n">
        <v>1</v>
      </c>
      <c r="I31" s="29" t="n">
        <v>0</v>
      </c>
    </row>
    <row r="32" customFormat="false" ht="15" hidden="false" customHeight="false" outlineLevel="0" collapsed="false">
      <c r="A32" s="26" t="n">
        <v>46192</v>
      </c>
      <c r="B32" s="27" t="s">
        <v>41</v>
      </c>
      <c r="C32" s="27" t="s">
        <v>44</v>
      </c>
      <c r="D32" s="28" t="n">
        <v>6310</v>
      </c>
      <c r="E32" s="29" t="n">
        <v>2125</v>
      </c>
      <c r="F32" s="29" t="n">
        <v>69</v>
      </c>
      <c r="G32" s="29" t="n">
        <v>7</v>
      </c>
      <c r="H32" s="29" t="n">
        <v>0</v>
      </c>
      <c r="I32" s="29" t="n">
        <v>0</v>
      </c>
    </row>
    <row r="33" customFormat="false" ht="15" hidden="false" customHeight="false" outlineLevel="0" collapsed="false">
      <c r="A33" s="26" t="n">
        <v>46193</v>
      </c>
      <c r="B33" s="27" t="s">
        <v>41</v>
      </c>
      <c r="C33" s="27" t="s">
        <v>42</v>
      </c>
      <c r="D33" s="28" t="n">
        <v>22164</v>
      </c>
      <c r="E33" s="29" t="n">
        <v>8938</v>
      </c>
      <c r="F33" s="29" t="n">
        <v>115</v>
      </c>
      <c r="G33" s="29" t="n">
        <v>6</v>
      </c>
      <c r="H33" s="29" t="n">
        <v>0</v>
      </c>
      <c r="I33" s="29" t="n">
        <v>0</v>
      </c>
    </row>
    <row r="34" customFormat="false" ht="15" hidden="false" customHeight="false" outlineLevel="0" collapsed="false">
      <c r="A34" s="26" t="n">
        <v>46193</v>
      </c>
      <c r="B34" s="27" t="s">
        <v>41</v>
      </c>
      <c r="C34" s="27" t="s">
        <v>43</v>
      </c>
      <c r="D34" s="28" t="n">
        <v>14010</v>
      </c>
      <c r="E34" s="29" t="n">
        <v>4716</v>
      </c>
      <c r="F34" s="29" t="n">
        <v>97</v>
      </c>
      <c r="G34" s="29" t="n">
        <v>2</v>
      </c>
      <c r="H34" s="29" t="n">
        <v>0</v>
      </c>
      <c r="I34" s="29" t="n">
        <v>0</v>
      </c>
    </row>
    <row r="35" customFormat="false" ht="15" hidden="false" customHeight="false" outlineLevel="0" collapsed="false">
      <c r="A35" s="26" t="n">
        <v>46193</v>
      </c>
      <c r="B35" s="27" t="s">
        <v>41</v>
      </c>
      <c r="C35" s="27" t="s">
        <v>44</v>
      </c>
      <c r="D35" s="28" t="n">
        <v>5330</v>
      </c>
      <c r="E35" s="29" t="n">
        <v>2343</v>
      </c>
      <c r="F35" s="29" t="n">
        <v>64</v>
      </c>
      <c r="G35" s="29" t="n">
        <v>5</v>
      </c>
      <c r="H35" s="29" t="n">
        <v>0</v>
      </c>
      <c r="I35" s="29" t="n">
        <v>0</v>
      </c>
    </row>
    <row r="36" customFormat="false" ht="15" hidden="false" customHeight="false" outlineLevel="0" collapsed="false">
      <c r="A36" s="26" t="n">
        <v>46194</v>
      </c>
      <c r="B36" s="27" t="s">
        <v>41</v>
      </c>
      <c r="C36" s="27" t="s">
        <v>42</v>
      </c>
      <c r="D36" s="28" t="n">
        <v>16681</v>
      </c>
      <c r="E36" s="29" t="n">
        <v>6493</v>
      </c>
      <c r="F36" s="29" t="n">
        <v>110</v>
      </c>
      <c r="G36" s="29" t="n">
        <v>5</v>
      </c>
      <c r="H36" s="29" t="n">
        <v>0</v>
      </c>
      <c r="I36" s="29" t="n">
        <v>0</v>
      </c>
    </row>
    <row r="37" customFormat="false" ht="15" hidden="false" customHeight="false" outlineLevel="0" collapsed="false">
      <c r="A37" s="26" t="n">
        <v>46194</v>
      </c>
      <c r="B37" s="27" t="s">
        <v>41</v>
      </c>
      <c r="C37" s="27" t="s">
        <v>43</v>
      </c>
      <c r="D37" s="28" t="n">
        <v>16766</v>
      </c>
      <c r="E37" s="29" t="n">
        <v>5686</v>
      </c>
      <c r="F37" s="29" t="n">
        <v>146</v>
      </c>
      <c r="G37" s="29" t="n">
        <v>4</v>
      </c>
      <c r="H37" s="29" t="n">
        <v>1</v>
      </c>
      <c r="I37" s="29" t="n">
        <v>0</v>
      </c>
    </row>
    <row r="38" customFormat="false" ht="15" hidden="false" customHeight="false" outlineLevel="0" collapsed="false">
      <c r="A38" s="26" t="n">
        <v>46194</v>
      </c>
      <c r="B38" s="27" t="s">
        <v>41</v>
      </c>
      <c r="C38" s="27" t="s">
        <v>44</v>
      </c>
      <c r="D38" s="28" t="n">
        <v>5959</v>
      </c>
      <c r="E38" s="29" t="n">
        <v>2593</v>
      </c>
      <c r="F38" s="29" t="n">
        <v>49</v>
      </c>
      <c r="G38" s="29" t="n">
        <v>4</v>
      </c>
      <c r="H38" s="29" t="n">
        <v>0</v>
      </c>
      <c r="I38" s="29" t="n">
        <v>0</v>
      </c>
    </row>
    <row r="39" customFormat="false" ht="15" hidden="false" customHeight="false" outlineLevel="0" collapsed="false">
      <c r="A39" s="26" t="n">
        <v>46195</v>
      </c>
      <c r="B39" s="27" t="s">
        <v>41</v>
      </c>
      <c r="C39" s="27" t="s">
        <v>42</v>
      </c>
      <c r="D39" s="28" t="n">
        <v>13351</v>
      </c>
      <c r="E39" s="29" t="n">
        <v>4425</v>
      </c>
      <c r="F39" s="29" t="n">
        <v>55</v>
      </c>
      <c r="G39" s="29" t="n">
        <v>4</v>
      </c>
      <c r="H39" s="29" t="n">
        <v>0</v>
      </c>
      <c r="I39" s="29" t="n">
        <v>0</v>
      </c>
    </row>
    <row r="40" customFormat="false" ht="15" hidden="false" customHeight="false" outlineLevel="0" collapsed="false">
      <c r="A40" s="26" t="n">
        <v>46195</v>
      </c>
      <c r="B40" s="27" t="s">
        <v>41</v>
      </c>
      <c r="C40" s="27" t="s">
        <v>43</v>
      </c>
      <c r="D40" s="28" t="n">
        <v>14639</v>
      </c>
      <c r="E40" s="29" t="n">
        <v>4006</v>
      </c>
      <c r="F40" s="29" t="n">
        <v>103</v>
      </c>
      <c r="G40" s="29" t="n">
        <v>4</v>
      </c>
      <c r="H40" s="29" t="n">
        <v>0</v>
      </c>
      <c r="I40" s="29" t="n">
        <v>0</v>
      </c>
    </row>
    <row r="41" customFormat="false" ht="15" hidden="false" customHeight="false" outlineLevel="0" collapsed="false">
      <c r="A41" s="26" t="n">
        <v>46195</v>
      </c>
      <c r="B41" s="27" t="s">
        <v>41</v>
      </c>
      <c r="C41" s="27" t="s">
        <v>44</v>
      </c>
      <c r="D41" s="28" t="n">
        <v>3989</v>
      </c>
      <c r="E41" s="29" t="n">
        <v>1504</v>
      </c>
      <c r="F41" s="29" t="n">
        <v>33</v>
      </c>
      <c r="G41" s="29" t="n">
        <v>1</v>
      </c>
      <c r="H41" s="29" t="n">
        <v>0</v>
      </c>
      <c r="I41" s="29" t="n">
        <v>0</v>
      </c>
    </row>
    <row r="42" customFormat="false" ht="15" hidden="false" customHeight="false" outlineLevel="0" collapsed="false">
      <c r="A42" s="26"/>
      <c r="B42" s="27"/>
      <c r="C42" s="27"/>
      <c r="D42" s="28"/>
      <c r="E42" s="29"/>
      <c r="F42" s="29"/>
      <c r="G42" s="29"/>
      <c r="H42" s="29"/>
      <c r="I42" s="29"/>
    </row>
    <row r="43" customFormat="false" ht="15" hidden="false" customHeight="false" outlineLevel="0" collapsed="false">
      <c r="A43" s="26"/>
      <c r="B43" s="27"/>
      <c r="C43" s="27"/>
      <c r="D43" s="28"/>
      <c r="E43" s="29"/>
      <c r="F43" s="29"/>
      <c r="G43" s="29"/>
      <c r="H43" s="29"/>
      <c r="I43" s="29"/>
    </row>
    <row r="44" customFormat="false" ht="15" hidden="false" customHeight="false" outlineLevel="0" collapsed="false">
      <c r="A44" s="26"/>
      <c r="B44" s="27"/>
      <c r="C44" s="27"/>
      <c r="D44" s="28"/>
      <c r="E44" s="29"/>
      <c r="F44" s="29"/>
      <c r="G44" s="29"/>
      <c r="H44" s="29"/>
      <c r="I44" s="29"/>
    </row>
    <row r="45" customFormat="false" ht="15" hidden="false" customHeight="false" outlineLevel="0" collapsed="false">
      <c r="A45" s="26"/>
      <c r="B45" s="27"/>
      <c r="C45" s="27"/>
      <c r="D45" s="28"/>
      <c r="E45" s="29"/>
      <c r="F45" s="29"/>
      <c r="G45" s="29"/>
      <c r="H45" s="29"/>
      <c r="I45" s="29"/>
    </row>
    <row r="46" customFormat="false" ht="15" hidden="false" customHeight="false" outlineLevel="0" collapsed="false">
      <c r="A46" s="26"/>
      <c r="B46" s="27"/>
      <c r="C46" s="27"/>
      <c r="D46" s="28"/>
      <c r="E46" s="29"/>
      <c r="F46" s="29"/>
      <c r="G46" s="29"/>
      <c r="H46" s="29"/>
      <c r="I46" s="29"/>
    </row>
    <row r="47" customFormat="false" ht="15" hidden="false" customHeight="false" outlineLevel="0" collapsed="false">
      <c r="A47" s="26"/>
      <c r="B47" s="27"/>
      <c r="C47" s="27"/>
      <c r="D47" s="28"/>
      <c r="E47" s="29"/>
      <c r="F47" s="29"/>
      <c r="G47" s="29"/>
      <c r="H47" s="29"/>
      <c r="I47" s="29"/>
    </row>
    <row r="48" customFormat="false" ht="15" hidden="false" customHeight="false" outlineLevel="0" collapsed="false">
      <c r="A48" s="26"/>
      <c r="B48" s="27"/>
      <c r="C48" s="27"/>
      <c r="D48" s="28"/>
      <c r="E48" s="29"/>
      <c r="F48" s="29"/>
      <c r="G48" s="29"/>
      <c r="H48" s="29"/>
      <c r="I48" s="29"/>
    </row>
    <row r="49" customFormat="false" ht="15" hidden="false" customHeight="false" outlineLevel="0" collapsed="false">
      <c r="A49" s="26"/>
      <c r="B49" s="27"/>
      <c r="C49" s="27"/>
      <c r="D49" s="28"/>
      <c r="E49" s="29"/>
      <c r="F49" s="29"/>
      <c r="G49" s="29"/>
      <c r="H49" s="29"/>
      <c r="I49" s="29"/>
    </row>
    <row r="50" customFormat="false" ht="15" hidden="false" customHeight="false" outlineLevel="0" collapsed="false">
      <c r="A50" s="26"/>
      <c r="B50" s="27"/>
      <c r="C50" s="27"/>
      <c r="D50" s="28"/>
      <c r="E50" s="29"/>
      <c r="F50" s="29"/>
      <c r="G50" s="29"/>
      <c r="H50" s="29"/>
      <c r="I50" s="29"/>
    </row>
    <row r="51" customFormat="false" ht="15" hidden="false" customHeight="false" outlineLevel="0" collapsed="false">
      <c r="A51" s="26"/>
      <c r="B51" s="27"/>
      <c r="C51" s="27"/>
      <c r="D51" s="28"/>
      <c r="E51" s="29"/>
      <c r="F51" s="29"/>
      <c r="G51" s="29"/>
      <c r="H51" s="29"/>
      <c r="I51" s="29"/>
    </row>
    <row r="52" customFormat="false" ht="15" hidden="false" customHeight="false" outlineLevel="0" collapsed="false">
      <c r="A52" s="26"/>
      <c r="B52" s="27"/>
      <c r="C52" s="27"/>
      <c r="D52" s="28"/>
      <c r="E52" s="29"/>
      <c r="F52" s="29"/>
      <c r="G52" s="29"/>
      <c r="H52" s="29"/>
      <c r="I52" s="29"/>
    </row>
    <row r="53" customFormat="false" ht="15" hidden="false" customHeight="false" outlineLevel="0" collapsed="false">
      <c r="A53" s="26"/>
      <c r="B53" s="27"/>
      <c r="C53" s="27"/>
      <c r="D53" s="28"/>
      <c r="E53" s="29"/>
      <c r="F53" s="29"/>
      <c r="G53" s="29"/>
      <c r="H53" s="29"/>
      <c r="I53" s="29"/>
    </row>
    <row r="54" customFormat="false" ht="15" hidden="false" customHeight="false" outlineLevel="0" collapsed="false">
      <c r="A54" s="26"/>
      <c r="B54" s="27"/>
      <c r="C54" s="27"/>
      <c r="D54" s="28"/>
      <c r="E54" s="29"/>
      <c r="F54" s="29"/>
      <c r="G54" s="29"/>
      <c r="H54" s="29"/>
      <c r="I54" s="29"/>
    </row>
    <row r="55" customFormat="false" ht="15" hidden="false" customHeight="false" outlineLevel="0" collapsed="false">
      <c r="A55" s="26"/>
      <c r="B55" s="27"/>
      <c r="C55" s="27"/>
      <c r="D55" s="28"/>
      <c r="E55" s="29"/>
      <c r="F55" s="29"/>
      <c r="G55" s="29"/>
      <c r="H55" s="29"/>
      <c r="I55" s="29"/>
    </row>
    <row r="56" customFormat="false" ht="15" hidden="false" customHeight="false" outlineLevel="0" collapsed="false">
      <c r="A56" s="26"/>
      <c r="B56" s="27"/>
      <c r="C56" s="27"/>
      <c r="D56" s="28"/>
      <c r="E56" s="29"/>
      <c r="F56" s="29"/>
      <c r="G56" s="29"/>
      <c r="H56" s="29"/>
      <c r="I56" s="29"/>
    </row>
    <row r="57" customFormat="false" ht="15" hidden="false" customHeight="false" outlineLevel="0" collapsed="false">
      <c r="A57" s="26"/>
      <c r="B57" s="27"/>
      <c r="C57" s="27"/>
      <c r="D57" s="28"/>
      <c r="E57" s="29"/>
      <c r="F57" s="29"/>
      <c r="G57" s="29"/>
      <c r="H57" s="29"/>
      <c r="I57" s="29"/>
    </row>
    <row r="58" customFormat="false" ht="15" hidden="false" customHeight="false" outlineLevel="0" collapsed="false">
      <c r="A58" s="26"/>
      <c r="B58" s="27"/>
      <c r="C58" s="27"/>
      <c r="D58" s="28"/>
      <c r="E58" s="29"/>
      <c r="F58" s="29"/>
      <c r="G58" s="29"/>
      <c r="H58" s="29"/>
      <c r="I58" s="29"/>
    </row>
    <row r="59" customFormat="false" ht="15" hidden="false" customHeight="false" outlineLevel="0" collapsed="false">
      <c r="A59" s="26"/>
      <c r="B59" s="27"/>
      <c r="C59" s="27"/>
      <c r="D59" s="28"/>
      <c r="E59" s="29"/>
      <c r="F59" s="29"/>
      <c r="G59" s="29"/>
      <c r="H59" s="29"/>
      <c r="I59" s="29"/>
    </row>
    <row r="60" customFormat="false" ht="15" hidden="false" customHeight="false" outlineLevel="0" collapsed="false">
      <c r="A60" s="26"/>
      <c r="B60" s="27"/>
      <c r="C60" s="27"/>
      <c r="D60" s="28"/>
      <c r="E60" s="29"/>
      <c r="F60" s="29"/>
      <c r="G60" s="29"/>
      <c r="H60" s="29"/>
      <c r="I60" s="29"/>
    </row>
    <row r="61" customFormat="false" ht="15" hidden="false" customHeight="false" outlineLevel="0" collapsed="false">
      <c r="A61" s="26"/>
      <c r="B61" s="27"/>
      <c r="C61" s="27"/>
      <c r="D61" s="28"/>
      <c r="E61" s="29"/>
      <c r="F61" s="29"/>
      <c r="G61" s="29"/>
      <c r="H61" s="29"/>
      <c r="I61" s="29"/>
    </row>
    <row r="62" customFormat="false" ht="15" hidden="false" customHeight="false" outlineLevel="0" collapsed="false">
      <c r="A62" s="26"/>
      <c r="B62" s="27"/>
      <c r="C62" s="27"/>
      <c r="D62" s="28"/>
      <c r="E62" s="29"/>
      <c r="F62" s="29"/>
      <c r="G62" s="29"/>
      <c r="H62" s="29"/>
      <c r="I62" s="29"/>
    </row>
    <row r="63" customFormat="false" ht="15" hidden="false" customHeight="false" outlineLevel="0" collapsed="false">
      <c r="A63" s="26"/>
      <c r="B63" s="27"/>
      <c r="C63" s="27"/>
      <c r="D63" s="28"/>
      <c r="E63" s="29"/>
      <c r="F63" s="29"/>
      <c r="G63" s="29"/>
      <c r="H63" s="29"/>
      <c r="I63" s="29"/>
    </row>
    <row r="64" customFormat="false" ht="15" hidden="false" customHeight="false" outlineLevel="0" collapsed="false">
      <c r="A64" s="26"/>
      <c r="B64" s="27"/>
      <c r="C64" s="27"/>
      <c r="D64" s="28"/>
      <c r="E64" s="29"/>
      <c r="F64" s="29"/>
      <c r="G64" s="29"/>
      <c r="H64" s="29"/>
      <c r="I64" s="29"/>
    </row>
    <row r="65" customFormat="false" ht="15" hidden="false" customHeight="false" outlineLevel="0" collapsed="false">
      <c r="A65" s="26"/>
      <c r="B65" s="27"/>
      <c r="C65" s="27"/>
      <c r="D65" s="28"/>
      <c r="E65" s="29"/>
      <c r="F65" s="29"/>
      <c r="G65" s="29"/>
      <c r="H65" s="29"/>
      <c r="I65" s="29"/>
    </row>
    <row r="66" customFormat="false" ht="15" hidden="false" customHeight="false" outlineLevel="0" collapsed="false">
      <c r="A66" s="26"/>
      <c r="B66" s="27"/>
      <c r="C66" s="27"/>
      <c r="D66" s="28"/>
      <c r="E66" s="29"/>
      <c r="F66" s="29"/>
      <c r="G66" s="29"/>
      <c r="H66" s="29"/>
      <c r="I66" s="29"/>
    </row>
    <row r="67" customFormat="false" ht="15" hidden="false" customHeight="false" outlineLevel="0" collapsed="false">
      <c r="A67" s="26"/>
      <c r="B67" s="27"/>
      <c r="C67" s="27"/>
      <c r="D67" s="28"/>
      <c r="E67" s="29"/>
      <c r="F67" s="29"/>
      <c r="G67" s="29"/>
      <c r="H67" s="29"/>
      <c r="I67" s="29"/>
    </row>
    <row r="68" customFormat="false" ht="15" hidden="false" customHeight="false" outlineLevel="0" collapsed="false">
      <c r="A68" s="26"/>
      <c r="B68" s="27"/>
      <c r="C68" s="27"/>
      <c r="D68" s="28"/>
      <c r="E68" s="29"/>
      <c r="F68" s="29"/>
      <c r="G68" s="29"/>
      <c r="H68" s="29"/>
      <c r="I68" s="29"/>
    </row>
    <row r="69" customFormat="false" ht="15" hidden="false" customHeight="false" outlineLevel="0" collapsed="false">
      <c r="A69" s="26"/>
      <c r="B69" s="27"/>
      <c r="C69" s="27"/>
      <c r="D69" s="28"/>
      <c r="E69" s="29"/>
      <c r="F69" s="29"/>
      <c r="G69" s="29"/>
      <c r="H69" s="29"/>
      <c r="I69" s="29"/>
    </row>
    <row r="70" customFormat="false" ht="15" hidden="false" customHeight="false" outlineLevel="0" collapsed="false">
      <c r="A70" s="26"/>
      <c r="B70" s="27"/>
      <c r="C70" s="27"/>
      <c r="D70" s="28"/>
      <c r="E70" s="29"/>
      <c r="F70" s="29"/>
      <c r="G70" s="29"/>
      <c r="H70" s="29"/>
      <c r="I70" s="29"/>
    </row>
    <row r="71" customFormat="false" ht="15" hidden="false" customHeight="false" outlineLevel="0" collapsed="false">
      <c r="A71" s="26"/>
      <c r="B71" s="27"/>
      <c r="C71" s="27"/>
      <c r="D71" s="28"/>
      <c r="E71" s="29"/>
      <c r="F71" s="29"/>
      <c r="G71" s="29"/>
      <c r="H71" s="29"/>
      <c r="I71" s="29"/>
    </row>
    <row r="72" customFormat="false" ht="15" hidden="false" customHeight="false" outlineLevel="0" collapsed="false">
      <c r="A72" s="26"/>
      <c r="B72" s="27"/>
      <c r="C72" s="27"/>
      <c r="D72" s="28"/>
      <c r="E72" s="29"/>
      <c r="F72" s="29"/>
      <c r="G72" s="29"/>
      <c r="H72" s="29"/>
      <c r="I72" s="29"/>
    </row>
    <row r="73" customFormat="false" ht="15" hidden="false" customHeight="false" outlineLevel="0" collapsed="false">
      <c r="A73" s="26"/>
      <c r="B73" s="27"/>
      <c r="C73" s="27"/>
      <c r="D73" s="28"/>
      <c r="E73" s="29"/>
      <c r="F73" s="29"/>
      <c r="G73" s="29"/>
      <c r="H73" s="29"/>
      <c r="I73" s="29"/>
    </row>
    <row r="74" customFormat="false" ht="15" hidden="false" customHeight="false" outlineLevel="0" collapsed="false">
      <c r="A74" s="26"/>
      <c r="B74" s="27"/>
      <c r="C74" s="27"/>
      <c r="D74" s="28"/>
      <c r="E74" s="29"/>
      <c r="F74" s="29"/>
      <c r="G74" s="29"/>
      <c r="H74" s="29"/>
      <c r="I74" s="29"/>
    </row>
    <row r="75" customFormat="false" ht="15" hidden="false" customHeight="false" outlineLevel="0" collapsed="false">
      <c r="A75" s="26"/>
      <c r="B75" s="27"/>
      <c r="C75" s="27"/>
      <c r="D75" s="28"/>
      <c r="E75" s="29"/>
      <c r="F75" s="29"/>
      <c r="G75" s="29"/>
      <c r="H75" s="29"/>
      <c r="I75" s="29"/>
    </row>
    <row r="76" customFormat="false" ht="15" hidden="false" customHeight="false" outlineLevel="0" collapsed="false">
      <c r="A76" s="26"/>
      <c r="B76" s="27"/>
      <c r="C76" s="27"/>
      <c r="D76" s="28"/>
      <c r="E76" s="29"/>
      <c r="F76" s="29"/>
      <c r="G76" s="29"/>
      <c r="H76" s="29"/>
      <c r="I76" s="29"/>
    </row>
    <row r="77" customFormat="false" ht="15" hidden="false" customHeight="false" outlineLevel="0" collapsed="false">
      <c r="A77" s="26"/>
      <c r="B77" s="27"/>
      <c r="C77" s="27"/>
      <c r="D77" s="28"/>
      <c r="E77" s="29"/>
      <c r="F77" s="29"/>
      <c r="G77" s="29"/>
      <c r="H77" s="29"/>
      <c r="I77" s="29"/>
    </row>
    <row r="78" customFormat="false" ht="15" hidden="false" customHeight="false" outlineLevel="0" collapsed="false">
      <c r="A78" s="26"/>
      <c r="B78" s="27"/>
      <c r="C78" s="27"/>
      <c r="D78" s="28"/>
      <c r="E78" s="29"/>
      <c r="F78" s="29"/>
      <c r="G78" s="29"/>
      <c r="H78" s="29"/>
      <c r="I78" s="29"/>
    </row>
    <row r="79" customFormat="false" ht="15" hidden="false" customHeight="false" outlineLevel="0" collapsed="false">
      <c r="A79" s="26"/>
      <c r="B79" s="27"/>
      <c r="C79" s="27"/>
      <c r="D79" s="28"/>
      <c r="E79" s="29"/>
      <c r="F79" s="29"/>
      <c r="G79" s="29"/>
      <c r="H79" s="29"/>
      <c r="I79" s="29"/>
    </row>
    <row r="80" customFormat="false" ht="15" hidden="false" customHeight="false" outlineLevel="0" collapsed="false">
      <c r="A80" s="26"/>
      <c r="B80" s="27"/>
      <c r="C80" s="27"/>
      <c r="D80" s="28"/>
      <c r="E80" s="29"/>
      <c r="F80" s="29"/>
      <c r="G80" s="29"/>
      <c r="H80" s="29"/>
      <c r="I80" s="29"/>
    </row>
    <row r="81" customFormat="false" ht="15" hidden="false" customHeight="false" outlineLevel="0" collapsed="false">
      <c r="A81" s="26"/>
      <c r="B81" s="27"/>
      <c r="C81" s="27"/>
      <c r="D81" s="28"/>
      <c r="E81" s="29"/>
      <c r="F81" s="29"/>
      <c r="G81" s="29"/>
      <c r="H81" s="29"/>
      <c r="I81" s="29"/>
    </row>
    <row r="82" customFormat="false" ht="15" hidden="false" customHeight="false" outlineLevel="0" collapsed="false">
      <c r="A82" s="26"/>
      <c r="B82" s="27"/>
      <c r="C82" s="27"/>
      <c r="D82" s="28"/>
      <c r="E82" s="29"/>
      <c r="F82" s="29"/>
      <c r="G82" s="29"/>
      <c r="H82" s="29"/>
      <c r="I82" s="29"/>
    </row>
    <row r="83" customFormat="false" ht="15" hidden="false" customHeight="false" outlineLevel="0" collapsed="false">
      <c r="A83" s="26"/>
      <c r="B83" s="27"/>
      <c r="C83" s="27"/>
      <c r="D83" s="28"/>
      <c r="E83" s="29"/>
      <c r="F83" s="29"/>
      <c r="G83" s="29"/>
      <c r="H83" s="29"/>
      <c r="I83" s="29"/>
    </row>
    <row r="84" customFormat="false" ht="15" hidden="false" customHeight="false" outlineLevel="0" collapsed="false">
      <c r="A84" s="26"/>
      <c r="B84" s="27"/>
      <c r="C84" s="27"/>
      <c r="D84" s="28"/>
      <c r="E84" s="29"/>
      <c r="F84" s="29"/>
      <c r="G84" s="29"/>
      <c r="H84" s="29"/>
      <c r="I84" s="29"/>
    </row>
    <row r="85" customFormat="false" ht="15" hidden="false" customHeight="false" outlineLevel="0" collapsed="false">
      <c r="A85" s="26"/>
      <c r="B85" s="27"/>
      <c r="C85" s="27"/>
      <c r="D85" s="28"/>
      <c r="E85" s="29"/>
      <c r="F85" s="29"/>
      <c r="G85" s="29"/>
      <c r="H85" s="29"/>
      <c r="I85" s="29"/>
    </row>
    <row r="86" customFormat="false" ht="15" hidden="false" customHeight="false" outlineLevel="0" collapsed="false">
      <c r="A86" s="26"/>
      <c r="B86" s="27"/>
      <c r="C86" s="27"/>
      <c r="D86" s="28"/>
      <c r="E86" s="29"/>
      <c r="F86" s="29"/>
      <c r="G86" s="29"/>
      <c r="H86" s="29"/>
      <c r="I86" s="29"/>
    </row>
    <row r="87" customFormat="false" ht="15" hidden="false" customHeight="false" outlineLevel="0" collapsed="false">
      <c r="A87" s="26"/>
      <c r="B87" s="27"/>
      <c r="C87" s="27"/>
      <c r="D87" s="28"/>
      <c r="E87" s="29"/>
      <c r="F87" s="29"/>
      <c r="G87" s="29"/>
      <c r="H87" s="29"/>
      <c r="I87" s="29"/>
    </row>
    <row r="88" customFormat="false" ht="15" hidden="false" customHeight="false" outlineLevel="0" collapsed="false">
      <c r="A88" s="26"/>
      <c r="B88" s="27"/>
      <c r="C88" s="27"/>
      <c r="D88" s="28"/>
      <c r="E88" s="29"/>
      <c r="F88" s="29"/>
      <c r="G88" s="29"/>
      <c r="H88" s="29"/>
      <c r="I88" s="29"/>
    </row>
    <row r="89" customFormat="false" ht="15" hidden="false" customHeight="false" outlineLevel="0" collapsed="false">
      <c r="A89" s="26"/>
      <c r="B89" s="27"/>
      <c r="C89" s="27"/>
      <c r="D89" s="28"/>
      <c r="E89" s="29"/>
      <c r="F89" s="29"/>
      <c r="G89" s="29"/>
      <c r="H89" s="29"/>
      <c r="I89" s="29"/>
    </row>
    <row r="90" customFormat="false" ht="15" hidden="false" customHeight="false" outlineLevel="0" collapsed="false">
      <c r="A90" s="26"/>
      <c r="B90" s="27"/>
      <c r="C90" s="27"/>
      <c r="D90" s="28"/>
      <c r="E90" s="29"/>
      <c r="F90" s="29"/>
      <c r="G90" s="29"/>
      <c r="H90" s="29"/>
      <c r="I90" s="29"/>
    </row>
    <row r="91" customFormat="false" ht="15" hidden="false" customHeight="false" outlineLevel="0" collapsed="false">
      <c r="A91" s="26"/>
      <c r="B91" s="27"/>
      <c r="C91" s="27"/>
      <c r="D91" s="28"/>
      <c r="E91" s="29"/>
      <c r="F91" s="29"/>
      <c r="G91" s="29"/>
      <c r="H91" s="29"/>
      <c r="I91" s="29"/>
    </row>
    <row r="92" customFormat="false" ht="15" hidden="false" customHeight="false" outlineLevel="0" collapsed="false">
      <c r="A92" s="26"/>
      <c r="B92" s="27"/>
      <c r="C92" s="27"/>
      <c r="D92" s="28"/>
      <c r="E92" s="29"/>
      <c r="F92" s="29"/>
      <c r="G92" s="29"/>
      <c r="H92" s="29"/>
      <c r="I92" s="29"/>
    </row>
    <row r="93" customFormat="false" ht="15" hidden="false" customHeight="false" outlineLevel="0" collapsed="false">
      <c r="A93" s="26"/>
      <c r="B93" s="27"/>
      <c r="C93" s="27"/>
      <c r="D93" s="28"/>
      <c r="E93" s="29"/>
      <c r="F93" s="29"/>
      <c r="G93" s="29"/>
      <c r="H93" s="29"/>
      <c r="I93" s="29"/>
    </row>
    <row r="94" customFormat="false" ht="15" hidden="false" customHeight="false" outlineLevel="0" collapsed="false">
      <c r="A94" s="26"/>
      <c r="B94" s="27"/>
      <c r="C94" s="27"/>
      <c r="D94" s="28"/>
      <c r="E94" s="29"/>
      <c r="F94" s="29"/>
      <c r="G94" s="29"/>
      <c r="H94" s="29"/>
      <c r="I94" s="29"/>
    </row>
    <row r="95" customFormat="false" ht="15" hidden="false" customHeight="false" outlineLevel="0" collapsed="false">
      <c r="A95" s="26"/>
      <c r="B95" s="27"/>
      <c r="C95" s="27"/>
      <c r="D95" s="28"/>
      <c r="E95" s="29"/>
      <c r="F95" s="29"/>
      <c r="G95" s="29"/>
      <c r="H95" s="29"/>
      <c r="I95" s="29"/>
    </row>
    <row r="96" customFormat="false" ht="15" hidden="false" customHeight="false" outlineLevel="0" collapsed="false">
      <c r="A96" s="26"/>
      <c r="B96" s="27"/>
      <c r="C96" s="27"/>
      <c r="D96" s="28"/>
      <c r="E96" s="29"/>
      <c r="F96" s="29"/>
      <c r="G96" s="29"/>
      <c r="H96" s="29"/>
      <c r="I96" s="29"/>
    </row>
    <row r="97" customFormat="false" ht="15" hidden="false" customHeight="false" outlineLevel="0" collapsed="false">
      <c r="A97" s="26"/>
      <c r="B97" s="27"/>
      <c r="C97" s="27"/>
      <c r="D97" s="28"/>
      <c r="E97" s="29"/>
      <c r="F97" s="29"/>
      <c r="G97" s="29"/>
      <c r="H97" s="29"/>
      <c r="I97" s="29"/>
    </row>
    <row r="98" customFormat="false" ht="15" hidden="false" customHeight="false" outlineLevel="0" collapsed="false">
      <c r="A98" s="26"/>
      <c r="B98" s="27"/>
      <c r="C98" s="27"/>
      <c r="D98" s="28"/>
      <c r="E98" s="29"/>
      <c r="F98" s="29"/>
      <c r="G98" s="29"/>
      <c r="H98" s="29"/>
      <c r="I98" s="29"/>
    </row>
    <row r="99" customFormat="false" ht="15" hidden="false" customHeight="false" outlineLevel="0" collapsed="false">
      <c r="A99" s="26"/>
      <c r="B99" s="27"/>
      <c r="C99" s="27"/>
      <c r="D99" s="28"/>
      <c r="E99" s="29"/>
      <c r="F99" s="29"/>
      <c r="G99" s="29"/>
      <c r="H99" s="29"/>
      <c r="I99" s="29"/>
    </row>
    <row r="100" customFormat="false" ht="15" hidden="false" customHeight="false" outlineLevel="0" collapsed="false">
      <c r="A100" s="26"/>
      <c r="B100" s="27"/>
      <c r="C100" s="27"/>
      <c r="D100" s="28"/>
      <c r="E100" s="29"/>
      <c r="F100" s="29"/>
      <c r="G100" s="29"/>
      <c r="H100" s="29"/>
      <c r="I100" s="29"/>
    </row>
    <row r="101" customFormat="false" ht="15" hidden="false" customHeight="false" outlineLevel="0" collapsed="false">
      <c r="A101" s="26"/>
      <c r="B101" s="27"/>
      <c r="C101" s="27"/>
      <c r="D101" s="28"/>
      <c r="E101" s="29"/>
      <c r="F101" s="29"/>
      <c r="G101" s="29"/>
      <c r="H101" s="29"/>
      <c r="I101" s="29"/>
    </row>
    <row r="102" customFormat="false" ht="15" hidden="false" customHeight="false" outlineLevel="0" collapsed="false">
      <c r="A102" s="26"/>
      <c r="B102" s="27"/>
      <c r="C102" s="27"/>
      <c r="D102" s="28"/>
      <c r="E102" s="29"/>
      <c r="F102" s="29"/>
      <c r="G102" s="29"/>
      <c r="H102" s="29"/>
      <c r="I102" s="29"/>
    </row>
    <row r="103" customFormat="false" ht="15" hidden="false" customHeight="false" outlineLevel="0" collapsed="false">
      <c r="A103" s="26"/>
      <c r="B103" s="27"/>
      <c r="C103" s="27"/>
      <c r="D103" s="28"/>
      <c r="E103" s="29"/>
      <c r="F103" s="29"/>
      <c r="G103" s="29"/>
      <c r="H103" s="29"/>
      <c r="I103" s="29"/>
    </row>
    <row r="104" customFormat="false" ht="15" hidden="false" customHeight="false" outlineLevel="0" collapsed="false">
      <c r="A104" s="26"/>
      <c r="B104" s="27"/>
      <c r="C104" s="27"/>
      <c r="D104" s="28"/>
      <c r="E104" s="29"/>
      <c r="F104" s="29"/>
      <c r="G104" s="29"/>
      <c r="H104" s="29"/>
      <c r="I104" s="29"/>
    </row>
    <row r="105" customFormat="false" ht="15" hidden="false" customHeight="false" outlineLevel="0" collapsed="false">
      <c r="A105" s="26"/>
      <c r="B105" s="27"/>
      <c r="C105" s="27"/>
      <c r="D105" s="28"/>
      <c r="E105" s="29"/>
      <c r="F105" s="29"/>
      <c r="G105" s="29"/>
      <c r="H105" s="29"/>
      <c r="I105" s="29"/>
    </row>
    <row r="106" customFormat="false" ht="15" hidden="false" customHeight="false" outlineLevel="0" collapsed="false">
      <c r="A106" s="26"/>
      <c r="B106" s="27"/>
      <c r="C106" s="27"/>
      <c r="D106" s="28"/>
      <c r="E106" s="29"/>
      <c r="F106" s="29"/>
      <c r="G106" s="29"/>
      <c r="H106" s="29"/>
      <c r="I106" s="29"/>
    </row>
    <row r="107" customFormat="false" ht="15" hidden="false" customHeight="false" outlineLevel="0" collapsed="false">
      <c r="A107" s="26"/>
      <c r="B107" s="27"/>
      <c r="C107" s="27"/>
      <c r="D107" s="28"/>
      <c r="E107" s="29"/>
      <c r="F107" s="29"/>
      <c r="G107" s="29"/>
      <c r="H107" s="29"/>
      <c r="I107" s="29"/>
    </row>
    <row r="108" customFormat="false" ht="15" hidden="false" customHeight="false" outlineLevel="0" collapsed="false">
      <c r="A108" s="26"/>
      <c r="B108" s="27"/>
      <c r="C108" s="27"/>
      <c r="D108" s="28"/>
      <c r="E108" s="29"/>
      <c r="F108" s="29"/>
      <c r="G108" s="29"/>
      <c r="H108" s="29"/>
      <c r="I108" s="29"/>
    </row>
    <row r="109" customFormat="false" ht="15" hidden="false" customHeight="false" outlineLevel="0" collapsed="false">
      <c r="A109" s="26"/>
      <c r="B109" s="27"/>
      <c r="C109" s="27"/>
      <c r="D109" s="28"/>
      <c r="E109" s="29"/>
      <c r="F109" s="29"/>
      <c r="G109" s="29"/>
      <c r="H109" s="29"/>
      <c r="I109" s="29"/>
    </row>
    <row r="110" customFormat="false" ht="15" hidden="false" customHeight="false" outlineLevel="0" collapsed="false">
      <c r="A110" s="26"/>
      <c r="B110" s="27"/>
      <c r="C110" s="27"/>
      <c r="D110" s="28"/>
      <c r="E110" s="29"/>
      <c r="F110" s="29"/>
      <c r="G110" s="29"/>
      <c r="H110" s="29"/>
      <c r="I110" s="29"/>
    </row>
    <row r="111" customFormat="false" ht="15" hidden="false" customHeight="false" outlineLevel="0" collapsed="false">
      <c r="A111" s="26"/>
      <c r="B111" s="27"/>
      <c r="C111" s="27"/>
      <c r="D111" s="28"/>
      <c r="E111" s="29"/>
      <c r="F111" s="29"/>
      <c r="G111" s="29"/>
      <c r="H111" s="29"/>
      <c r="I111" s="29"/>
    </row>
    <row r="112" customFormat="false" ht="15" hidden="false" customHeight="false" outlineLevel="0" collapsed="false">
      <c r="A112" s="26"/>
      <c r="B112" s="27"/>
      <c r="C112" s="27"/>
      <c r="D112" s="28"/>
      <c r="E112" s="29"/>
      <c r="F112" s="29"/>
      <c r="G112" s="29"/>
      <c r="H112" s="29"/>
      <c r="I112" s="29"/>
    </row>
    <row r="113" customFormat="false" ht="15" hidden="false" customHeight="false" outlineLevel="0" collapsed="false">
      <c r="A113" s="26"/>
      <c r="B113" s="27"/>
      <c r="C113" s="27"/>
      <c r="D113" s="28"/>
      <c r="E113" s="29"/>
      <c r="F113" s="29"/>
      <c r="G113" s="29"/>
      <c r="H113" s="29"/>
      <c r="I113" s="29"/>
    </row>
    <row r="114" customFormat="false" ht="15" hidden="false" customHeight="false" outlineLevel="0" collapsed="false">
      <c r="A114" s="26"/>
      <c r="B114" s="27"/>
      <c r="C114" s="27"/>
      <c r="D114" s="28"/>
      <c r="E114" s="29"/>
      <c r="F114" s="29"/>
      <c r="G114" s="29"/>
      <c r="H114" s="29"/>
      <c r="I114" s="29"/>
    </row>
    <row r="115" customFormat="false" ht="15" hidden="false" customHeight="false" outlineLevel="0" collapsed="false">
      <c r="A115" s="26"/>
      <c r="B115" s="27"/>
      <c r="C115" s="27"/>
      <c r="D115" s="28"/>
      <c r="E115" s="29"/>
      <c r="F115" s="29"/>
      <c r="G115" s="29"/>
      <c r="H115" s="29"/>
      <c r="I115" s="29"/>
    </row>
    <row r="116" customFormat="false" ht="15" hidden="false" customHeight="false" outlineLevel="0" collapsed="false">
      <c r="A116" s="26"/>
      <c r="B116" s="27"/>
      <c r="C116" s="27"/>
      <c r="D116" s="28"/>
      <c r="E116" s="29"/>
      <c r="F116" s="29"/>
      <c r="G116" s="29"/>
      <c r="H116" s="29"/>
      <c r="I116" s="29"/>
    </row>
    <row r="117" customFormat="false" ht="15" hidden="false" customHeight="false" outlineLevel="0" collapsed="false">
      <c r="A117" s="26"/>
      <c r="B117" s="27"/>
      <c r="C117" s="27"/>
      <c r="D117" s="28"/>
      <c r="E117" s="29"/>
      <c r="F117" s="29"/>
      <c r="G117" s="29"/>
      <c r="H117" s="29"/>
      <c r="I117" s="29"/>
    </row>
    <row r="118" customFormat="false" ht="15" hidden="false" customHeight="false" outlineLevel="0" collapsed="false">
      <c r="A118" s="26"/>
      <c r="B118" s="27"/>
      <c r="C118" s="27"/>
      <c r="D118" s="28"/>
      <c r="E118" s="29"/>
      <c r="F118" s="29"/>
      <c r="G118" s="29"/>
      <c r="H118" s="29"/>
      <c r="I118" s="29"/>
    </row>
    <row r="119" customFormat="false" ht="15" hidden="false" customHeight="false" outlineLevel="0" collapsed="false">
      <c r="A119" s="26"/>
      <c r="B119" s="27"/>
      <c r="C119" s="27"/>
      <c r="D119" s="28"/>
      <c r="E119" s="29"/>
      <c r="F119" s="29"/>
      <c r="G119" s="29"/>
      <c r="H119" s="29"/>
      <c r="I119" s="29"/>
    </row>
    <row r="120" customFormat="false" ht="15" hidden="false" customHeight="false" outlineLevel="0" collapsed="false">
      <c r="A120" s="26"/>
      <c r="B120" s="27"/>
      <c r="C120" s="27"/>
      <c r="D120" s="28"/>
      <c r="E120" s="29"/>
      <c r="F120" s="29"/>
      <c r="G120" s="29"/>
      <c r="H120" s="29"/>
      <c r="I120" s="29"/>
    </row>
    <row r="121" customFormat="false" ht="15" hidden="false" customHeight="false" outlineLevel="0" collapsed="false">
      <c r="A121" s="26"/>
      <c r="B121" s="27"/>
      <c r="C121" s="27"/>
      <c r="D121" s="28"/>
      <c r="E121" s="29"/>
      <c r="F121" s="29"/>
      <c r="G121" s="29"/>
      <c r="H121" s="29"/>
      <c r="I121" s="29"/>
    </row>
    <row r="122" customFormat="false" ht="15" hidden="false" customHeight="false" outlineLevel="0" collapsed="false">
      <c r="A122" s="26"/>
      <c r="B122" s="27"/>
      <c r="C122" s="27"/>
      <c r="D122" s="28"/>
      <c r="E122" s="29"/>
      <c r="F122" s="29"/>
      <c r="G122" s="29"/>
      <c r="H122" s="29"/>
      <c r="I122" s="29"/>
    </row>
    <row r="123" customFormat="false" ht="15" hidden="false" customHeight="false" outlineLevel="0" collapsed="false">
      <c r="A123" s="26"/>
      <c r="B123" s="27"/>
      <c r="C123" s="27"/>
      <c r="D123" s="28"/>
      <c r="E123" s="29"/>
      <c r="F123" s="29"/>
      <c r="G123" s="29"/>
      <c r="H123" s="29"/>
      <c r="I123" s="29"/>
    </row>
    <row r="124" customFormat="false" ht="15" hidden="false" customHeight="false" outlineLevel="0" collapsed="false">
      <c r="A124" s="26"/>
      <c r="B124" s="27"/>
      <c r="C124" s="27"/>
      <c r="D124" s="28"/>
      <c r="E124" s="29"/>
      <c r="F124" s="29"/>
      <c r="G124" s="29"/>
      <c r="H124" s="29"/>
      <c r="I124" s="29"/>
    </row>
    <row r="125" customFormat="false" ht="15" hidden="false" customHeight="false" outlineLevel="0" collapsed="false">
      <c r="A125" s="26"/>
      <c r="B125" s="27"/>
      <c r="C125" s="27"/>
      <c r="D125" s="28"/>
      <c r="E125" s="29"/>
      <c r="F125" s="29"/>
      <c r="G125" s="29"/>
      <c r="H125" s="29"/>
      <c r="I125" s="29"/>
    </row>
    <row r="126" customFormat="false" ht="15" hidden="false" customHeight="false" outlineLevel="0" collapsed="false">
      <c r="A126" s="26"/>
      <c r="B126" s="27"/>
      <c r="C126" s="27"/>
      <c r="D126" s="28"/>
      <c r="E126" s="29"/>
      <c r="F126" s="29"/>
      <c r="G126" s="29"/>
      <c r="H126" s="29"/>
      <c r="I126" s="29"/>
    </row>
    <row r="127" customFormat="false" ht="15" hidden="false" customHeight="false" outlineLevel="0" collapsed="false">
      <c r="A127" s="26"/>
      <c r="B127" s="27"/>
      <c r="C127" s="27"/>
      <c r="D127" s="28"/>
      <c r="E127" s="29"/>
      <c r="F127" s="29"/>
      <c r="G127" s="29"/>
      <c r="H127" s="29"/>
      <c r="I127" s="29"/>
    </row>
    <row r="128" customFormat="false" ht="15" hidden="false" customHeight="false" outlineLevel="0" collapsed="false">
      <c r="A128" s="26"/>
      <c r="B128" s="27"/>
      <c r="C128" s="27"/>
      <c r="D128" s="28"/>
      <c r="E128" s="29"/>
      <c r="F128" s="29"/>
      <c r="G128" s="29"/>
      <c r="H128" s="29"/>
      <c r="I128" s="29"/>
    </row>
    <row r="129" customFormat="false" ht="15" hidden="false" customHeight="false" outlineLevel="0" collapsed="false">
      <c r="A129" s="26"/>
      <c r="B129" s="27"/>
      <c r="C129" s="27"/>
      <c r="D129" s="28"/>
      <c r="E129" s="29"/>
      <c r="F129" s="29"/>
      <c r="G129" s="29"/>
      <c r="H129" s="29"/>
      <c r="I129" s="29"/>
    </row>
    <row r="130" customFormat="false" ht="15" hidden="false" customHeight="false" outlineLevel="0" collapsed="false">
      <c r="A130" s="26"/>
      <c r="B130" s="27"/>
      <c r="C130" s="27"/>
      <c r="D130" s="28"/>
      <c r="E130" s="29"/>
      <c r="F130" s="29"/>
      <c r="G130" s="29"/>
      <c r="H130" s="29"/>
      <c r="I130" s="29"/>
    </row>
    <row r="131" customFormat="false" ht="15" hidden="false" customHeight="false" outlineLevel="0" collapsed="false">
      <c r="A131" s="26"/>
      <c r="B131" s="27"/>
      <c r="C131" s="27"/>
      <c r="D131" s="28"/>
      <c r="E131" s="29"/>
      <c r="F131" s="29"/>
      <c r="G131" s="29"/>
      <c r="H131" s="29"/>
      <c r="I131" s="29"/>
    </row>
    <row r="132" customFormat="false" ht="15" hidden="false" customHeight="false" outlineLevel="0" collapsed="false">
      <c r="A132" s="26"/>
      <c r="B132" s="27"/>
      <c r="C132" s="27"/>
      <c r="D132" s="28"/>
      <c r="E132" s="29"/>
      <c r="F132" s="29"/>
      <c r="G132" s="29"/>
      <c r="H132" s="29"/>
      <c r="I132" s="29"/>
    </row>
    <row r="133" customFormat="false" ht="15" hidden="false" customHeight="false" outlineLevel="0" collapsed="false">
      <c r="A133" s="26"/>
      <c r="B133" s="27"/>
      <c r="C133" s="27"/>
      <c r="D133" s="28"/>
      <c r="E133" s="29"/>
      <c r="F133" s="29"/>
      <c r="G133" s="29"/>
      <c r="H133" s="29"/>
      <c r="I133" s="29"/>
    </row>
    <row r="134" customFormat="false" ht="15" hidden="false" customHeight="false" outlineLevel="0" collapsed="false">
      <c r="A134" s="26"/>
      <c r="B134" s="27"/>
      <c r="C134" s="27"/>
      <c r="D134" s="28"/>
      <c r="E134" s="29"/>
      <c r="F134" s="29"/>
      <c r="G134" s="29"/>
      <c r="H134" s="29"/>
      <c r="I134" s="29"/>
    </row>
    <row r="135" customFormat="false" ht="15" hidden="false" customHeight="false" outlineLevel="0" collapsed="false">
      <c r="A135" s="26"/>
      <c r="B135" s="27"/>
      <c r="C135" s="27"/>
      <c r="D135" s="28"/>
      <c r="E135" s="29"/>
      <c r="F135" s="29"/>
      <c r="G135" s="29"/>
      <c r="H135" s="29"/>
      <c r="I135" s="29"/>
    </row>
    <row r="136" customFormat="false" ht="15" hidden="false" customHeight="false" outlineLevel="0" collapsed="false">
      <c r="A136" s="26"/>
      <c r="B136" s="27"/>
      <c r="C136" s="27"/>
      <c r="D136" s="28"/>
      <c r="E136" s="29"/>
      <c r="F136" s="29"/>
      <c r="G136" s="29"/>
      <c r="H136" s="29"/>
      <c r="I136" s="29"/>
    </row>
    <row r="137" customFormat="false" ht="15" hidden="false" customHeight="false" outlineLevel="0" collapsed="false">
      <c r="A137" s="26"/>
      <c r="B137" s="27"/>
      <c r="C137" s="27"/>
      <c r="D137" s="28"/>
      <c r="E137" s="29"/>
      <c r="F137" s="29"/>
      <c r="G137" s="29"/>
      <c r="H137" s="29"/>
      <c r="I137" s="29"/>
    </row>
    <row r="138" customFormat="false" ht="15" hidden="false" customHeight="false" outlineLevel="0" collapsed="false">
      <c r="A138" s="26"/>
      <c r="B138" s="27"/>
      <c r="C138" s="27"/>
      <c r="D138" s="28"/>
      <c r="E138" s="29"/>
      <c r="F138" s="29"/>
      <c r="G138" s="29"/>
      <c r="H138" s="29"/>
      <c r="I138" s="29"/>
    </row>
    <row r="139" customFormat="false" ht="15" hidden="false" customHeight="false" outlineLevel="0" collapsed="false">
      <c r="A139" s="26"/>
      <c r="B139" s="27"/>
      <c r="C139" s="27"/>
      <c r="D139" s="28"/>
      <c r="E139" s="29"/>
      <c r="F139" s="29"/>
      <c r="G139" s="29"/>
      <c r="H139" s="29"/>
      <c r="I139" s="29"/>
    </row>
    <row r="140" customFormat="false" ht="15" hidden="false" customHeight="false" outlineLevel="0" collapsed="false">
      <c r="A140" s="26"/>
      <c r="B140" s="27"/>
      <c r="C140" s="27"/>
      <c r="D140" s="28"/>
      <c r="E140" s="29"/>
      <c r="F140" s="29"/>
      <c r="G140" s="29"/>
      <c r="H140" s="29"/>
      <c r="I140" s="29"/>
    </row>
    <row r="141" customFormat="false" ht="15" hidden="false" customHeight="false" outlineLevel="0" collapsed="false">
      <c r="A141" s="26"/>
      <c r="B141" s="27"/>
      <c r="C141" s="27"/>
      <c r="D141" s="28"/>
      <c r="E141" s="29"/>
      <c r="F141" s="29"/>
      <c r="G141" s="29"/>
      <c r="H141" s="29"/>
      <c r="I141" s="29"/>
    </row>
    <row r="142" customFormat="false" ht="15" hidden="false" customHeight="false" outlineLevel="0" collapsed="false">
      <c r="A142" s="26"/>
      <c r="B142" s="27"/>
      <c r="C142" s="27"/>
      <c r="D142" s="28"/>
      <c r="E142" s="29"/>
      <c r="F142" s="29"/>
      <c r="G142" s="29"/>
      <c r="H142" s="29"/>
      <c r="I142" s="29"/>
    </row>
    <row r="143" customFormat="false" ht="15" hidden="false" customHeight="false" outlineLevel="0" collapsed="false">
      <c r="A143" s="26"/>
      <c r="B143" s="27"/>
      <c r="C143" s="27"/>
      <c r="D143" s="28"/>
      <c r="E143" s="29"/>
      <c r="F143" s="29"/>
      <c r="G143" s="29"/>
      <c r="H143" s="29"/>
      <c r="I143" s="29"/>
    </row>
    <row r="144" customFormat="false" ht="15" hidden="false" customHeight="false" outlineLevel="0" collapsed="false">
      <c r="A144" s="26"/>
      <c r="B144" s="27"/>
      <c r="C144" s="27"/>
      <c r="D144" s="28"/>
      <c r="E144" s="29"/>
      <c r="F144" s="29"/>
      <c r="G144" s="29"/>
      <c r="H144" s="29"/>
      <c r="I144" s="29"/>
    </row>
    <row r="145" customFormat="false" ht="15" hidden="false" customHeight="false" outlineLevel="0" collapsed="false">
      <c r="A145" s="26"/>
      <c r="B145" s="27"/>
      <c r="C145" s="27"/>
      <c r="D145" s="28"/>
      <c r="E145" s="29"/>
      <c r="F145" s="29"/>
      <c r="G145" s="29"/>
      <c r="H145" s="29"/>
      <c r="I145" s="29"/>
    </row>
    <row r="146" customFormat="false" ht="15" hidden="false" customHeight="false" outlineLevel="0" collapsed="false">
      <c r="A146" s="26"/>
      <c r="B146" s="27"/>
      <c r="C146" s="27"/>
      <c r="D146" s="28"/>
      <c r="E146" s="29"/>
      <c r="F146" s="29"/>
      <c r="G146" s="29"/>
      <c r="H146" s="29"/>
      <c r="I146" s="29"/>
    </row>
    <row r="147" customFormat="false" ht="15" hidden="false" customHeight="false" outlineLevel="0" collapsed="false">
      <c r="A147" s="26"/>
      <c r="B147" s="27"/>
      <c r="C147" s="27"/>
      <c r="D147" s="28"/>
      <c r="E147" s="29"/>
      <c r="F147" s="29"/>
      <c r="G147" s="29"/>
      <c r="H147" s="29"/>
      <c r="I147" s="29"/>
    </row>
    <row r="148" customFormat="false" ht="15" hidden="false" customHeight="false" outlineLevel="0" collapsed="false">
      <c r="A148" s="26"/>
      <c r="B148" s="27"/>
      <c r="C148" s="27"/>
      <c r="D148" s="28"/>
      <c r="E148" s="29"/>
      <c r="F148" s="29"/>
      <c r="G148" s="29"/>
      <c r="H148" s="29"/>
      <c r="I148" s="29"/>
    </row>
    <row r="149" customFormat="false" ht="15" hidden="false" customHeight="false" outlineLevel="0" collapsed="false">
      <c r="A149" s="26"/>
      <c r="B149" s="27"/>
      <c r="C149" s="27"/>
      <c r="D149" s="28"/>
      <c r="E149" s="29"/>
      <c r="F149" s="29"/>
      <c r="G149" s="29"/>
      <c r="H149" s="29"/>
      <c r="I149" s="29"/>
    </row>
    <row r="150" customFormat="false" ht="15" hidden="false" customHeight="false" outlineLevel="0" collapsed="false">
      <c r="A150" s="26"/>
      <c r="B150" s="27"/>
      <c r="C150" s="27"/>
      <c r="D150" s="28"/>
      <c r="E150" s="29"/>
      <c r="F150" s="29"/>
      <c r="G150" s="29"/>
      <c r="H150" s="29"/>
      <c r="I150" s="29"/>
    </row>
    <row r="151" customFormat="false" ht="15" hidden="false" customHeight="false" outlineLevel="0" collapsed="false">
      <c r="A151" s="26"/>
      <c r="B151" s="27"/>
      <c r="C151" s="27"/>
      <c r="D151" s="28"/>
      <c r="E151" s="29"/>
      <c r="F151" s="29"/>
      <c r="G151" s="29"/>
      <c r="H151" s="29"/>
      <c r="I151" s="29"/>
    </row>
    <row r="152" customFormat="false" ht="15" hidden="false" customHeight="false" outlineLevel="0" collapsed="false">
      <c r="A152" s="26"/>
      <c r="B152" s="27"/>
      <c r="C152" s="27"/>
      <c r="D152" s="28"/>
      <c r="E152" s="29"/>
      <c r="F152" s="29"/>
      <c r="G152" s="29"/>
      <c r="H152" s="29"/>
      <c r="I152" s="29"/>
    </row>
    <row r="153" customFormat="false" ht="15" hidden="false" customHeight="false" outlineLevel="0" collapsed="false">
      <c r="A153" s="26"/>
      <c r="B153" s="27"/>
      <c r="C153" s="27"/>
      <c r="D153" s="28"/>
      <c r="E153" s="29"/>
      <c r="F153" s="29"/>
      <c r="G153" s="29"/>
      <c r="H153" s="29"/>
      <c r="I153" s="29"/>
    </row>
    <row r="154" customFormat="false" ht="15" hidden="false" customHeight="false" outlineLevel="0" collapsed="false">
      <c r="A154" s="26"/>
      <c r="B154" s="27"/>
      <c r="C154" s="27"/>
      <c r="D154" s="28"/>
      <c r="E154" s="29"/>
      <c r="F154" s="29"/>
      <c r="G154" s="29"/>
      <c r="H154" s="29"/>
      <c r="I154" s="29"/>
    </row>
    <row r="155" customFormat="false" ht="15" hidden="false" customHeight="false" outlineLevel="0" collapsed="false">
      <c r="A155" s="26"/>
      <c r="B155" s="27"/>
      <c r="C155" s="27"/>
      <c r="D155" s="28"/>
      <c r="E155" s="29"/>
      <c r="F155" s="29"/>
      <c r="G155" s="29"/>
      <c r="H155" s="29"/>
      <c r="I155" s="29"/>
    </row>
    <row r="156" customFormat="false" ht="15" hidden="false" customHeight="false" outlineLevel="0" collapsed="false">
      <c r="A156" s="26"/>
      <c r="B156" s="27"/>
      <c r="C156" s="27"/>
      <c r="D156" s="28"/>
      <c r="E156" s="29"/>
      <c r="F156" s="29"/>
      <c r="G156" s="29"/>
      <c r="H156" s="29"/>
      <c r="I156" s="29"/>
    </row>
    <row r="157" customFormat="false" ht="15" hidden="false" customHeight="false" outlineLevel="0" collapsed="false">
      <c r="A157" s="26"/>
      <c r="B157" s="27"/>
      <c r="C157" s="27"/>
      <c r="D157" s="28"/>
      <c r="E157" s="29"/>
      <c r="F157" s="29"/>
      <c r="G157" s="29"/>
      <c r="H157" s="29"/>
      <c r="I157" s="29"/>
    </row>
    <row r="158" customFormat="false" ht="15" hidden="false" customHeight="false" outlineLevel="0" collapsed="false">
      <c r="A158" s="26"/>
      <c r="B158" s="27"/>
      <c r="C158" s="27"/>
      <c r="D158" s="28"/>
      <c r="E158" s="29"/>
      <c r="F158" s="29"/>
      <c r="G158" s="29"/>
      <c r="H158" s="29"/>
      <c r="I158" s="29"/>
    </row>
    <row r="159" customFormat="false" ht="15" hidden="false" customHeight="false" outlineLevel="0" collapsed="false">
      <c r="A159" s="26"/>
      <c r="B159" s="27"/>
      <c r="C159" s="27"/>
      <c r="D159" s="28"/>
      <c r="E159" s="29"/>
      <c r="F159" s="29"/>
      <c r="G159" s="29"/>
      <c r="H159" s="29"/>
      <c r="I159" s="29"/>
    </row>
    <row r="160" customFormat="false" ht="15" hidden="false" customHeight="false" outlineLevel="0" collapsed="false">
      <c r="A160" s="26"/>
      <c r="B160" s="27"/>
      <c r="C160" s="27"/>
      <c r="D160" s="28"/>
      <c r="E160" s="29"/>
      <c r="F160" s="29"/>
      <c r="G160" s="29"/>
      <c r="H160" s="29"/>
      <c r="I160" s="29"/>
    </row>
    <row r="161" customFormat="false" ht="15" hidden="false" customHeight="false" outlineLevel="0" collapsed="false">
      <c r="A161" s="26"/>
      <c r="B161" s="27"/>
      <c r="C161" s="27"/>
      <c r="D161" s="28"/>
      <c r="E161" s="29"/>
      <c r="F161" s="29"/>
      <c r="G161" s="29"/>
      <c r="H161" s="29"/>
      <c r="I161" s="29"/>
    </row>
    <row r="162" customFormat="false" ht="15" hidden="false" customHeight="false" outlineLevel="0" collapsed="false">
      <c r="A162" s="26"/>
      <c r="B162" s="27"/>
      <c r="C162" s="27"/>
      <c r="D162" s="28"/>
      <c r="E162" s="29"/>
      <c r="F162" s="29"/>
      <c r="G162" s="29"/>
      <c r="H162" s="29"/>
      <c r="I162" s="29"/>
    </row>
    <row r="163" customFormat="false" ht="15" hidden="false" customHeight="false" outlineLevel="0" collapsed="false">
      <c r="A163" s="26"/>
      <c r="B163" s="27"/>
      <c r="C163" s="27"/>
      <c r="D163" s="28"/>
      <c r="E163" s="29"/>
      <c r="F163" s="29"/>
      <c r="G163" s="29"/>
      <c r="H163" s="29"/>
      <c r="I163" s="29"/>
    </row>
    <row r="164" customFormat="false" ht="15" hidden="false" customHeight="false" outlineLevel="0" collapsed="false">
      <c r="A164" s="26"/>
      <c r="B164" s="27"/>
      <c r="C164" s="27"/>
      <c r="D164" s="28"/>
      <c r="E164" s="29"/>
      <c r="F164" s="29"/>
      <c r="G164" s="29"/>
      <c r="H164" s="29"/>
      <c r="I164" s="29"/>
    </row>
    <row r="165" customFormat="false" ht="15" hidden="false" customHeight="false" outlineLevel="0" collapsed="false">
      <c r="A165" s="26"/>
      <c r="B165" s="27"/>
      <c r="C165" s="27"/>
      <c r="D165" s="28"/>
      <c r="E165" s="29"/>
      <c r="F165" s="29"/>
      <c r="G165" s="29"/>
      <c r="H165" s="29"/>
      <c r="I165" s="29"/>
    </row>
    <row r="166" customFormat="false" ht="15" hidden="false" customHeight="false" outlineLevel="0" collapsed="false">
      <c r="A166" s="26"/>
      <c r="B166" s="27"/>
      <c r="C166" s="27"/>
      <c r="D166" s="28"/>
      <c r="E166" s="29"/>
      <c r="F166" s="29"/>
      <c r="G166" s="29"/>
      <c r="H166" s="29"/>
      <c r="I166" s="29"/>
    </row>
    <row r="167" customFormat="false" ht="15" hidden="false" customHeight="false" outlineLevel="0" collapsed="false">
      <c r="A167" s="26"/>
      <c r="B167" s="27"/>
      <c r="C167" s="27"/>
      <c r="D167" s="28"/>
      <c r="E167" s="29"/>
      <c r="F167" s="29"/>
      <c r="G167" s="29"/>
      <c r="H167" s="29"/>
      <c r="I167" s="29"/>
    </row>
    <row r="168" customFormat="false" ht="15" hidden="false" customHeight="false" outlineLevel="0" collapsed="false">
      <c r="A168" s="26"/>
      <c r="B168" s="27"/>
      <c r="C168" s="27"/>
      <c r="D168" s="28"/>
      <c r="E168" s="29"/>
      <c r="F168" s="29"/>
      <c r="G168" s="29"/>
      <c r="H168" s="29"/>
      <c r="I168" s="29"/>
    </row>
    <row r="169" customFormat="false" ht="15" hidden="false" customHeight="false" outlineLevel="0" collapsed="false">
      <c r="A169" s="26"/>
      <c r="B169" s="27"/>
      <c r="C169" s="27"/>
      <c r="D169" s="28"/>
      <c r="E169" s="29"/>
      <c r="F169" s="29"/>
      <c r="G169" s="29"/>
      <c r="H169" s="29"/>
      <c r="I169" s="29"/>
    </row>
    <row r="170" customFormat="false" ht="15" hidden="false" customHeight="false" outlineLevel="0" collapsed="false">
      <c r="A170" s="26"/>
      <c r="B170" s="27"/>
      <c r="C170" s="27"/>
      <c r="D170" s="28"/>
      <c r="E170" s="29"/>
      <c r="F170" s="29"/>
      <c r="G170" s="29"/>
      <c r="H170" s="29"/>
      <c r="I170" s="29"/>
    </row>
    <row r="171" customFormat="false" ht="15" hidden="false" customHeight="false" outlineLevel="0" collapsed="false">
      <c r="A171" s="26"/>
      <c r="B171" s="27"/>
      <c r="C171" s="27"/>
      <c r="D171" s="28"/>
      <c r="E171" s="29"/>
      <c r="F171" s="29"/>
      <c r="G171" s="29"/>
      <c r="H171" s="29"/>
      <c r="I171" s="29"/>
    </row>
    <row r="172" customFormat="false" ht="15" hidden="false" customHeight="false" outlineLevel="0" collapsed="false">
      <c r="A172" s="26"/>
      <c r="B172" s="27"/>
      <c r="C172" s="27"/>
      <c r="D172" s="28"/>
      <c r="E172" s="29"/>
      <c r="F172" s="29"/>
      <c r="G172" s="29"/>
      <c r="H172" s="29"/>
      <c r="I172" s="29"/>
    </row>
    <row r="173" customFormat="false" ht="15" hidden="false" customHeight="false" outlineLevel="0" collapsed="false">
      <c r="A173" s="26"/>
      <c r="B173" s="27"/>
      <c r="C173" s="27"/>
      <c r="D173" s="28"/>
      <c r="E173" s="29"/>
      <c r="F173" s="29"/>
      <c r="G173" s="29"/>
      <c r="H173" s="29"/>
      <c r="I173" s="29"/>
    </row>
    <row r="174" customFormat="false" ht="15" hidden="false" customHeight="false" outlineLevel="0" collapsed="false">
      <c r="A174" s="26"/>
      <c r="B174" s="27"/>
      <c r="C174" s="27"/>
      <c r="D174" s="28"/>
      <c r="E174" s="29"/>
      <c r="F174" s="29"/>
      <c r="G174" s="29"/>
      <c r="H174" s="29"/>
      <c r="I174" s="29"/>
    </row>
    <row r="175" customFormat="false" ht="15" hidden="false" customHeight="false" outlineLevel="0" collapsed="false">
      <c r="A175" s="26"/>
      <c r="B175" s="27"/>
      <c r="C175" s="27"/>
      <c r="D175" s="28"/>
      <c r="E175" s="29"/>
      <c r="F175" s="29"/>
      <c r="G175" s="29"/>
      <c r="H175" s="29"/>
      <c r="I175" s="29"/>
    </row>
    <row r="176" customFormat="false" ht="15" hidden="false" customHeight="false" outlineLevel="0" collapsed="false">
      <c r="A176" s="26"/>
      <c r="B176" s="27"/>
      <c r="C176" s="27"/>
      <c r="D176" s="28"/>
      <c r="E176" s="29"/>
      <c r="F176" s="29"/>
      <c r="G176" s="29"/>
      <c r="H176" s="29"/>
      <c r="I176" s="29"/>
    </row>
    <row r="177" customFormat="false" ht="15" hidden="false" customHeight="false" outlineLevel="0" collapsed="false">
      <c r="A177" s="26"/>
      <c r="B177" s="27"/>
      <c r="C177" s="27"/>
      <c r="D177" s="28"/>
      <c r="E177" s="29"/>
      <c r="F177" s="29"/>
      <c r="G177" s="29"/>
      <c r="H177" s="29"/>
      <c r="I177" s="29"/>
    </row>
    <row r="178" customFormat="false" ht="15" hidden="false" customHeight="false" outlineLevel="0" collapsed="false">
      <c r="A178" s="26"/>
      <c r="B178" s="27"/>
      <c r="C178" s="27"/>
      <c r="D178" s="28"/>
      <c r="E178" s="29"/>
      <c r="F178" s="29"/>
      <c r="G178" s="29"/>
      <c r="H178" s="29"/>
      <c r="I178" s="29"/>
    </row>
    <row r="179" customFormat="false" ht="15" hidden="false" customHeight="false" outlineLevel="0" collapsed="false">
      <c r="A179" s="26"/>
      <c r="B179" s="27"/>
      <c r="C179" s="27"/>
      <c r="D179" s="28"/>
      <c r="E179" s="29"/>
      <c r="F179" s="29"/>
      <c r="G179" s="29"/>
      <c r="H179" s="29"/>
      <c r="I179" s="29"/>
    </row>
    <row r="180" customFormat="false" ht="15" hidden="false" customHeight="false" outlineLevel="0" collapsed="false">
      <c r="A180" s="26"/>
      <c r="B180" s="27"/>
      <c r="C180" s="27"/>
      <c r="D180" s="28"/>
      <c r="E180" s="29"/>
      <c r="F180" s="29"/>
      <c r="G180" s="29"/>
      <c r="H180" s="29"/>
      <c r="I180" s="29"/>
    </row>
    <row r="181" customFormat="false" ht="15" hidden="false" customHeight="false" outlineLevel="0" collapsed="false">
      <c r="A181" s="26"/>
      <c r="B181" s="27"/>
      <c r="C181" s="27"/>
      <c r="D181" s="28"/>
      <c r="E181" s="29"/>
      <c r="F181" s="29"/>
      <c r="G181" s="29"/>
      <c r="H181" s="29"/>
      <c r="I181" s="29"/>
    </row>
    <row r="182" customFormat="false" ht="15" hidden="false" customHeight="false" outlineLevel="0" collapsed="false">
      <c r="A182" s="26"/>
      <c r="B182" s="27"/>
      <c r="C182" s="27"/>
      <c r="D182" s="28"/>
      <c r="E182" s="29"/>
      <c r="F182" s="29"/>
      <c r="G182" s="29"/>
      <c r="H182" s="29"/>
      <c r="I182" s="29"/>
    </row>
    <row r="183" customFormat="false" ht="15" hidden="false" customHeight="false" outlineLevel="0" collapsed="false">
      <c r="A183" s="26"/>
      <c r="B183" s="27"/>
      <c r="C183" s="27"/>
      <c r="D183" s="28"/>
      <c r="E183" s="29"/>
      <c r="F183" s="29"/>
      <c r="G183" s="29"/>
      <c r="H183" s="29"/>
      <c r="I183" s="29"/>
    </row>
    <row r="184" customFormat="false" ht="15" hidden="false" customHeight="false" outlineLevel="0" collapsed="false">
      <c r="A184" s="26"/>
      <c r="B184" s="27"/>
      <c r="C184" s="27"/>
      <c r="D184" s="28"/>
      <c r="E184" s="29"/>
      <c r="F184" s="29"/>
      <c r="G184" s="29"/>
      <c r="H184" s="29"/>
      <c r="I184" s="29"/>
    </row>
    <row r="185" customFormat="false" ht="15" hidden="false" customHeight="false" outlineLevel="0" collapsed="false">
      <c r="A185" s="26"/>
      <c r="B185" s="27"/>
      <c r="C185" s="27"/>
      <c r="D185" s="28"/>
      <c r="E185" s="29"/>
      <c r="F185" s="29"/>
      <c r="G185" s="29"/>
      <c r="H185" s="29"/>
      <c r="I185" s="29"/>
    </row>
    <row r="186" customFormat="false" ht="15" hidden="false" customHeight="false" outlineLevel="0" collapsed="false">
      <c r="A186" s="26"/>
      <c r="B186" s="27"/>
      <c r="C186" s="27"/>
      <c r="D186" s="28"/>
      <c r="E186" s="29"/>
      <c r="F186" s="29"/>
      <c r="G186" s="29"/>
      <c r="H186" s="29"/>
      <c r="I186" s="29"/>
    </row>
    <row r="187" customFormat="false" ht="15" hidden="false" customHeight="false" outlineLevel="0" collapsed="false">
      <c r="A187" s="26"/>
      <c r="B187" s="27"/>
      <c r="C187" s="27"/>
      <c r="D187" s="28"/>
      <c r="E187" s="29"/>
      <c r="F187" s="29"/>
      <c r="G187" s="29"/>
      <c r="H187" s="29"/>
      <c r="I187" s="29"/>
    </row>
    <row r="188" customFormat="false" ht="15" hidden="false" customHeight="false" outlineLevel="0" collapsed="false">
      <c r="A188" s="26"/>
      <c r="B188" s="27"/>
      <c r="C188" s="27"/>
      <c r="D188" s="28"/>
      <c r="E188" s="29"/>
      <c r="F188" s="29"/>
      <c r="G188" s="29"/>
      <c r="H188" s="29"/>
      <c r="I188" s="29"/>
    </row>
    <row r="189" customFormat="false" ht="15" hidden="false" customHeight="false" outlineLevel="0" collapsed="false">
      <c r="A189" s="26"/>
      <c r="B189" s="27"/>
      <c r="C189" s="27"/>
      <c r="D189" s="28"/>
      <c r="E189" s="29"/>
      <c r="F189" s="29"/>
      <c r="G189" s="29"/>
      <c r="H189" s="29"/>
      <c r="I189" s="29"/>
    </row>
    <row r="190" customFormat="false" ht="15" hidden="false" customHeight="false" outlineLevel="0" collapsed="false">
      <c r="A190" s="26"/>
      <c r="B190" s="27"/>
      <c r="C190" s="27"/>
      <c r="D190" s="28"/>
      <c r="E190" s="29"/>
      <c r="F190" s="29"/>
      <c r="G190" s="29"/>
      <c r="H190" s="29"/>
      <c r="I190" s="29"/>
    </row>
    <row r="191" customFormat="false" ht="15" hidden="false" customHeight="false" outlineLevel="0" collapsed="false">
      <c r="A191" s="26"/>
      <c r="B191" s="27"/>
      <c r="C191" s="27"/>
      <c r="D191" s="28"/>
      <c r="E191" s="29"/>
      <c r="F191" s="29"/>
      <c r="G191" s="29"/>
      <c r="H191" s="29"/>
      <c r="I191" s="29"/>
    </row>
    <row r="192" customFormat="false" ht="15" hidden="false" customHeight="false" outlineLevel="0" collapsed="false">
      <c r="A192" s="26"/>
      <c r="B192" s="27"/>
      <c r="C192" s="27"/>
      <c r="D192" s="28"/>
      <c r="E192" s="29"/>
      <c r="F192" s="29"/>
      <c r="G192" s="29"/>
      <c r="H192" s="29"/>
      <c r="I192" s="29"/>
    </row>
    <row r="193" customFormat="false" ht="15" hidden="false" customHeight="false" outlineLevel="0" collapsed="false">
      <c r="A193" s="26"/>
      <c r="B193" s="27"/>
      <c r="C193" s="27"/>
      <c r="D193" s="28"/>
      <c r="E193" s="29"/>
      <c r="F193" s="29"/>
      <c r="G193" s="29"/>
      <c r="H193" s="29"/>
      <c r="I193" s="29"/>
    </row>
    <row r="194" customFormat="false" ht="15" hidden="false" customHeight="false" outlineLevel="0" collapsed="false">
      <c r="A194" s="26"/>
      <c r="B194" s="27"/>
      <c r="C194" s="27"/>
      <c r="D194" s="28"/>
      <c r="E194" s="29"/>
      <c r="F194" s="29"/>
      <c r="G194" s="29"/>
      <c r="H194" s="29"/>
      <c r="I194" s="29"/>
    </row>
    <row r="195" customFormat="false" ht="15" hidden="false" customHeight="false" outlineLevel="0" collapsed="false">
      <c r="A195" s="26"/>
      <c r="B195" s="27"/>
      <c r="C195" s="27"/>
      <c r="D195" s="28"/>
      <c r="E195" s="29"/>
      <c r="F195" s="29"/>
      <c r="G195" s="29"/>
      <c r="H195" s="29"/>
      <c r="I195" s="29"/>
    </row>
    <row r="196" customFormat="false" ht="15" hidden="false" customHeight="false" outlineLevel="0" collapsed="false">
      <c r="A196" s="26"/>
      <c r="B196" s="27"/>
      <c r="C196" s="27"/>
      <c r="D196" s="28"/>
      <c r="E196" s="29"/>
      <c r="F196" s="29"/>
      <c r="G196" s="29"/>
      <c r="H196" s="29"/>
      <c r="I196" s="29"/>
    </row>
    <row r="197" customFormat="false" ht="15" hidden="false" customHeight="false" outlineLevel="0" collapsed="false">
      <c r="A197" s="26"/>
      <c r="B197" s="27"/>
      <c r="C197" s="27"/>
      <c r="D197" s="28"/>
      <c r="E197" s="29"/>
      <c r="F197" s="29"/>
      <c r="G197" s="29"/>
      <c r="H197" s="29"/>
      <c r="I197" s="29"/>
    </row>
    <row r="198" customFormat="false" ht="15" hidden="false" customHeight="false" outlineLevel="0" collapsed="false">
      <c r="A198" s="26"/>
      <c r="B198" s="27"/>
      <c r="C198" s="27"/>
      <c r="D198" s="28"/>
      <c r="E198" s="29"/>
      <c r="F198" s="29"/>
      <c r="G198" s="29"/>
      <c r="H198" s="29"/>
      <c r="I198" s="29"/>
    </row>
    <row r="199" customFormat="false" ht="15" hidden="false" customHeight="false" outlineLevel="0" collapsed="false">
      <c r="A199" s="26"/>
      <c r="B199" s="27"/>
      <c r="C199" s="27"/>
      <c r="D199" s="28"/>
      <c r="E199" s="29"/>
      <c r="F199" s="29"/>
      <c r="G199" s="29"/>
      <c r="H199" s="29"/>
      <c r="I199" s="29"/>
    </row>
    <row r="200" customFormat="false" ht="15" hidden="false" customHeight="false" outlineLevel="0" collapsed="false">
      <c r="A200" s="26"/>
      <c r="B200" s="27"/>
      <c r="C200" s="27"/>
      <c r="D200" s="28"/>
      <c r="E200" s="29"/>
      <c r="F200" s="29"/>
      <c r="G200" s="29"/>
      <c r="H200" s="29"/>
      <c r="I200" s="29"/>
    </row>
    <row r="201" customFormat="false" ht="15" hidden="false" customHeight="false" outlineLevel="0" collapsed="false">
      <c r="A201" s="26"/>
      <c r="B201" s="27"/>
      <c r="C201" s="27"/>
      <c r="D201" s="28"/>
      <c r="E201" s="29"/>
      <c r="F201" s="29"/>
      <c r="G201" s="29"/>
      <c r="H201" s="29"/>
      <c r="I201" s="29"/>
    </row>
    <row r="202" customFormat="false" ht="15" hidden="false" customHeight="false" outlineLevel="0" collapsed="false">
      <c r="A202" s="26"/>
      <c r="B202" s="27"/>
      <c r="C202" s="27"/>
      <c r="D202" s="28"/>
      <c r="E202" s="29"/>
      <c r="F202" s="29"/>
      <c r="G202" s="29"/>
      <c r="H202" s="29"/>
      <c r="I202" s="29"/>
    </row>
    <row r="203" customFormat="false" ht="15" hidden="false" customHeight="false" outlineLevel="0" collapsed="false">
      <c r="A203" s="26"/>
      <c r="B203" s="27"/>
      <c r="C203" s="27"/>
      <c r="D203" s="28"/>
      <c r="E203" s="29"/>
      <c r="F203" s="29"/>
      <c r="G203" s="29"/>
      <c r="H203" s="29"/>
      <c r="I203" s="29"/>
    </row>
    <row r="204" customFormat="false" ht="15" hidden="false" customHeight="false" outlineLevel="0" collapsed="false">
      <c r="A204" s="26"/>
      <c r="B204" s="27"/>
      <c r="C204" s="27"/>
      <c r="D204" s="28"/>
      <c r="E204" s="29"/>
      <c r="F204" s="29"/>
      <c r="G204" s="29"/>
      <c r="H204" s="29"/>
      <c r="I204" s="29"/>
    </row>
    <row r="205" customFormat="false" ht="15" hidden="false" customHeight="false" outlineLevel="0" collapsed="false">
      <c r="A205" s="26"/>
      <c r="B205" s="27"/>
      <c r="C205" s="27"/>
      <c r="D205" s="28"/>
      <c r="E205" s="29"/>
      <c r="F205" s="29"/>
      <c r="G205" s="29"/>
      <c r="H205" s="29"/>
      <c r="I205" s="29"/>
    </row>
    <row r="206" customFormat="false" ht="15" hidden="false" customHeight="false" outlineLevel="0" collapsed="false">
      <c r="A206" s="26"/>
      <c r="B206" s="27"/>
      <c r="C206" s="27"/>
      <c r="D206" s="28"/>
      <c r="E206" s="29"/>
      <c r="F206" s="29"/>
      <c r="G206" s="29"/>
      <c r="H206" s="29"/>
      <c r="I206" s="29"/>
    </row>
    <row r="207" customFormat="false" ht="15" hidden="false" customHeight="false" outlineLevel="0" collapsed="false">
      <c r="A207" s="26"/>
      <c r="B207" s="27"/>
      <c r="C207" s="27"/>
      <c r="D207" s="28"/>
      <c r="E207" s="29"/>
      <c r="F207" s="29"/>
      <c r="G207" s="29"/>
      <c r="H207" s="29"/>
      <c r="I207" s="29"/>
    </row>
    <row r="208" customFormat="false" ht="15" hidden="false" customHeight="false" outlineLevel="0" collapsed="false">
      <c r="A208" s="26"/>
      <c r="B208" s="27"/>
      <c r="C208" s="27"/>
      <c r="D208" s="28"/>
      <c r="E208" s="29"/>
      <c r="F208" s="29"/>
      <c r="G208" s="29"/>
      <c r="H208" s="29"/>
      <c r="I208" s="29"/>
    </row>
    <row r="209" customFormat="false" ht="15" hidden="false" customHeight="false" outlineLevel="0" collapsed="false">
      <c r="A209" s="26"/>
      <c r="B209" s="27"/>
      <c r="C209" s="27"/>
      <c r="D209" s="28"/>
      <c r="E209" s="29"/>
      <c r="F209" s="29"/>
      <c r="G209" s="29"/>
      <c r="H209" s="29"/>
      <c r="I209" s="29"/>
    </row>
    <row r="210" customFormat="false" ht="15" hidden="false" customHeight="false" outlineLevel="0" collapsed="false">
      <c r="A210" s="26"/>
      <c r="B210" s="27"/>
      <c r="C210" s="27"/>
      <c r="D210" s="28"/>
      <c r="E210" s="29"/>
      <c r="F210" s="29"/>
      <c r="G210" s="29"/>
      <c r="H210" s="29"/>
      <c r="I210" s="29"/>
    </row>
    <row r="211" customFormat="false" ht="15" hidden="false" customHeight="false" outlineLevel="0" collapsed="false">
      <c r="A211" s="26"/>
      <c r="B211" s="27"/>
      <c r="C211" s="27"/>
      <c r="D211" s="28"/>
      <c r="E211" s="29"/>
      <c r="F211" s="29"/>
      <c r="G211" s="29"/>
      <c r="H211" s="29"/>
      <c r="I211" s="29"/>
    </row>
    <row r="212" customFormat="false" ht="15" hidden="false" customHeight="false" outlineLevel="0" collapsed="false">
      <c r="A212" s="26"/>
      <c r="B212" s="27"/>
      <c r="C212" s="27"/>
      <c r="D212" s="28"/>
      <c r="E212" s="29"/>
      <c r="F212" s="29"/>
      <c r="G212" s="29"/>
      <c r="H212" s="29"/>
      <c r="I212" s="29"/>
    </row>
    <row r="213" customFormat="false" ht="15" hidden="false" customHeight="false" outlineLevel="0" collapsed="false">
      <c r="A213" s="26"/>
      <c r="B213" s="27"/>
      <c r="C213" s="27"/>
      <c r="D213" s="28"/>
      <c r="E213" s="29"/>
      <c r="F213" s="29"/>
      <c r="G213" s="29"/>
      <c r="H213" s="29"/>
      <c r="I213" s="29"/>
    </row>
    <row r="214" customFormat="false" ht="15" hidden="false" customHeight="false" outlineLevel="0" collapsed="false">
      <c r="A214" s="26"/>
      <c r="B214" s="27"/>
      <c r="C214" s="27"/>
      <c r="D214" s="28"/>
      <c r="E214" s="29"/>
      <c r="F214" s="29"/>
      <c r="G214" s="29"/>
      <c r="H214" s="29"/>
      <c r="I214" s="29"/>
    </row>
    <row r="215" customFormat="false" ht="15" hidden="false" customHeight="false" outlineLevel="0" collapsed="false">
      <c r="A215" s="26"/>
      <c r="B215" s="27"/>
      <c r="C215" s="27"/>
      <c r="D215" s="28"/>
      <c r="E215" s="29"/>
      <c r="F215" s="29"/>
      <c r="G215" s="29"/>
      <c r="H215" s="29"/>
      <c r="I215" s="29"/>
    </row>
    <row r="216" customFormat="false" ht="15" hidden="false" customHeight="false" outlineLevel="0" collapsed="false">
      <c r="A216" s="26"/>
      <c r="B216" s="27"/>
      <c r="C216" s="27"/>
      <c r="D216" s="28"/>
      <c r="E216" s="29"/>
      <c r="F216" s="29"/>
      <c r="G216" s="29"/>
      <c r="H216" s="29"/>
      <c r="I216" s="29"/>
    </row>
    <row r="217" customFormat="false" ht="15" hidden="false" customHeight="false" outlineLevel="0" collapsed="false">
      <c r="A217" s="26"/>
      <c r="B217" s="27"/>
      <c r="C217" s="27"/>
      <c r="D217" s="28"/>
      <c r="E217" s="29"/>
      <c r="F217" s="29"/>
      <c r="G217" s="29"/>
      <c r="H217" s="29"/>
      <c r="I217" s="29"/>
    </row>
    <row r="218" customFormat="false" ht="15" hidden="false" customHeight="false" outlineLevel="0" collapsed="false">
      <c r="A218" s="26"/>
      <c r="B218" s="27"/>
      <c r="C218" s="27"/>
      <c r="D218" s="28"/>
      <c r="E218" s="29"/>
      <c r="F218" s="29"/>
      <c r="G218" s="29"/>
      <c r="H218" s="29"/>
      <c r="I218" s="29"/>
    </row>
    <row r="219" customFormat="false" ht="15" hidden="false" customHeight="false" outlineLevel="0" collapsed="false">
      <c r="A219" s="26"/>
      <c r="B219" s="27"/>
      <c r="C219" s="27"/>
      <c r="D219" s="28"/>
      <c r="E219" s="29"/>
      <c r="F219" s="29"/>
      <c r="G219" s="29"/>
      <c r="H219" s="29"/>
      <c r="I219" s="29"/>
    </row>
    <row r="220" customFormat="false" ht="15" hidden="false" customHeight="false" outlineLevel="0" collapsed="false">
      <c r="A220" s="26"/>
      <c r="B220" s="27"/>
      <c r="C220" s="27"/>
      <c r="D220" s="28"/>
      <c r="E220" s="29"/>
      <c r="F220" s="29"/>
      <c r="G220" s="29"/>
      <c r="H220" s="29"/>
      <c r="I220" s="29"/>
    </row>
    <row r="221" customFormat="false" ht="15" hidden="false" customHeight="false" outlineLevel="0" collapsed="false">
      <c r="A221" s="26"/>
      <c r="B221" s="27"/>
      <c r="C221" s="27"/>
      <c r="D221" s="28"/>
      <c r="E221" s="29"/>
      <c r="F221" s="29"/>
      <c r="G221" s="29"/>
      <c r="H221" s="29"/>
      <c r="I221" s="29"/>
    </row>
    <row r="222" customFormat="false" ht="15" hidden="false" customHeight="false" outlineLevel="0" collapsed="false">
      <c r="A222" s="26"/>
      <c r="B222" s="27"/>
      <c r="C222" s="27"/>
      <c r="D222" s="28"/>
      <c r="E222" s="29"/>
      <c r="F222" s="29"/>
      <c r="G222" s="29"/>
      <c r="H222" s="29"/>
      <c r="I222" s="29"/>
    </row>
    <row r="223" customFormat="false" ht="15" hidden="false" customHeight="false" outlineLevel="0" collapsed="false">
      <c r="A223" s="26"/>
      <c r="B223" s="27"/>
      <c r="C223" s="27"/>
      <c r="D223" s="28"/>
      <c r="E223" s="29"/>
      <c r="F223" s="29"/>
      <c r="G223" s="29"/>
      <c r="H223" s="29"/>
      <c r="I223" s="29"/>
    </row>
    <row r="224" customFormat="false" ht="15" hidden="false" customHeight="false" outlineLevel="0" collapsed="false">
      <c r="A224" s="26"/>
      <c r="B224" s="27"/>
      <c r="C224" s="27"/>
      <c r="D224" s="28"/>
      <c r="E224" s="29"/>
      <c r="F224" s="29"/>
      <c r="G224" s="29"/>
      <c r="H224" s="29"/>
      <c r="I224" s="29"/>
    </row>
    <row r="225" customFormat="false" ht="15" hidden="false" customHeight="false" outlineLevel="0" collapsed="false">
      <c r="A225" s="26"/>
      <c r="B225" s="27"/>
      <c r="C225" s="27"/>
      <c r="D225" s="28"/>
      <c r="E225" s="29"/>
      <c r="F225" s="29"/>
      <c r="G225" s="29"/>
      <c r="H225" s="29"/>
      <c r="I225" s="29"/>
    </row>
    <row r="226" customFormat="false" ht="15" hidden="false" customHeight="false" outlineLevel="0" collapsed="false">
      <c r="A226" s="26"/>
      <c r="B226" s="27"/>
      <c r="C226" s="27"/>
      <c r="D226" s="28"/>
      <c r="E226" s="29"/>
      <c r="F226" s="29"/>
      <c r="G226" s="29"/>
      <c r="H226" s="29"/>
      <c r="I226" s="29"/>
    </row>
    <row r="227" customFormat="false" ht="15" hidden="false" customHeight="false" outlineLevel="0" collapsed="false">
      <c r="A227" s="26"/>
      <c r="B227" s="27"/>
      <c r="C227" s="27"/>
      <c r="D227" s="28"/>
      <c r="E227" s="29"/>
      <c r="F227" s="29"/>
      <c r="G227" s="29"/>
      <c r="H227" s="29"/>
      <c r="I227" s="29"/>
    </row>
    <row r="228" customFormat="false" ht="15" hidden="false" customHeight="false" outlineLevel="0" collapsed="false">
      <c r="A228" s="26"/>
      <c r="B228" s="27"/>
      <c r="C228" s="27"/>
      <c r="D228" s="28"/>
      <c r="E228" s="29"/>
      <c r="F228" s="29"/>
      <c r="G228" s="29"/>
      <c r="H228" s="29"/>
      <c r="I228" s="29"/>
    </row>
    <row r="229" customFormat="false" ht="15" hidden="false" customHeight="false" outlineLevel="0" collapsed="false">
      <c r="A229" s="26"/>
      <c r="B229" s="27"/>
      <c r="C229" s="27"/>
      <c r="D229" s="28"/>
      <c r="E229" s="29"/>
      <c r="F229" s="29"/>
      <c r="G229" s="29"/>
      <c r="H229" s="29"/>
      <c r="I229" s="29"/>
    </row>
    <row r="230" customFormat="false" ht="15" hidden="false" customHeight="false" outlineLevel="0" collapsed="false">
      <c r="A230" s="26"/>
      <c r="B230" s="27"/>
      <c r="C230" s="27"/>
      <c r="D230" s="28"/>
      <c r="E230" s="29"/>
      <c r="F230" s="29"/>
      <c r="G230" s="29"/>
      <c r="H230" s="29"/>
      <c r="I230" s="29"/>
    </row>
    <row r="231" customFormat="false" ht="15" hidden="false" customHeight="false" outlineLevel="0" collapsed="false">
      <c r="A231" s="26"/>
      <c r="B231" s="27"/>
      <c r="C231" s="27"/>
      <c r="D231" s="28"/>
      <c r="E231" s="29"/>
      <c r="F231" s="29"/>
      <c r="G231" s="29"/>
      <c r="H231" s="29"/>
      <c r="I231" s="29"/>
    </row>
    <row r="232" customFormat="false" ht="15" hidden="false" customHeight="false" outlineLevel="0" collapsed="false">
      <c r="A232" s="26"/>
      <c r="B232" s="27"/>
      <c r="C232" s="27"/>
      <c r="D232" s="28"/>
      <c r="E232" s="29"/>
      <c r="F232" s="29"/>
      <c r="G232" s="29"/>
      <c r="H232" s="29"/>
      <c r="I232" s="29"/>
    </row>
    <row r="233" customFormat="false" ht="15" hidden="false" customHeight="false" outlineLevel="0" collapsed="false">
      <c r="A233" s="26"/>
      <c r="B233" s="27"/>
      <c r="C233" s="27"/>
      <c r="D233" s="28"/>
      <c r="E233" s="29"/>
      <c r="F233" s="29"/>
      <c r="G233" s="29"/>
      <c r="H233" s="29"/>
      <c r="I233" s="29"/>
    </row>
    <row r="234" customFormat="false" ht="15" hidden="false" customHeight="false" outlineLevel="0" collapsed="false">
      <c r="A234" s="26"/>
      <c r="B234" s="27"/>
      <c r="C234" s="27"/>
      <c r="D234" s="28"/>
      <c r="E234" s="29"/>
      <c r="F234" s="29"/>
      <c r="G234" s="29"/>
      <c r="H234" s="29"/>
      <c r="I234" s="29"/>
    </row>
    <row r="235" customFormat="false" ht="15" hidden="false" customHeight="false" outlineLevel="0" collapsed="false">
      <c r="A235" s="26"/>
      <c r="B235" s="27"/>
      <c r="C235" s="27"/>
      <c r="D235" s="28"/>
      <c r="E235" s="29"/>
      <c r="F235" s="29"/>
      <c r="G235" s="29"/>
      <c r="H235" s="29"/>
      <c r="I235" s="29"/>
    </row>
    <row r="236" customFormat="false" ht="15" hidden="false" customHeight="false" outlineLevel="0" collapsed="false">
      <c r="A236" s="26"/>
      <c r="B236" s="27"/>
      <c r="C236" s="27"/>
      <c r="D236" s="28"/>
      <c r="E236" s="29"/>
      <c r="F236" s="29"/>
      <c r="G236" s="29"/>
      <c r="H236" s="29"/>
      <c r="I236" s="29"/>
    </row>
    <row r="237" customFormat="false" ht="15" hidden="false" customHeight="false" outlineLevel="0" collapsed="false">
      <c r="A237" s="26"/>
      <c r="B237" s="27"/>
      <c r="C237" s="27"/>
      <c r="D237" s="28"/>
      <c r="E237" s="29"/>
      <c r="F237" s="29"/>
      <c r="G237" s="29"/>
      <c r="H237" s="29"/>
      <c r="I237" s="29"/>
    </row>
    <row r="238" customFormat="false" ht="15" hidden="false" customHeight="false" outlineLevel="0" collapsed="false">
      <c r="A238" s="26"/>
      <c r="B238" s="27"/>
      <c r="C238" s="27"/>
      <c r="D238" s="28"/>
      <c r="E238" s="29"/>
      <c r="F238" s="29"/>
      <c r="G238" s="29"/>
      <c r="H238" s="29"/>
      <c r="I238" s="29"/>
    </row>
    <row r="239" customFormat="false" ht="15" hidden="false" customHeight="false" outlineLevel="0" collapsed="false">
      <c r="A239" s="26"/>
      <c r="B239" s="27"/>
      <c r="C239" s="27"/>
      <c r="D239" s="28"/>
      <c r="E239" s="29"/>
      <c r="F239" s="29"/>
      <c r="G239" s="29"/>
      <c r="H239" s="29"/>
      <c r="I239" s="29"/>
    </row>
    <row r="240" customFormat="false" ht="15" hidden="false" customHeight="false" outlineLevel="0" collapsed="false">
      <c r="A240" s="26"/>
      <c r="B240" s="27"/>
      <c r="C240" s="27"/>
      <c r="D240" s="28"/>
      <c r="E240" s="29"/>
      <c r="F240" s="29"/>
      <c r="G240" s="29"/>
      <c r="H240" s="29"/>
      <c r="I240" s="29"/>
    </row>
    <row r="241" customFormat="false" ht="15" hidden="false" customHeight="false" outlineLevel="0" collapsed="false">
      <c r="A241" s="26"/>
      <c r="B241" s="27"/>
      <c r="C241" s="27"/>
      <c r="D241" s="28"/>
      <c r="E241" s="29"/>
      <c r="F241" s="29"/>
      <c r="G241" s="29"/>
      <c r="H241" s="29"/>
      <c r="I241" s="29"/>
    </row>
    <row r="242" customFormat="false" ht="15" hidden="false" customHeight="false" outlineLevel="0" collapsed="false">
      <c r="A242" s="26"/>
      <c r="B242" s="27"/>
      <c r="C242" s="27"/>
      <c r="D242" s="28"/>
      <c r="E242" s="29"/>
      <c r="F242" s="29"/>
      <c r="G242" s="29"/>
      <c r="H242" s="29"/>
      <c r="I242" s="29"/>
    </row>
    <row r="243" customFormat="false" ht="15" hidden="false" customHeight="false" outlineLevel="0" collapsed="false">
      <c r="A243" s="26"/>
      <c r="B243" s="27"/>
      <c r="C243" s="27"/>
      <c r="D243" s="28"/>
      <c r="E243" s="29"/>
      <c r="F243" s="29"/>
      <c r="G243" s="29"/>
      <c r="H243" s="29"/>
      <c r="I243" s="29"/>
    </row>
    <row r="244" customFormat="false" ht="15" hidden="false" customHeight="false" outlineLevel="0" collapsed="false">
      <c r="A244" s="26"/>
      <c r="B244" s="27"/>
      <c r="C244" s="27"/>
      <c r="D244" s="28"/>
      <c r="E244" s="29"/>
      <c r="F244" s="29"/>
      <c r="G244" s="29"/>
      <c r="H244" s="29"/>
      <c r="I244" s="29"/>
    </row>
    <row r="245" customFormat="false" ht="15" hidden="false" customHeight="false" outlineLevel="0" collapsed="false">
      <c r="A245" s="26"/>
      <c r="B245" s="27"/>
      <c r="C245" s="27"/>
      <c r="D245" s="28"/>
      <c r="E245" s="29"/>
      <c r="F245" s="29"/>
      <c r="G245" s="29"/>
      <c r="H245" s="29"/>
      <c r="I245" s="29"/>
    </row>
    <row r="246" customFormat="false" ht="15" hidden="false" customHeight="false" outlineLevel="0" collapsed="false">
      <c r="A246" s="26"/>
      <c r="B246" s="27"/>
      <c r="C246" s="27"/>
      <c r="D246" s="28"/>
      <c r="E246" s="29"/>
      <c r="F246" s="29"/>
      <c r="G246" s="29"/>
      <c r="H246" s="29"/>
      <c r="I246" s="29"/>
    </row>
    <row r="247" customFormat="false" ht="15" hidden="false" customHeight="false" outlineLevel="0" collapsed="false">
      <c r="A247" s="26"/>
      <c r="B247" s="27"/>
      <c r="C247" s="27"/>
      <c r="D247" s="28"/>
      <c r="E247" s="29"/>
      <c r="F247" s="29"/>
      <c r="G247" s="29"/>
      <c r="H247" s="29"/>
      <c r="I247" s="29"/>
    </row>
    <row r="248" customFormat="false" ht="15" hidden="false" customHeight="false" outlineLevel="0" collapsed="false">
      <c r="A248" s="26"/>
      <c r="B248" s="27"/>
      <c r="C248" s="27"/>
      <c r="D248" s="28"/>
      <c r="E248" s="29"/>
      <c r="F248" s="29"/>
      <c r="G248" s="29"/>
      <c r="H248" s="29"/>
      <c r="I248" s="29"/>
    </row>
    <row r="249" customFormat="false" ht="15" hidden="false" customHeight="false" outlineLevel="0" collapsed="false">
      <c r="A249" s="26"/>
      <c r="B249" s="27"/>
      <c r="C249" s="27"/>
      <c r="D249" s="28"/>
      <c r="E249" s="29"/>
      <c r="F249" s="29"/>
      <c r="G249" s="29"/>
      <c r="H249" s="29"/>
      <c r="I249" s="29"/>
    </row>
    <row r="250" customFormat="false" ht="15" hidden="false" customHeight="false" outlineLevel="0" collapsed="false">
      <c r="A250" s="26"/>
      <c r="B250" s="27"/>
      <c r="C250" s="27"/>
      <c r="D250" s="28"/>
      <c r="E250" s="29"/>
      <c r="F250" s="29"/>
      <c r="G250" s="29"/>
      <c r="H250" s="29"/>
      <c r="I250" s="29"/>
    </row>
    <row r="251" customFormat="false" ht="15" hidden="false" customHeight="false" outlineLevel="0" collapsed="false">
      <c r="A251" s="26"/>
      <c r="B251" s="27"/>
      <c r="C251" s="27"/>
      <c r="D251" s="28"/>
      <c r="E251" s="29"/>
      <c r="F251" s="29"/>
      <c r="G251" s="29"/>
      <c r="H251" s="29"/>
      <c r="I251" s="29"/>
    </row>
    <row r="252" customFormat="false" ht="15" hidden="false" customHeight="false" outlineLevel="0" collapsed="false">
      <c r="A252" s="26"/>
      <c r="B252" s="27"/>
      <c r="C252" s="27"/>
      <c r="D252" s="28"/>
      <c r="E252" s="29"/>
      <c r="F252" s="29"/>
      <c r="G252" s="29"/>
      <c r="H252" s="29"/>
      <c r="I252" s="29"/>
    </row>
    <row r="253" customFormat="false" ht="15" hidden="false" customHeight="false" outlineLevel="0" collapsed="false">
      <c r="A253" s="26"/>
      <c r="B253" s="27"/>
      <c r="C253" s="27"/>
      <c r="D253" s="28"/>
      <c r="E253" s="29"/>
      <c r="F253" s="29"/>
      <c r="G253" s="29"/>
      <c r="H253" s="29"/>
      <c r="I253" s="29"/>
    </row>
    <row r="254" customFormat="false" ht="15" hidden="false" customHeight="false" outlineLevel="0" collapsed="false">
      <c r="A254" s="26"/>
      <c r="B254" s="27"/>
      <c r="C254" s="27"/>
      <c r="D254" s="28"/>
      <c r="E254" s="29"/>
      <c r="F254" s="29"/>
      <c r="G254" s="29"/>
      <c r="H254" s="29"/>
      <c r="I254" s="29"/>
    </row>
    <row r="255" customFormat="false" ht="15" hidden="false" customHeight="false" outlineLevel="0" collapsed="false">
      <c r="A255" s="26"/>
      <c r="B255" s="27"/>
      <c r="C255" s="27"/>
      <c r="D255" s="28"/>
      <c r="E255" s="29"/>
      <c r="F255" s="29"/>
      <c r="G255" s="29"/>
      <c r="H255" s="29"/>
      <c r="I255" s="29"/>
    </row>
    <row r="256" customFormat="false" ht="15" hidden="false" customHeight="false" outlineLevel="0" collapsed="false">
      <c r="A256" s="26"/>
      <c r="B256" s="27"/>
      <c r="C256" s="27"/>
      <c r="D256" s="28"/>
      <c r="E256" s="29"/>
      <c r="F256" s="29"/>
      <c r="G256" s="29"/>
      <c r="H256" s="29"/>
      <c r="I256" s="29"/>
    </row>
    <row r="257" customFormat="false" ht="15" hidden="false" customHeight="false" outlineLevel="0" collapsed="false">
      <c r="A257" s="26"/>
      <c r="B257" s="27"/>
      <c r="C257" s="27"/>
      <c r="D257" s="28"/>
      <c r="E257" s="29"/>
      <c r="F257" s="29"/>
      <c r="G257" s="29"/>
      <c r="H257" s="29"/>
      <c r="I257" s="29"/>
    </row>
    <row r="258" customFormat="false" ht="15" hidden="false" customHeight="false" outlineLevel="0" collapsed="false">
      <c r="A258" s="26"/>
      <c r="B258" s="27"/>
      <c r="C258" s="27"/>
      <c r="D258" s="28"/>
      <c r="E258" s="29"/>
      <c r="F258" s="29"/>
      <c r="G258" s="29"/>
      <c r="H258" s="29"/>
      <c r="I258" s="29"/>
    </row>
    <row r="259" customFormat="false" ht="15" hidden="false" customHeight="false" outlineLevel="0" collapsed="false">
      <c r="A259" s="26"/>
      <c r="B259" s="27"/>
      <c r="C259" s="27"/>
      <c r="D259" s="28"/>
      <c r="E259" s="29"/>
      <c r="F259" s="29"/>
      <c r="G259" s="29"/>
      <c r="H259" s="29"/>
      <c r="I259" s="29"/>
    </row>
    <row r="260" customFormat="false" ht="15" hidden="false" customHeight="false" outlineLevel="0" collapsed="false">
      <c r="A260" s="26"/>
      <c r="B260" s="27"/>
      <c r="C260" s="27"/>
      <c r="D260" s="28"/>
      <c r="E260" s="29"/>
      <c r="F260" s="29"/>
      <c r="G260" s="29"/>
      <c r="H260" s="29"/>
      <c r="I260" s="29"/>
    </row>
    <row r="261" customFormat="false" ht="15" hidden="false" customHeight="false" outlineLevel="0" collapsed="false">
      <c r="A261" s="26"/>
      <c r="B261" s="27"/>
      <c r="C261" s="27"/>
      <c r="D261" s="28"/>
      <c r="E261" s="29"/>
      <c r="F261" s="29"/>
      <c r="G261" s="29"/>
      <c r="H261" s="29"/>
      <c r="I261" s="29"/>
    </row>
    <row r="262" customFormat="false" ht="15" hidden="false" customHeight="false" outlineLevel="0" collapsed="false">
      <c r="A262" s="26"/>
      <c r="B262" s="27"/>
      <c r="C262" s="27"/>
      <c r="D262" s="28"/>
      <c r="E262" s="29"/>
      <c r="F262" s="29"/>
      <c r="G262" s="29"/>
      <c r="H262" s="29"/>
      <c r="I262" s="29"/>
    </row>
    <row r="263" customFormat="false" ht="15" hidden="false" customHeight="false" outlineLevel="0" collapsed="false">
      <c r="A263" s="26"/>
      <c r="B263" s="27"/>
      <c r="C263" s="27"/>
      <c r="D263" s="28"/>
      <c r="E263" s="29"/>
      <c r="F263" s="29"/>
      <c r="G263" s="29"/>
      <c r="H263" s="29"/>
      <c r="I263" s="29"/>
    </row>
    <row r="264" customFormat="false" ht="15" hidden="false" customHeight="false" outlineLevel="0" collapsed="false">
      <c r="A264" s="26"/>
      <c r="B264" s="27"/>
      <c r="C264" s="27"/>
      <c r="D264" s="28"/>
      <c r="E264" s="29"/>
      <c r="F264" s="29"/>
      <c r="G264" s="29"/>
      <c r="H264" s="29"/>
      <c r="I264" s="29"/>
    </row>
    <row r="265" customFormat="false" ht="15" hidden="false" customHeight="false" outlineLevel="0" collapsed="false">
      <c r="A265" s="26"/>
      <c r="B265" s="27"/>
      <c r="C265" s="27"/>
      <c r="D265" s="28"/>
      <c r="E265" s="29"/>
      <c r="F265" s="29"/>
      <c r="G265" s="29"/>
      <c r="H265" s="29"/>
      <c r="I265" s="29"/>
    </row>
    <row r="266" customFormat="false" ht="15" hidden="false" customHeight="false" outlineLevel="0" collapsed="false">
      <c r="A266" s="26"/>
      <c r="B266" s="27"/>
      <c r="C266" s="27"/>
      <c r="D266" s="28"/>
      <c r="E266" s="29"/>
      <c r="F266" s="29"/>
      <c r="G266" s="29"/>
      <c r="H266" s="29"/>
      <c r="I266" s="29"/>
    </row>
    <row r="267" customFormat="false" ht="15" hidden="false" customHeight="false" outlineLevel="0" collapsed="false">
      <c r="A267" s="26"/>
      <c r="B267" s="27"/>
      <c r="C267" s="27"/>
      <c r="D267" s="28"/>
      <c r="E267" s="29"/>
      <c r="F267" s="29"/>
      <c r="G267" s="29"/>
      <c r="H267" s="29"/>
      <c r="I267" s="29"/>
    </row>
    <row r="268" customFormat="false" ht="15" hidden="false" customHeight="false" outlineLevel="0" collapsed="false">
      <c r="A268" s="26"/>
      <c r="B268" s="27"/>
      <c r="C268" s="27"/>
      <c r="D268" s="28"/>
      <c r="E268" s="29"/>
      <c r="F268" s="29"/>
      <c r="G268" s="29"/>
      <c r="H268" s="29"/>
      <c r="I268" s="29"/>
    </row>
    <row r="269" customFormat="false" ht="15" hidden="false" customHeight="false" outlineLevel="0" collapsed="false">
      <c r="A269" s="26"/>
      <c r="B269" s="27"/>
      <c r="C269" s="27"/>
      <c r="D269" s="28"/>
      <c r="E269" s="29"/>
      <c r="F269" s="29"/>
      <c r="G269" s="29"/>
      <c r="H269" s="29"/>
      <c r="I269" s="29"/>
    </row>
    <row r="270" customFormat="false" ht="15" hidden="false" customHeight="false" outlineLevel="0" collapsed="false">
      <c r="A270" s="26"/>
      <c r="B270" s="27"/>
      <c r="C270" s="27"/>
      <c r="D270" s="28"/>
      <c r="E270" s="29"/>
      <c r="F270" s="29"/>
      <c r="G270" s="29"/>
      <c r="H270" s="29"/>
      <c r="I270" s="29"/>
    </row>
    <row r="271" customFormat="false" ht="15" hidden="false" customHeight="false" outlineLevel="0" collapsed="false">
      <c r="A271" s="26"/>
      <c r="B271" s="27"/>
      <c r="C271" s="27"/>
      <c r="D271" s="28"/>
      <c r="E271" s="29"/>
      <c r="F271" s="29"/>
      <c r="G271" s="29"/>
      <c r="H271" s="29"/>
      <c r="I271" s="29"/>
    </row>
    <row r="272" customFormat="false" ht="15" hidden="false" customHeight="false" outlineLevel="0" collapsed="false">
      <c r="A272" s="26"/>
      <c r="B272" s="27"/>
      <c r="C272" s="27"/>
      <c r="D272" s="28"/>
      <c r="E272" s="29"/>
      <c r="F272" s="29"/>
      <c r="G272" s="29"/>
      <c r="H272" s="29"/>
      <c r="I272" s="29"/>
    </row>
    <row r="273" customFormat="false" ht="15" hidden="false" customHeight="false" outlineLevel="0" collapsed="false">
      <c r="A273" s="26"/>
      <c r="B273" s="27"/>
      <c r="C273" s="27"/>
      <c r="D273" s="28"/>
      <c r="E273" s="29"/>
      <c r="F273" s="29"/>
      <c r="G273" s="29"/>
      <c r="H273" s="29"/>
      <c r="I273" s="29"/>
    </row>
    <row r="274" customFormat="false" ht="15" hidden="false" customHeight="false" outlineLevel="0" collapsed="false">
      <c r="A274" s="26"/>
      <c r="B274" s="27"/>
      <c r="C274" s="27"/>
      <c r="D274" s="28"/>
      <c r="E274" s="29"/>
      <c r="F274" s="29"/>
      <c r="G274" s="29"/>
      <c r="H274" s="29"/>
      <c r="I274" s="29"/>
    </row>
    <row r="275" customFormat="false" ht="15" hidden="false" customHeight="false" outlineLevel="0" collapsed="false">
      <c r="A275" s="26"/>
      <c r="B275" s="27"/>
      <c r="C275" s="27"/>
      <c r="D275" s="28"/>
      <c r="E275" s="29"/>
      <c r="F275" s="29"/>
      <c r="G275" s="29"/>
      <c r="H275" s="29"/>
      <c r="I275" s="29"/>
    </row>
    <row r="276" customFormat="false" ht="15" hidden="false" customHeight="false" outlineLevel="0" collapsed="false">
      <c r="A276" s="26"/>
      <c r="B276" s="27"/>
      <c r="C276" s="27"/>
      <c r="D276" s="28"/>
      <c r="E276" s="29"/>
      <c r="F276" s="29"/>
      <c r="G276" s="29"/>
      <c r="H276" s="29"/>
      <c r="I276" s="29"/>
    </row>
    <row r="277" customFormat="false" ht="15" hidden="false" customHeight="false" outlineLevel="0" collapsed="false">
      <c r="A277" s="26"/>
      <c r="B277" s="27"/>
      <c r="C277" s="27"/>
      <c r="D277" s="28"/>
      <c r="E277" s="29"/>
      <c r="F277" s="29"/>
      <c r="G277" s="29"/>
      <c r="H277" s="29"/>
      <c r="I277" s="29"/>
    </row>
    <row r="278" customFormat="false" ht="15" hidden="false" customHeight="false" outlineLevel="0" collapsed="false">
      <c r="A278" s="26"/>
      <c r="B278" s="27"/>
      <c r="C278" s="27"/>
      <c r="D278" s="28"/>
      <c r="E278" s="29"/>
      <c r="F278" s="29"/>
      <c r="G278" s="29"/>
      <c r="H278" s="29"/>
      <c r="I278" s="29"/>
    </row>
    <row r="279" customFormat="false" ht="15" hidden="false" customHeight="false" outlineLevel="0" collapsed="false">
      <c r="A279" s="26"/>
      <c r="B279" s="27"/>
      <c r="C279" s="27"/>
      <c r="D279" s="28"/>
      <c r="E279" s="29"/>
      <c r="F279" s="29"/>
      <c r="G279" s="29"/>
      <c r="H279" s="29"/>
      <c r="I279" s="29"/>
    </row>
    <row r="280" customFormat="false" ht="15" hidden="false" customHeight="false" outlineLevel="0" collapsed="false">
      <c r="A280" s="26"/>
      <c r="B280" s="27"/>
      <c r="C280" s="27"/>
      <c r="D280" s="28"/>
      <c r="E280" s="29"/>
      <c r="F280" s="29"/>
      <c r="G280" s="29"/>
      <c r="H280" s="29"/>
      <c r="I280" s="29"/>
    </row>
    <row r="281" customFormat="false" ht="15" hidden="false" customHeight="false" outlineLevel="0" collapsed="false">
      <c r="A281" s="26"/>
      <c r="B281" s="27"/>
      <c r="C281" s="27"/>
      <c r="D281" s="28"/>
      <c r="E281" s="29"/>
      <c r="F281" s="29"/>
      <c r="G281" s="29"/>
      <c r="H281" s="29"/>
      <c r="I281" s="29"/>
    </row>
    <row r="282" customFormat="false" ht="15" hidden="false" customHeight="false" outlineLevel="0" collapsed="false">
      <c r="A282" s="26"/>
      <c r="B282" s="27"/>
      <c r="C282" s="27"/>
      <c r="D282" s="28"/>
      <c r="E282" s="29"/>
      <c r="F282" s="29"/>
      <c r="G282" s="29"/>
      <c r="H282" s="29"/>
      <c r="I282" s="29"/>
    </row>
    <row r="283" customFormat="false" ht="15" hidden="false" customHeight="false" outlineLevel="0" collapsed="false">
      <c r="A283" s="26"/>
      <c r="B283" s="27"/>
      <c r="C283" s="27"/>
      <c r="D283" s="28"/>
      <c r="E283" s="29"/>
      <c r="F283" s="29"/>
      <c r="G283" s="29"/>
      <c r="H283" s="29"/>
      <c r="I283" s="29"/>
    </row>
    <row r="284" customFormat="false" ht="15" hidden="false" customHeight="false" outlineLevel="0" collapsed="false">
      <c r="A284" s="26"/>
      <c r="B284" s="27"/>
      <c r="C284" s="27"/>
      <c r="D284" s="28"/>
      <c r="E284" s="29"/>
      <c r="F284" s="29"/>
      <c r="G284" s="29"/>
      <c r="H284" s="29"/>
      <c r="I284" s="29"/>
    </row>
    <row r="285" customFormat="false" ht="15" hidden="false" customHeight="false" outlineLevel="0" collapsed="false">
      <c r="A285" s="26"/>
      <c r="B285" s="27"/>
      <c r="C285" s="27"/>
      <c r="D285" s="28"/>
      <c r="E285" s="29"/>
      <c r="F285" s="29"/>
      <c r="G285" s="29"/>
      <c r="H285" s="29"/>
      <c r="I285" s="29"/>
    </row>
    <row r="286" customFormat="false" ht="15" hidden="false" customHeight="false" outlineLevel="0" collapsed="false">
      <c r="A286" s="26"/>
      <c r="B286" s="27"/>
      <c r="C286" s="27"/>
      <c r="D286" s="28"/>
      <c r="E286" s="29"/>
      <c r="F286" s="29"/>
      <c r="G286" s="29"/>
      <c r="H286" s="29"/>
      <c r="I286" s="29"/>
    </row>
    <row r="287" customFormat="false" ht="15" hidden="false" customHeight="false" outlineLevel="0" collapsed="false">
      <c r="A287" s="26"/>
      <c r="B287" s="27"/>
      <c r="C287" s="27"/>
      <c r="D287" s="28"/>
      <c r="E287" s="29"/>
      <c r="F287" s="29"/>
      <c r="G287" s="29"/>
      <c r="H287" s="29"/>
      <c r="I287" s="29"/>
    </row>
    <row r="288" customFormat="false" ht="15" hidden="false" customHeight="false" outlineLevel="0" collapsed="false">
      <c r="A288" s="26"/>
      <c r="B288" s="27"/>
      <c r="C288" s="27"/>
      <c r="D288" s="28"/>
      <c r="E288" s="29"/>
      <c r="F288" s="29"/>
      <c r="G288" s="29"/>
      <c r="H288" s="29"/>
      <c r="I288" s="29"/>
    </row>
    <row r="289" customFormat="false" ht="15" hidden="false" customHeight="false" outlineLevel="0" collapsed="false">
      <c r="A289" s="26"/>
      <c r="B289" s="27"/>
      <c r="C289" s="27"/>
      <c r="D289" s="28"/>
      <c r="E289" s="29"/>
      <c r="F289" s="29"/>
      <c r="G289" s="29"/>
      <c r="H289" s="29"/>
      <c r="I289" s="29"/>
    </row>
    <row r="290" customFormat="false" ht="15" hidden="false" customHeight="false" outlineLevel="0" collapsed="false">
      <c r="A290" s="26"/>
      <c r="B290" s="27"/>
      <c r="C290" s="27"/>
      <c r="D290" s="28"/>
      <c r="E290" s="29"/>
      <c r="F290" s="29"/>
      <c r="G290" s="29"/>
      <c r="H290" s="29"/>
      <c r="I290" s="29"/>
    </row>
    <row r="291" customFormat="false" ht="15" hidden="false" customHeight="false" outlineLevel="0" collapsed="false">
      <c r="A291" s="26"/>
      <c r="B291" s="27"/>
      <c r="C291" s="27"/>
      <c r="D291" s="28"/>
      <c r="E291" s="29"/>
      <c r="F291" s="29"/>
      <c r="G291" s="29"/>
      <c r="H291" s="29"/>
      <c r="I291" s="29"/>
    </row>
    <row r="292" customFormat="false" ht="15" hidden="false" customHeight="false" outlineLevel="0" collapsed="false">
      <c r="A292" s="26"/>
      <c r="B292" s="27"/>
      <c r="C292" s="27"/>
      <c r="D292" s="28"/>
      <c r="E292" s="29"/>
      <c r="F292" s="29"/>
      <c r="G292" s="29"/>
      <c r="H292" s="29"/>
      <c r="I292" s="29"/>
    </row>
    <row r="293" customFormat="false" ht="15" hidden="false" customHeight="false" outlineLevel="0" collapsed="false">
      <c r="A293" s="26"/>
      <c r="B293" s="27"/>
      <c r="C293" s="27"/>
      <c r="D293" s="28"/>
      <c r="E293" s="29"/>
      <c r="F293" s="29"/>
      <c r="G293" s="29"/>
      <c r="H293" s="29"/>
      <c r="I293" s="29"/>
    </row>
    <row r="294" customFormat="false" ht="15" hidden="false" customHeight="false" outlineLevel="0" collapsed="false">
      <c r="A294" s="26"/>
      <c r="B294" s="27"/>
      <c r="C294" s="27"/>
      <c r="D294" s="28"/>
      <c r="E294" s="29"/>
      <c r="F294" s="29"/>
      <c r="G294" s="29"/>
      <c r="H294" s="29"/>
      <c r="I294" s="29"/>
    </row>
    <row r="295" customFormat="false" ht="15" hidden="false" customHeight="false" outlineLevel="0" collapsed="false">
      <c r="A295" s="26"/>
      <c r="B295" s="27"/>
      <c r="C295" s="27"/>
      <c r="D295" s="28"/>
      <c r="E295" s="29"/>
      <c r="F295" s="29"/>
      <c r="G295" s="29"/>
      <c r="H295" s="29"/>
      <c r="I295" s="29"/>
    </row>
    <row r="296" customFormat="false" ht="15" hidden="false" customHeight="false" outlineLevel="0" collapsed="false">
      <c r="A296" s="26"/>
      <c r="B296" s="27"/>
      <c r="C296" s="27"/>
      <c r="D296" s="28"/>
      <c r="E296" s="29"/>
      <c r="F296" s="29"/>
      <c r="G296" s="29"/>
      <c r="H296" s="29"/>
      <c r="I296" s="29"/>
    </row>
    <row r="297" customFormat="false" ht="15" hidden="false" customHeight="false" outlineLevel="0" collapsed="false">
      <c r="A297" s="26"/>
      <c r="B297" s="27"/>
      <c r="C297" s="27"/>
      <c r="D297" s="28"/>
      <c r="E297" s="29"/>
      <c r="F297" s="29"/>
      <c r="G297" s="29"/>
      <c r="H297" s="29"/>
      <c r="I297" s="29"/>
    </row>
    <row r="298" customFormat="false" ht="15" hidden="false" customHeight="false" outlineLevel="0" collapsed="false">
      <c r="A298" s="26"/>
      <c r="B298" s="27"/>
      <c r="C298" s="27"/>
      <c r="D298" s="28"/>
      <c r="E298" s="29"/>
      <c r="F298" s="29"/>
      <c r="G298" s="29"/>
      <c r="H298" s="29"/>
      <c r="I298" s="29"/>
    </row>
    <row r="299" customFormat="false" ht="15" hidden="false" customHeight="false" outlineLevel="0" collapsed="false">
      <c r="A299" s="26"/>
      <c r="B299" s="27"/>
      <c r="C299" s="27"/>
      <c r="D299" s="28"/>
      <c r="E299" s="29"/>
      <c r="F299" s="29"/>
      <c r="G299" s="29"/>
      <c r="H299" s="29"/>
      <c r="I299" s="29"/>
    </row>
    <row r="300" customFormat="false" ht="15" hidden="false" customHeight="false" outlineLevel="0" collapsed="false">
      <c r="A300" s="26"/>
      <c r="B300" s="27"/>
      <c r="C300" s="27"/>
      <c r="D300" s="28"/>
      <c r="E300" s="29"/>
      <c r="F300" s="29"/>
      <c r="G300" s="29"/>
      <c r="H300" s="29"/>
      <c r="I300" s="29"/>
    </row>
    <row r="301" customFormat="false" ht="15" hidden="false" customHeight="false" outlineLevel="0" collapsed="false">
      <c r="A301" s="26"/>
      <c r="B301" s="27"/>
      <c r="C301" s="27"/>
      <c r="D301" s="28"/>
      <c r="E301" s="29"/>
      <c r="F301" s="29"/>
      <c r="G301" s="29"/>
      <c r="H301" s="29"/>
      <c r="I301" s="29"/>
    </row>
    <row r="302" customFormat="false" ht="15" hidden="false" customHeight="false" outlineLevel="0" collapsed="false">
      <c r="A302" s="26"/>
      <c r="B302" s="27"/>
      <c r="C302" s="27"/>
      <c r="D302" s="28"/>
      <c r="E302" s="29"/>
      <c r="F302" s="29"/>
      <c r="G302" s="29"/>
      <c r="H302" s="29"/>
      <c r="I302" s="29"/>
    </row>
    <row r="303" customFormat="false" ht="15" hidden="false" customHeight="false" outlineLevel="0" collapsed="false">
      <c r="A303" s="26"/>
      <c r="B303" s="27"/>
      <c r="C303" s="27"/>
      <c r="D303" s="28"/>
      <c r="E303" s="29"/>
      <c r="F303" s="29"/>
      <c r="G303" s="29"/>
      <c r="H303" s="29"/>
      <c r="I303" s="29"/>
    </row>
    <row r="304" customFormat="false" ht="15" hidden="false" customHeight="false" outlineLevel="0" collapsed="false">
      <c r="A304" s="26"/>
      <c r="B304" s="27"/>
      <c r="C304" s="27"/>
      <c r="D304" s="28"/>
      <c r="E304" s="29"/>
      <c r="F304" s="29"/>
      <c r="G304" s="29"/>
      <c r="H304" s="29"/>
      <c r="I304" s="29"/>
    </row>
    <row r="305" customFormat="false" ht="15" hidden="false" customHeight="false" outlineLevel="0" collapsed="false">
      <c r="A305" s="26"/>
      <c r="B305" s="27"/>
      <c r="C305" s="27"/>
      <c r="D305" s="28"/>
      <c r="E305" s="29"/>
      <c r="F305" s="29"/>
      <c r="G305" s="29"/>
      <c r="H305" s="29"/>
      <c r="I305" s="29"/>
    </row>
    <row r="306" customFormat="false" ht="15" hidden="false" customHeight="false" outlineLevel="0" collapsed="false">
      <c r="A306" s="26"/>
      <c r="B306" s="27"/>
      <c r="C306" s="27"/>
      <c r="D306" s="28"/>
      <c r="E306" s="29"/>
      <c r="F306" s="29"/>
      <c r="G306" s="29"/>
      <c r="H306" s="29"/>
      <c r="I306" s="29"/>
    </row>
    <row r="307" customFormat="false" ht="15" hidden="false" customHeight="false" outlineLevel="0" collapsed="false">
      <c r="A307" s="26"/>
      <c r="B307" s="27"/>
      <c r="C307" s="27"/>
      <c r="D307" s="28"/>
      <c r="E307" s="29"/>
      <c r="F307" s="29"/>
      <c r="G307" s="29"/>
      <c r="H307" s="29"/>
      <c r="I307" s="29"/>
    </row>
    <row r="308" customFormat="false" ht="15" hidden="false" customHeight="false" outlineLevel="0" collapsed="false">
      <c r="A308" s="26"/>
      <c r="B308" s="27"/>
      <c r="C308" s="27"/>
      <c r="D308" s="28"/>
      <c r="E308" s="29"/>
      <c r="F308" s="29"/>
      <c r="G308" s="29"/>
      <c r="H308" s="29"/>
      <c r="I308" s="29"/>
    </row>
    <row r="309" customFormat="false" ht="15" hidden="false" customHeight="false" outlineLevel="0" collapsed="false">
      <c r="A309" s="26"/>
      <c r="B309" s="27"/>
      <c r="C309" s="27"/>
      <c r="D309" s="28"/>
      <c r="E309" s="29"/>
      <c r="F309" s="29"/>
      <c r="G309" s="29"/>
      <c r="H309" s="29"/>
      <c r="I309" s="29"/>
    </row>
    <row r="310" customFormat="false" ht="15" hidden="false" customHeight="false" outlineLevel="0" collapsed="false">
      <c r="A310" s="26"/>
      <c r="B310" s="27"/>
      <c r="C310" s="27"/>
      <c r="D310" s="28"/>
      <c r="E310" s="29"/>
      <c r="F310" s="29"/>
      <c r="G310" s="29"/>
      <c r="H310" s="29"/>
      <c r="I310" s="29"/>
    </row>
    <row r="311" customFormat="false" ht="15" hidden="false" customHeight="false" outlineLevel="0" collapsed="false">
      <c r="A311" s="26"/>
      <c r="B311" s="27"/>
      <c r="C311" s="27"/>
      <c r="D311" s="28"/>
      <c r="E311" s="29"/>
      <c r="F311" s="29"/>
      <c r="G311" s="29"/>
      <c r="H311" s="29"/>
      <c r="I311" s="29"/>
    </row>
    <row r="312" customFormat="false" ht="15" hidden="false" customHeight="false" outlineLevel="0" collapsed="false">
      <c r="A312" s="26"/>
      <c r="B312" s="27"/>
      <c r="C312" s="27"/>
      <c r="D312" s="28"/>
      <c r="E312" s="29"/>
      <c r="F312" s="29"/>
      <c r="G312" s="29"/>
      <c r="H312" s="29"/>
      <c r="I312" s="29"/>
    </row>
    <row r="313" customFormat="false" ht="15" hidden="false" customHeight="false" outlineLevel="0" collapsed="false">
      <c r="A313" s="26"/>
      <c r="B313" s="27"/>
      <c r="C313" s="27"/>
      <c r="D313" s="28"/>
      <c r="E313" s="29"/>
      <c r="F313" s="29"/>
      <c r="G313" s="29"/>
      <c r="H313" s="29"/>
      <c r="I313" s="29"/>
    </row>
    <row r="314" customFormat="false" ht="15" hidden="false" customHeight="false" outlineLevel="0" collapsed="false">
      <c r="A314" s="26"/>
      <c r="B314" s="27"/>
      <c r="C314" s="27"/>
      <c r="D314" s="28"/>
      <c r="E314" s="29"/>
      <c r="F314" s="29"/>
      <c r="G314" s="29"/>
      <c r="H314" s="29"/>
      <c r="I314" s="29"/>
    </row>
    <row r="315" customFormat="false" ht="15" hidden="false" customHeight="false" outlineLevel="0" collapsed="false">
      <c r="A315" s="26"/>
      <c r="B315" s="27"/>
      <c r="C315" s="27"/>
      <c r="D315" s="28"/>
      <c r="E315" s="29"/>
      <c r="F315" s="29"/>
      <c r="G315" s="29"/>
      <c r="H315" s="29"/>
      <c r="I315" s="29"/>
    </row>
    <row r="316" customFormat="false" ht="15" hidden="false" customHeight="false" outlineLevel="0" collapsed="false">
      <c r="A316" s="26"/>
      <c r="B316" s="27"/>
      <c r="C316" s="27"/>
      <c r="D316" s="28"/>
      <c r="E316" s="29"/>
      <c r="F316" s="29"/>
      <c r="G316" s="29"/>
      <c r="H316" s="29"/>
      <c r="I316" s="29"/>
    </row>
    <row r="317" customFormat="false" ht="15" hidden="false" customHeight="false" outlineLevel="0" collapsed="false">
      <c r="A317" s="26"/>
      <c r="B317" s="27"/>
      <c r="C317" s="27"/>
      <c r="D317" s="28"/>
      <c r="E317" s="29"/>
      <c r="F317" s="29"/>
      <c r="G317" s="29"/>
      <c r="H317" s="29"/>
      <c r="I317" s="29"/>
    </row>
    <row r="318" customFormat="false" ht="15" hidden="false" customHeight="false" outlineLevel="0" collapsed="false">
      <c r="A318" s="26"/>
      <c r="B318" s="27"/>
      <c r="C318" s="27"/>
      <c r="D318" s="28"/>
      <c r="E318" s="29"/>
      <c r="F318" s="29"/>
      <c r="G318" s="29"/>
      <c r="H318" s="29"/>
      <c r="I318" s="29"/>
    </row>
    <row r="319" customFormat="false" ht="15" hidden="false" customHeight="false" outlineLevel="0" collapsed="false">
      <c r="A319" s="26"/>
      <c r="B319" s="27"/>
      <c r="C319" s="27"/>
      <c r="D319" s="28"/>
      <c r="E319" s="29"/>
      <c r="F319" s="29"/>
      <c r="G319" s="29"/>
      <c r="H319" s="29"/>
      <c r="I319" s="29"/>
    </row>
    <row r="320" customFormat="false" ht="15" hidden="false" customHeight="false" outlineLevel="0" collapsed="false">
      <c r="A320" s="26"/>
      <c r="B320" s="27"/>
      <c r="C320" s="27"/>
      <c r="D320" s="28"/>
      <c r="E320" s="29"/>
      <c r="F320" s="29"/>
      <c r="G320" s="29"/>
      <c r="H320" s="29"/>
      <c r="I320" s="29"/>
    </row>
    <row r="321" customFormat="false" ht="15" hidden="false" customHeight="false" outlineLevel="0" collapsed="false">
      <c r="A321" s="26"/>
      <c r="B321" s="27"/>
      <c r="C321" s="27"/>
      <c r="D321" s="28"/>
      <c r="E321" s="29"/>
      <c r="F321" s="29"/>
      <c r="G321" s="29"/>
      <c r="H321" s="29"/>
      <c r="I321" s="29"/>
    </row>
    <row r="322" customFormat="false" ht="15" hidden="false" customHeight="false" outlineLevel="0" collapsed="false">
      <c r="A322" s="26"/>
      <c r="B322" s="27"/>
      <c r="C322" s="27"/>
      <c r="D322" s="28"/>
      <c r="E322" s="29"/>
      <c r="F322" s="29"/>
      <c r="G322" s="29"/>
      <c r="H322" s="29"/>
      <c r="I322" s="29"/>
    </row>
    <row r="323" customFormat="false" ht="15" hidden="false" customHeight="false" outlineLevel="0" collapsed="false">
      <c r="A323" s="26"/>
      <c r="B323" s="27"/>
      <c r="C323" s="27"/>
      <c r="D323" s="28"/>
      <c r="E323" s="29"/>
      <c r="F323" s="29"/>
      <c r="G323" s="29"/>
      <c r="H323" s="29"/>
      <c r="I323" s="29"/>
    </row>
    <row r="324" customFormat="false" ht="15" hidden="false" customHeight="false" outlineLevel="0" collapsed="false">
      <c r="A324" s="26"/>
      <c r="B324" s="27"/>
      <c r="C324" s="27"/>
      <c r="D324" s="28"/>
      <c r="E324" s="29"/>
      <c r="F324" s="29"/>
      <c r="G324" s="29"/>
      <c r="H324" s="29"/>
      <c r="I324" s="29"/>
    </row>
    <row r="325" customFormat="false" ht="15" hidden="false" customHeight="false" outlineLevel="0" collapsed="false">
      <c r="A325" s="26"/>
      <c r="B325" s="27"/>
      <c r="C325" s="27"/>
      <c r="D325" s="28"/>
      <c r="E325" s="29"/>
      <c r="F325" s="29"/>
      <c r="G325" s="29"/>
      <c r="H325" s="29"/>
      <c r="I325" s="29"/>
    </row>
    <row r="326" customFormat="false" ht="15" hidden="false" customHeight="false" outlineLevel="0" collapsed="false">
      <c r="A326" s="26"/>
      <c r="B326" s="27"/>
      <c r="C326" s="27"/>
      <c r="D326" s="28"/>
      <c r="E326" s="29"/>
      <c r="F326" s="29"/>
      <c r="G326" s="29"/>
      <c r="H326" s="29"/>
      <c r="I326" s="29"/>
    </row>
    <row r="327" customFormat="false" ht="15" hidden="false" customHeight="false" outlineLevel="0" collapsed="false">
      <c r="A327" s="26"/>
      <c r="B327" s="27"/>
      <c r="C327" s="27"/>
      <c r="D327" s="28"/>
      <c r="E327" s="29"/>
      <c r="F327" s="29"/>
      <c r="G327" s="29"/>
      <c r="H327" s="29"/>
      <c r="I327" s="29"/>
    </row>
    <row r="328" customFormat="false" ht="15" hidden="false" customHeight="false" outlineLevel="0" collapsed="false">
      <c r="A328" s="26"/>
      <c r="B328" s="27"/>
      <c r="C328" s="27"/>
      <c r="D328" s="28"/>
      <c r="E328" s="29"/>
      <c r="F328" s="29"/>
      <c r="G328" s="29"/>
      <c r="H328" s="29"/>
      <c r="I328" s="29"/>
    </row>
    <row r="329" customFormat="false" ht="15" hidden="false" customHeight="false" outlineLevel="0" collapsed="false">
      <c r="A329" s="26"/>
      <c r="B329" s="27"/>
      <c r="C329" s="27"/>
      <c r="D329" s="28"/>
      <c r="E329" s="29"/>
      <c r="F329" s="29"/>
      <c r="G329" s="29"/>
      <c r="H329" s="29"/>
      <c r="I329" s="29"/>
    </row>
    <row r="330" customFormat="false" ht="15" hidden="false" customHeight="false" outlineLevel="0" collapsed="false">
      <c r="A330" s="26"/>
      <c r="B330" s="27"/>
      <c r="C330" s="27"/>
      <c r="D330" s="28"/>
      <c r="E330" s="29"/>
      <c r="F330" s="29"/>
      <c r="G330" s="29"/>
      <c r="H330" s="29"/>
      <c r="I330" s="29"/>
    </row>
    <row r="331" customFormat="false" ht="15" hidden="false" customHeight="false" outlineLevel="0" collapsed="false">
      <c r="A331" s="26"/>
      <c r="B331" s="27"/>
      <c r="C331" s="27"/>
      <c r="D331" s="28"/>
      <c r="E331" s="29"/>
      <c r="F331" s="29"/>
      <c r="G331" s="29"/>
      <c r="H331" s="29"/>
      <c r="I331" s="29"/>
    </row>
    <row r="332" customFormat="false" ht="15" hidden="false" customHeight="false" outlineLevel="0" collapsed="false">
      <c r="A332" s="26"/>
      <c r="B332" s="27"/>
      <c r="C332" s="27"/>
      <c r="D332" s="28"/>
      <c r="E332" s="29"/>
      <c r="F332" s="29"/>
      <c r="G332" s="29"/>
      <c r="H332" s="29"/>
      <c r="I332" s="29"/>
    </row>
    <row r="333" customFormat="false" ht="15" hidden="false" customHeight="false" outlineLevel="0" collapsed="false">
      <c r="A333" s="26"/>
      <c r="B333" s="27"/>
      <c r="C333" s="27"/>
      <c r="D333" s="28"/>
      <c r="E333" s="29"/>
      <c r="F333" s="29"/>
      <c r="G333" s="29"/>
      <c r="H333" s="29"/>
      <c r="I333" s="29"/>
    </row>
    <row r="334" customFormat="false" ht="15" hidden="false" customHeight="false" outlineLevel="0" collapsed="false">
      <c r="A334" s="26"/>
      <c r="B334" s="27"/>
      <c r="C334" s="27"/>
      <c r="D334" s="28"/>
      <c r="E334" s="29"/>
      <c r="F334" s="29"/>
      <c r="G334" s="29"/>
      <c r="H334" s="29"/>
      <c r="I334" s="29"/>
    </row>
    <row r="335" customFormat="false" ht="15" hidden="false" customHeight="false" outlineLevel="0" collapsed="false">
      <c r="A335" s="26"/>
      <c r="B335" s="27"/>
      <c r="C335" s="27"/>
      <c r="D335" s="28"/>
      <c r="E335" s="29"/>
      <c r="F335" s="29"/>
      <c r="G335" s="29"/>
      <c r="H335" s="29"/>
      <c r="I335" s="29"/>
    </row>
    <row r="336" customFormat="false" ht="15" hidden="false" customHeight="false" outlineLevel="0" collapsed="false">
      <c r="A336" s="26"/>
      <c r="B336" s="27"/>
      <c r="C336" s="27"/>
      <c r="D336" s="28"/>
      <c r="E336" s="29"/>
      <c r="F336" s="29"/>
      <c r="G336" s="29"/>
      <c r="H336" s="29"/>
      <c r="I336" s="29"/>
    </row>
    <row r="337" customFormat="false" ht="15" hidden="false" customHeight="false" outlineLevel="0" collapsed="false">
      <c r="A337" s="26"/>
      <c r="B337" s="27"/>
      <c r="C337" s="27"/>
      <c r="D337" s="28"/>
      <c r="E337" s="29"/>
      <c r="F337" s="29"/>
      <c r="G337" s="29"/>
      <c r="H337" s="29"/>
      <c r="I337" s="29"/>
    </row>
    <row r="338" customFormat="false" ht="15" hidden="false" customHeight="false" outlineLevel="0" collapsed="false">
      <c r="A338" s="26"/>
      <c r="B338" s="27"/>
      <c r="C338" s="27"/>
      <c r="D338" s="28"/>
      <c r="E338" s="29"/>
      <c r="F338" s="29"/>
      <c r="G338" s="29"/>
      <c r="H338" s="29"/>
      <c r="I338" s="29"/>
    </row>
    <row r="339" customFormat="false" ht="15" hidden="false" customHeight="false" outlineLevel="0" collapsed="false">
      <c r="A339" s="26"/>
      <c r="B339" s="27"/>
      <c r="C339" s="27"/>
      <c r="D339" s="28"/>
      <c r="E339" s="29"/>
      <c r="F339" s="29"/>
      <c r="G339" s="29"/>
      <c r="H339" s="29"/>
      <c r="I339" s="29"/>
    </row>
    <row r="340" customFormat="false" ht="15" hidden="false" customHeight="false" outlineLevel="0" collapsed="false">
      <c r="A340" s="26"/>
      <c r="B340" s="27"/>
      <c r="C340" s="27"/>
      <c r="D340" s="28"/>
      <c r="E340" s="29"/>
      <c r="F340" s="29"/>
      <c r="G340" s="29"/>
      <c r="H340" s="29"/>
      <c r="I340" s="29"/>
    </row>
    <row r="341" customFormat="false" ht="15" hidden="false" customHeight="false" outlineLevel="0" collapsed="false">
      <c r="A341" s="26"/>
      <c r="B341" s="27"/>
      <c r="C341" s="27"/>
      <c r="D341" s="28"/>
      <c r="E341" s="29"/>
      <c r="F341" s="29"/>
      <c r="G341" s="29"/>
      <c r="H341" s="29"/>
      <c r="I341" s="29"/>
    </row>
    <row r="342" customFormat="false" ht="15" hidden="false" customHeight="false" outlineLevel="0" collapsed="false">
      <c r="A342" s="26"/>
      <c r="B342" s="27"/>
      <c r="C342" s="27"/>
      <c r="D342" s="28"/>
      <c r="E342" s="29"/>
      <c r="F342" s="29"/>
      <c r="G342" s="29"/>
      <c r="H342" s="29"/>
      <c r="I342" s="29"/>
    </row>
    <row r="343" customFormat="false" ht="15" hidden="false" customHeight="false" outlineLevel="0" collapsed="false">
      <c r="A343" s="26"/>
      <c r="B343" s="27"/>
      <c r="C343" s="27"/>
      <c r="D343" s="28"/>
      <c r="E343" s="29"/>
      <c r="F343" s="29"/>
      <c r="G343" s="29"/>
      <c r="H343" s="29"/>
      <c r="I343" s="29"/>
    </row>
    <row r="344" customFormat="false" ht="15" hidden="false" customHeight="false" outlineLevel="0" collapsed="false">
      <c r="A344" s="26"/>
      <c r="B344" s="27"/>
      <c r="C344" s="27"/>
      <c r="D344" s="28"/>
      <c r="E344" s="29"/>
      <c r="F344" s="29"/>
      <c r="G344" s="29"/>
      <c r="H344" s="29"/>
      <c r="I344" s="29"/>
    </row>
    <row r="345" customFormat="false" ht="15" hidden="false" customHeight="false" outlineLevel="0" collapsed="false">
      <c r="A345" s="26"/>
      <c r="B345" s="27"/>
      <c r="C345" s="27"/>
      <c r="D345" s="28"/>
      <c r="E345" s="29"/>
      <c r="F345" s="29"/>
      <c r="G345" s="29"/>
      <c r="H345" s="29"/>
      <c r="I345" s="29"/>
    </row>
    <row r="346" customFormat="false" ht="15" hidden="false" customHeight="false" outlineLevel="0" collapsed="false">
      <c r="A346" s="26"/>
      <c r="B346" s="27"/>
      <c r="C346" s="27"/>
      <c r="D346" s="28"/>
      <c r="E346" s="29"/>
      <c r="F346" s="29"/>
      <c r="G346" s="29"/>
      <c r="H346" s="29"/>
      <c r="I346" s="29"/>
    </row>
    <row r="347" customFormat="false" ht="15" hidden="false" customHeight="false" outlineLevel="0" collapsed="false">
      <c r="A347" s="26"/>
      <c r="B347" s="27"/>
      <c r="C347" s="27"/>
      <c r="D347" s="28"/>
      <c r="E347" s="29"/>
      <c r="F347" s="29"/>
      <c r="G347" s="29"/>
      <c r="H347" s="29"/>
      <c r="I347" s="29"/>
    </row>
    <row r="348" customFormat="false" ht="15" hidden="false" customHeight="false" outlineLevel="0" collapsed="false">
      <c r="A348" s="26"/>
      <c r="B348" s="27"/>
      <c r="C348" s="27"/>
      <c r="D348" s="28"/>
      <c r="E348" s="29"/>
      <c r="F348" s="29"/>
      <c r="G348" s="29"/>
      <c r="H348" s="29"/>
      <c r="I348" s="29"/>
    </row>
    <row r="349" customFormat="false" ht="15" hidden="false" customHeight="false" outlineLevel="0" collapsed="false">
      <c r="A349" s="26"/>
      <c r="B349" s="27"/>
      <c r="C349" s="27"/>
      <c r="D349" s="28"/>
      <c r="E349" s="29"/>
      <c r="F349" s="29"/>
      <c r="G349" s="29"/>
      <c r="H349" s="29"/>
      <c r="I349" s="29"/>
    </row>
    <row r="350" customFormat="false" ht="15" hidden="false" customHeight="false" outlineLevel="0" collapsed="false">
      <c r="A350" s="26"/>
      <c r="B350" s="27"/>
      <c r="C350" s="27"/>
      <c r="D350" s="28"/>
      <c r="E350" s="29"/>
      <c r="F350" s="29"/>
      <c r="G350" s="29"/>
      <c r="H350" s="29"/>
      <c r="I350" s="29"/>
    </row>
    <row r="351" customFormat="false" ht="15" hidden="false" customHeight="false" outlineLevel="0" collapsed="false">
      <c r="A351" s="26"/>
      <c r="B351" s="27"/>
      <c r="C351" s="27"/>
      <c r="D351" s="28"/>
      <c r="E351" s="29"/>
      <c r="F351" s="29"/>
      <c r="G351" s="29"/>
      <c r="H351" s="29"/>
      <c r="I351" s="29"/>
    </row>
    <row r="352" customFormat="false" ht="15" hidden="false" customHeight="false" outlineLevel="0" collapsed="false">
      <c r="A352" s="26"/>
      <c r="B352" s="27"/>
      <c r="C352" s="27"/>
      <c r="D352" s="28"/>
      <c r="E352" s="29"/>
      <c r="F352" s="29"/>
      <c r="G352" s="29"/>
      <c r="H352" s="29"/>
      <c r="I352" s="29"/>
    </row>
    <row r="353" customFormat="false" ht="15" hidden="false" customHeight="false" outlineLevel="0" collapsed="false">
      <c r="A353" s="26"/>
      <c r="B353" s="27"/>
      <c r="C353" s="27"/>
      <c r="D353" s="28"/>
      <c r="E353" s="29"/>
      <c r="F353" s="29"/>
      <c r="G353" s="29"/>
      <c r="H353" s="29"/>
      <c r="I353" s="29"/>
    </row>
    <row r="354" customFormat="false" ht="15" hidden="false" customHeight="false" outlineLevel="0" collapsed="false">
      <c r="A354" s="26"/>
      <c r="B354" s="27"/>
      <c r="C354" s="27"/>
      <c r="D354" s="28"/>
      <c r="E354" s="29"/>
      <c r="F354" s="29"/>
      <c r="G354" s="29"/>
      <c r="H354" s="29"/>
      <c r="I354" s="29"/>
    </row>
    <row r="355" customFormat="false" ht="15" hidden="false" customHeight="false" outlineLevel="0" collapsed="false">
      <c r="A355" s="26"/>
      <c r="B355" s="27"/>
      <c r="C355" s="27"/>
      <c r="D355" s="28"/>
      <c r="E355" s="29"/>
      <c r="F355" s="29"/>
      <c r="G355" s="29"/>
      <c r="H355" s="29"/>
      <c r="I355" s="29"/>
    </row>
    <row r="356" customFormat="false" ht="15" hidden="false" customHeight="false" outlineLevel="0" collapsed="false">
      <c r="A356" s="26"/>
      <c r="B356" s="27"/>
      <c r="C356" s="27"/>
      <c r="D356" s="28"/>
      <c r="E356" s="29"/>
      <c r="F356" s="29"/>
      <c r="G356" s="29"/>
      <c r="H356" s="29"/>
      <c r="I356" s="29"/>
    </row>
    <row r="357" customFormat="false" ht="15" hidden="false" customHeight="false" outlineLevel="0" collapsed="false">
      <c r="A357" s="26"/>
      <c r="B357" s="27"/>
      <c r="C357" s="27"/>
      <c r="D357" s="28"/>
      <c r="E357" s="29"/>
      <c r="F357" s="29"/>
      <c r="G357" s="29"/>
      <c r="H357" s="29"/>
      <c r="I357" s="29"/>
    </row>
    <row r="358" customFormat="false" ht="15" hidden="false" customHeight="false" outlineLevel="0" collapsed="false">
      <c r="A358" s="26"/>
      <c r="B358" s="27"/>
      <c r="C358" s="27"/>
      <c r="D358" s="28"/>
      <c r="E358" s="29"/>
      <c r="F358" s="29"/>
      <c r="G358" s="29"/>
      <c r="H358" s="29"/>
      <c r="I358" s="29"/>
    </row>
    <row r="359" customFormat="false" ht="15" hidden="false" customHeight="false" outlineLevel="0" collapsed="false">
      <c r="A359" s="26"/>
      <c r="B359" s="27"/>
      <c r="C359" s="27"/>
      <c r="D359" s="28"/>
      <c r="E359" s="29"/>
      <c r="F359" s="29"/>
      <c r="G359" s="29"/>
      <c r="H359" s="29"/>
      <c r="I359" s="29"/>
    </row>
    <row r="360" customFormat="false" ht="15" hidden="false" customHeight="false" outlineLevel="0" collapsed="false">
      <c r="A360" s="26"/>
      <c r="B360" s="27"/>
      <c r="C360" s="27"/>
      <c r="D360" s="28"/>
      <c r="E360" s="29"/>
      <c r="F360" s="29"/>
      <c r="G360" s="29"/>
      <c r="H360" s="29"/>
      <c r="I360" s="29"/>
    </row>
    <row r="361" customFormat="false" ht="15" hidden="false" customHeight="false" outlineLevel="0" collapsed="false">
      <c r="A361" s="26"/>
      <c r="B361" s="27"/>
      <c r="C361" s="27"/>
      <c r="D361" s="28"/>
      <c r="E361" s="29"/>
      <c r="F361" s="29"/>
      <c r="G361" s="29"/>
      <c r="H361" s="29"/>
      <c r="I361" s="29"/>
    </row>
    <row r="362" customFormat="false" ht="15" hidden="false" customHeight="false" outlineLevel="0" collapsed="false">
      <c r="A362" s="26"/>
      <c r="B362" s="27"/>
      <c r="C362" s="27"/>
      <c r="D362" s="28"/>
      <c r="E362" s="29"/>
      <c r="F362" s="29"/>
      <c r="G362" s="29"/>
      <c r="H362" s="29"/>
      <c r="I362" s="29"/>
    </row>
    <row r="363" customFormat="false" ht="15" hidden="false" customHeight="false" outlineLevel="0" collapsed="false">
      <c r="A363" s="26"/>
      <c r="B363" s="27"/>
      <c r="C363" s="27"/>
      <c r="D363" s="28"/>
      <c r="E363" s="29"/>
      <c r="F363" s="29"/>
      <c r="G363" s="29"/>
      <c r="H363" s="29"/>
      <c r="I363" s="29"/>
    </row>
    <row r="364" customFormat="false" ht="15" hidden="false" customHeight="false" outlineLevel="0" collapsed="false">
      <c r="A364" s="26"/>
      <c r="B364" s="27"/>
      <c r="C364" s="27"/>
      <c r="D364" s="28"/>
      <c r="E364" s="29"/>
      <c r="F364" s="29"/>
      <c r="G364" s="29"/>
      <c r="H364" s="29"/>
      <c r="I364" s="29"/>
    </row>
    <row r="365" customFormat="false" ht="15" hidden="false" customHeight="false" outlineLevel="0" collapsed="false">
      <c r="A365" s="26"/>
      <c r="B365" s="27"/>
      <c r="C365" s="27"/>
      <c r="D365" s="28"/>
      <c r="E365" s="29"/>
      <c r="F365" s="29"/>
      <c r="G365" s="29"/>
      <c r="H365" s="29"/>
      <c r="I365" s="29"/>
    </row>
    <row r="366" customFormat="false" ht="15" hidden="false" customHeight="false" outlineLevel="0" collapsed="false">
      <c r="A366" s="26"/>
      <c r="B366" s="27"/>
      <c r="C366" s="27"/>
      <c r="D366" s="28"/>
      <c r="E366" s="29"/>
      <c r="F366" s="29"/>
      <c r="G366" s="29"/>
      <c r="H366" s="29"/>
      <c r="I366" s="29"/>
    </row>
    <row r="367" customFormat="false" ht="15" hidden="false" customHeight="false" outlineLevel="0" collapsed="false">
      <c r="A367" s="26"/>
      <c r="B367" s="27"/>
      <c r="C367" s="27"/>
      <c r="D367" s="28"/>
      <c r="E367" s="29"/>
      <c r="F367" s="29"/>
      <c r="G367" s="29"/>
      <c r="H367" s="29"/>
      <c r="I367" s="29"/>
    </row>
    <row r="368" customFormat="false" ht="15" hidden="false" customHeight="false" outlineLevel="0" collapsed="false">
      <c r="A368" s="26"/>
      <c r="B368" s="27"/>
      <c r="C368" s="27"/>
      <c r="D368" s="28"/>
      <c r="E368" s="29"/>
      <c r="F368" s="29"/>
      <c r="G368" s="29"/>
      <c r="H368" s="29"/>
      <c r="I368" s="29"/>
    </row>
    <row r="369" customFormat="false" ht="15" hidden="false" customHeight="false" outlineLevel="0" collapsed="false">
      <c r="A369" s="26"/>
      <c r="B369" s="27"/>
      <c r="C369" s="27"/>
      <c r="D369" s="28"/>
      <c r="E369" s="29"/>
      <c r="F369" s="29"/>
      <c r="G369" s="29"/>
      <c r="H369" s="29"/>
      <c r="I369" s="29"/>
    </row>
    <row r="370" customFormat="false" ht="15" hidden="false" customHeight="false" outlineLevel="0" collapsed="false">
      <c r="A370" s="26"/>
      <c r="B370" s="27"/>
      <c r="C370" s="27"/>
      <c r="D370" s="28"/>
      <c r="E370" s="29"/>
      <c r="F370" s="29"/>
      <c r="G370" s="29"/>
      <c r="H370" s="29"/>
      <c r="I370" s="29"/>
    </row>
    <row r="371" customFormat="false" ht="15" hidden="false" customHeight="false" outlineLevel="0" collapsed="false">
      <c r="A371" s="26"/>
      <c r="B371" s="27"/>
      <c r="C371" s="27"/>
      <c r="D371" s="28"/>
      <c r="E371" s="29"/>
      <c r="F371" s="29"/>
      <c r="G371" s="29"/>
      <c r="H371" s="29"/>
      <c r="I371" s="29"/>
    </row>
    <row r="372" customFormat="false" ht="15" hidden="false" customHeight="false" outlineLevel="0" collapsed="false">
      <c r="A372" s="26"/>
      <c r="B372" s="27"/>
      <c r="C372" s="27"/>
      <c r="D372" s="28"/>
      <c r="E372" s="29"/>
      <c r="F372" s="29"/>
      <c r="G372" s="29"/>
      <c r="H372" s="29"/>
      <c r="I372" s="29"/>
    </row>
    <row r="373" customFormat="false" ht="15" hidden="false" customHeight="false" outlineLevel="0" collapsed="false">
      <c r="A373" s="26"/>
      <c r="B373" s="27"/>
      <c r="C373" s="27"/>
      <c r="D373" s="28"/>
      <c r="E373" s="29"/>
      <c r="F373" s="29"/>
      <c r="G373" s="29"/>
      <c r="H373" s="29"/>
      <c r="I373" s="29"/>
    </row>
    <row r="374" customFormat="false" ht="15" hidden="false" customHeight="false" outlineLevel="0" collapsed="false">
      <c r="A374" s="26"/>
      <c r="B374" s="27"/>
      <c r="C374" s="27"/>
      <c r="D374" s="28"/>
      <c r="E374" s="29"/>
      <c r="F374" s="29"/>
      <c r="G374" s="29"/>
      <c r="H374" s="29"/>
      <c r="I374" s="29"/>
    </row>
    <row r="375" customFormat="false" ht="15" hidden="false" customHeight="false" outlineLevel="0" collapsed="false">
      <c r="A375" s="26"/>
      <c r="B375" s="27"/>
      <c r="C375" s="27"/>
      <c r="D375" s="28"/>
      <c r="E375" s="29"/>
      <c r="F375" s="29"/>
      <c r="G375" s="29"/>
      <c r="H375" s="29"/>
      <c r="I375" s="29"/>
    </row>
    <row r="376" customFormat="false" ht="15" hidden="false" customHeight="false" outlineLevel="0" collapsed="false">
      <c r="A376" s="26"/>
      <c r="B376" s="27"/>
      <c r="C376" s="27"/>
      <c r="D376" s="28"/>
      <c r="E376" s="29"/>
      <c r="F376" s="29"/>
      <c r="G376" s="29"/>
      <c r="H376" s="29"/>
      <c r="I376" s="29"/>
    </row>
    <row r="377" customFormat="false" ht="15" hidden="false" customHeight="false" outlineLevel="0" collapsed="false">
      <c r="A377" s="26"/>
      <c r="B377" s="27"/>
      <c r="C377" s="27"/>
      <c r="D377" s="28"/>
      <c r="E377" s="29"/>
      <c r="F377" s="29"/>
      <c r="G377" s="29"/>
      <c r="H377" s="29"/>
      <c r="I377" s="29"/>
    </row>
    <row r="378" customFormat="false" ht="15" hidden="false" customHeight="false" outlineLevel="0" collapsed="false">
      <c r="A378" s="26"/>
      <c r="B378" s="27"/>
      <c r="C378" s="27"/>
      <c r="D378" s="28"/>
      <c r="E378" s="29"/>
      <c r="F378" s="29"/>
      <c r="G378" s="29"/>
      <c r="H378" s="29"/>
      <c r="I378" s="29"/>
    </row>
    <row r="379" customFormat="false" ht="15" hidden="false" customHeight="false" outlineLevel="0" collapsed="false">
      <c r="A379" s="26"/>
      <c r="B379" s="27"/>
      <c r="C379" s="27"/>
      <c r="D379" s="28"/>
      <c r="E379" s="29"/>
      <c r="F379" s="29"/>
      <c r="G379" s="29"/>
      <c r="H379" s="29"/>
      <c r="I379" s="29"/>
    </row>
    <row r="380" customFormat="false" ht="15" hidden="false" customHeight="false" outlineLevel="0" collapsed="false">
      <c r="A380" s="26"/>
      <c r="B380" s="27"/>
      <c r="C380" s="27"/>
      <c r="D380" s="28"/>
      <c r="E380" s="29"/>
      <c r="F380" s="29"/>
      <c r="G380" s="29"/>
      <c r="H380" s="29"/>
      <c r="I380" s="29"/>
    </row>
    <row r="381" customFormat="false" ht="15" hidden="false" customHeight="false" outlineLevel="0" collapsed="false">
      <c r="A381" s="26"/>
      <c r="B381" s="27"/>
      <c r="C381" s="27"/>
      <c r="D381" s="28"/>
      <c r="E381" s="29"/>
      <c r="F381" s="29"/>
      <c r="G381" s="29"/>
      <c r="H381" s="29"/>
      <c r="I381" s="29"/>
    </row>
    <row r="382" customFormat="false" ht="15" hidden="false" customHeight="false" outlineLevel="0" collapsed="false">
      <c r="A382" s="26"/>
      <c r="B382" s="27"/>
      <c r="C382" s="27"/>
      <c r="D382" s="28"/>
      <c r="E382" s="29"/>
      <c r="F382" s="29"/>
      <c r="G382" s="29"/>
      <c r="H382" s="29"/>
      <c r="I382" s="29"/>
    </row>
    <row r="383" customFormat="false" ht="15" hidden="false" customHeight="false" outlineLevel="0" collapsed="false">
      <c r="A383" s="26"/>
      <c r="B383" s="27"/>
      <c r="C383" s="27"/>
      <c r="D383" s="28"/>
      <c r="E383" s="29"/>
      <c r="F383" s="29"/>
      <c r="G383" s="29"/>
      <c r="H383" s="29"/>
      <c r="I383" s="29"/>
    </row>
    <row r="384" customFormat="false" ht="15" hidden="false" customHeight="false" outlineLevel="0" collapsed="false">
      <c r="A384" s="26"/>
      <c r="B384" s="27"/>
      <c r="C384" s="27"/>
      <c r="D384" s="28"/>
      <c r="E384" s="29"/>
      <c r="F384" s="29"/>
      <c r="G384" s="29"/>
      <c r="H384" s="29"/>
      <c r="I384" s="29"/>
    </row>
    <row r="385" customFormat="false" ht="15" hidden="false" customHeight="false" outlineLevel="0" collapsed="false">
      <c r="A385" s="26"/>
      <c r="B385" s="27"/>
      <c r="C385" s="27"/>
      <c r="D385" s="28"/>
      <c r="E385" s="29"/>
      <c r="F385" s="29"/>
      <c r="G385" s="29"/>
      <c r="H385" s="29"/>
      <c r="I385" s="29"/>
    </row>
    <row r="386" customFormat="false" ht="15" hidden="false" customHeight="false" outlineLevel="0" collapsed="false">
      <c r="A386" s="26"/>
      <c r="B386" s="27"/>
      <c r="C386" s="27"/>
      <c r="D386" s="28"/>
      <c r="E386" s="29"/>
      <c r="F386" s="29"/>
      <c r="G386" s="29"/>
      <c r="H386" s="29"/>
      <c r="I386" s="29"/>
    </row>
    <row r="387" customFormat="false" ht="15" hidden="false" customHeight="false" outlineLevel="0" collapsed="false">
      <c r="A387" s="26"/>
      <c r="B387" s="27"/>
      <c r="C387" s="27"/>
      <c r="D387" s="28"/>
      <c r="E387" s="29"/>
      <c r="F387" s="29"/>
      <c r="G387" s="29"/>
      <c r="H387" s="29"/>
      <c r="I387" s="29"/>
    </row>
    <row r="388" customFormat="false" ht="15" hidden="false" customHeight="false" outlineLevel="0" collapsed="false">
      <c r="A388" s="26"/>
      <c r="B388" s="27"/>
      <c r="C388" s="27"/>
      <c r="D388" s="28"/>
      <c r="E388" s="29"/>
      <c r="F388" s="29"/>
      <c r="G388" s="29"/>
      <c r="H388" s="29"/>
      <c r="I388" s="29"/>
    </row>
    <row r="389" customFormat="false" ht="15" hidden="false" customHeight="false" outlineLevel="0" collapsed="false">
      <c r="A389" s="26"/>
      <c r="B389" s="27"/>
      <c r="C389" s="27"/>
      <c r="D389" s="28"/>
      <c r="E389" s="29"/>
      <c r="F389" s="29"/>
      <c r="G389" s="29"/>
      <c r="H389" s="29"/>
      <c r="I389" s="29"/>
    </row>
    <row r="390" customFormat="false" ht="15" hidden="false" customHeight="false" outlineLevel="0" collapsed="false">
      <c r="A390" s="26"/>
      <c r="B390" s="27"/>
      <c r="C390" s="27"/>
      <c r="D390" s="28"/>
      <c r="E390" s="29"/>
      <c r="F390" s="29"/>
      <c r="G390" s="29"/>
      <c r="H390" s="29"/>
      <c r="I390" s="29"/>
    </row>
    <row r="391" customFormat="false" ht="15" hidden="false" customHeight="false" outlineLevel="0" collapsed="false">
      <c r="A391" s="26"/>
      <c r="B391" s="27"/>
      <c r="C391" s="27"/>
      <c r="D391" s="28"/>
      <c r="E391" s="29"/>
      <c r="F391" s="29"/>
      <c r="G391" s="29"/>
      <c r="H391" s="29"/>
      <c r="I391" s="29"/>
    </row>
    <row r="392" customFormat="false" ht="15" hidden="false" customHeight="false" outlineLevel="0" collapsed="false">
      <c r="A392" s="26"/>
      <c r="B392" s="27"/>
      <c r="C392" s="27"/>
      <c r="D392" s="28"/>
      <c r="E392" s="29"/>
      <c r="F392" s="29"/>
      <c r="G392" s="29"/>
      <c r="H392" s="29"/>
      <c r="I392" s="29"/>
    </row>
    <row r="393" customFormat="false" ht="15" hidden="false" customHeight="false" outlineLevel="0" collapsed="false">
      <c r="A393" s="26"/>
      <c r="B393" s="27"/>
      <c r="C393" s="27"/>
      <c r="D393" s="28"/>
      <c r="E393" s="29"/>
      <c r="F393" s="29"/>
      <c r="G393" s="29"/>
      <c r="H393" s="29"/>
      <c r="I393" s="29"/>
    </row>
    <row r="394" customFormat="false" ht="15" hidden="false" customHeight="false" outlineLevel="0" collapsed="false">
      <c r="A394" s="26"/>
      <c r="B394" s="27"/>
      <c r="C394" s="27"/>
      <c r="D394" s="28"/>
      <c r="E394" s="29"/>
      <c r="F394" s="29"/>
      <c r="G394" s="29"/>
      <c r="H394" s="29"/>
      <c r="I394" s="29"/>
    </row>
    <row r="395" customFormat="false" ht="15" hidden="false" customHeight="false" outlineLevel="0" collapsed="false">
      <c r="A395" s="26"/>
      <c r="B395" s="27"/>
      <c r="C395" s="27"/>
      <c r="D395" s="28"/>
      <c r="E395" s="29"/>
      <c r="F395" s="29"/>
      <c r="G395" s="29"/>
      <c r="H395" s="29"/>
      <c r="I395" s="29"/>
    </row>
    <row r="396" customFormat="false" ht="15" hidden="false" customHeight="false" outlineLevel="0" collapsed="false">
      <c r="A396" s="26"/>
      <c r="B396" s="27"/>
      <c r="C396" s="27"/>
      <c r="D396" s="28"/>
      <c r="E396" s="29"/>
      <c r="F396" s="29"/>
      <c r="G396" s="29"/>
      <c r="H396" s="29"/>
      <c r="I396" s="29"/>
    </row>
    <row r="397" customFormat="false" ht="15" hidden="false" customHeight="false" outlineLevel="0" collapsed="false">
      <c r="A397" s="26"/>
      <c r="B397" s="27"/>
      <c r="C397" s="27"/>
      <c r="D397" s="28"/>
      <c r="E397" s="29"/>
      <c r="F397" s="29"/>
      <c r="G397" s="29"/>
      <c r="H397" s="29"/>
      <c r="I397" s="29"/>
    </row>
    <row r="398" customFormat="false" ht="15" hidden="false" customHeight="false" outlineLevel="0" collapsed="false">
      <c r="A398" s="26"/>
      <c r="B398" s="27"/>
      <c r="C398" s="27"/>
      <c r="D398" s="28"/>
      <c r="E398" s="29"/>
      <c r="F398" s="29"/>
      <c r="G398" s="29"/>
      <c r="H398" s="29"/>
      <c r="I398" s="29"/>
    </row>
    <row r="399" customFormat="false" ht="15" hidden="false" customHeight="false" outlineLevel="0" collapsed="false">
      <c r="A399" s="26"/>
      <c r="B399" s="27"/>
      <c r="C399" s="27"/>
      <c r="D399" s="28"/>
      <c r="E399" s="29"/>
      <c r="F399" s="29"/>
      <c r="G399" s="29"/>
      <c r="H399" s="29"/>
      <c r="I399" s="29"/>
    </row>
    <row r="400" customFormat="false" ht="15" hidden="false" customHeight="false" outlineLevel="0" collapsed="false">
      <c r="A400" s="26"/>
      <c r="B400" s="27"/>
      <c r="C400" s="27"/>
      <c r="D400" s="28"/>
      <c r="E400" s="29"/>
      <c r="F400" s="29"/>
      <c r="G400" s="29"/>
      <c r="H400" s="29"/>
      <c r="I400" s="29"/>
    </row>
    <row r="401" customFormat="false" ht="15" hidden="false" customHeight="false" outlineLevel="0" collapsed="false">
      <c r="A401" s="26"/>
      <c r="B401" s="27"/>
      <c r="C401" s="27"/>
      <c r="D401" s="28"/>
      <c r="E401" s="29"/>
      <c r="F401" s="29"/>
      <c r="G401" s="29"/>
      <c r="H401" s="29"/>
      <c r="I401" s="29"/>
    </row>
    <row r="402" customFormat="false" ht="15" hidden="false" customHeight="false" outlineLevel="0" collapsed="false">
      <c r="A402" s="26"/>
      <c r="B402" s="27"/>
      <c r="C402" s="27"/>
      <c r="D402" s="28"/>
      <c r="E402" s="29"/>
      <c r="F402" s="29"/>
      <c r="G402" s="29"/>
      <c r="H402" s="29"/>
      <c r="I402" s="29"/>
    </row>
    <row r="403" customFormat="false" ht="15" hidden="false" customHeight="false" outlineLevel="0" collapsed="false">
      <c r="A403" s="26"/>
      <c r="B403" s="27"/>
      <c r="C403" s="27"/>
      <c r="D403" s="28"/>
      <c r="E403" s="29"/>
      <c r="F403" s="29"/>
      <c r="G403" s="29"/>
      <c r="H403" s="29"/>
      <c r="I403" s="29"/>
    </row>
    <row r="404" customFormat="false" ht="15" hidden="false" customHeight="false" outlineLevel="0" collapsed="false">
      <c r="A404" s="26"/>
      <c r="B404" s="27"/>
      <c r="C404" s="27"/>
      <c r="D404" s="28"/>
      <c r="E404" s="29"/>
      <c r="F404" s="29"/>
      <c r="G404" s="29"/>
      <c r="H404" s="29"/>
      <c r="I404" s="29"/>
    </row>
    <row r="405" customFormat="false" ht="15" hidden="false" customHeight="false" outlineLevel="0" collapsed="false">
      <c r="A405" s="26"/>
      <c r="B405" s="27"/>
      <c r="C405" s="27"/>
      <c r="D405" s="28"/>
      <c r="E405" s="29"/>
      <c r="F405" s="29"/>
      <c r="G405" s="29"/>
      <c r="H405" s="29"/>
      <c r="I405" s="29"/>
    </row>
    <row r="406" customFormat="false" ht="15" hidden="false" customHeight="false" outlineLevel="0" collapsed="false">
      <c r="A406" s="26"/>
      <c r="B406" s="27"/>
      <c r="C406" s="27"/>
      <c r="D406" s="28"/>
      <c r="E406" s="29"/>
      <c r="F406" s="29"/>
      <c r="G406" s="29"/>
      <c r="H406" s="29"/>
      <c r="I406" s="29"/>
    </row>
    <row r="407" customFormat="false" ht="15" hidden="false" customHeight="false" outlineLevel="0" collapsed="false">
      <c r="A407" s="26"/>
      <c r="B407" s="27"/>
      <c r="C407" s="27"/>
      <c r="D407" s="28"/>
      <c r="E407" s="29"/>
      <c r="F407" s="29"/>
      <c r="G407" s="29"/>
      <c r="H407" s="29"/>
      <c r="I407" s="29"/>
    </row>
    <row r="408" customFormat="false" ht="15" hidden="false" customHeight="false" outlineLevel="0" collapsed="false">
      <c r="A408" s="26"/>
      <c r="B408" s="27"/>
      <c r="C408" s="27"/>
      <c r="D408" s="28"/>
      <c r="E408" s="29"/>
      <c r="F408" s="29"/>
      <c r="G408" s="29"/>
      <c r="H408" s="29"/>
      <c r="I408" s="29"/>
    </row>
    <row r="409" customFormat="false" ht="15" hidden="false" customHeight="false" outlineLevel="0" collapsed="false">
      <c r="A409" s="26"/>
      <c r="B409" s="27"/>
      <c r="C409" s="27"/>
      <c r="D409" s="28"/>
      <c r="E409" s="29"/>
      <c r="F409" s="29"/>
      <c r="G409" s="29"/>
      <c r="H409" s="29"/>
      <c r="I409" s="29"/>
    </row>
    <row r="410" customFormat="false" ht="15" hidden="false" customHeight="false" outlineLevel="0" collapsed="false">
      <c r="A410" s="26"/>
      <c r="B410" s="27"/>
      <c r="C410" s="27"/>
      <c r="D410" s="28"/>
      <c r="E410" s="29"/>
      <c r="F410" s="29"/>
      <c r="G410" s="29"/>
      <c r="H410" s="29"/>
      <c r="I410" s="29"/>
    </row>
    <row r="411" customFormat="false" ht="15" hidden="false" customHeight="false" outlineLevel="0" collapsed="false">
      <c r="A411" s="26"/>
      <c r="B411" s="27"/>
      <c r="C411" s="27"/>
      <c r="D411" s="28"/>
      <c r="E411" s="29"/>
      <c r="F411" s="29"/>
      <c r="G411" s="29"/>
      <c r="H411" s="29"/>
      <c r="I411" s="29"/>
    </row>
    <row r="412" customFormat="false" ht="15" hidden="false" customHeight="false" outlineLevel="0" collapsed="false">
      <c r="A412" s="26"/>
      <c r="B412" s="27"/>
      <c r="C412" s="27"/>
      <c r="D412" s="28"/>
      <c r="E412" s="29"/>
      <c r="F412" s="29"/>
      <c r="G412" s="29"/>
      <c r="H412" s="29"/>
      <c r="I412" s="29"/>
    </row>
    <row r="413" customFormat="false" ht="15" hidden="false" customHeight="false" outlineLevel="0" collapsed="false">
      <c r="A413" s="26"/>
      <c r="B413" s="27"/>
      <c r="C413" s="27"/>
      <c r="D413" s="28"/>
      <c r="E413" s="29"/>
      <c r="F413" s="29"/>
      <c r="G413" s="29"/>
      <c r="H413" s="29"/>
      <c r="I413" s="29"/>
    </row>
    <row r="414" customFormat="false" ht="15" hidden="false" customHeight="false" outlineLevel="0" collapsed="false">
      <c r="A414" s="26"/>
      <c r="B414" s="27"/>
      <c r="C414" s="27"/>
      <c r="D414" s="28"/>
      <c r="E414" s="29"/>
      <c r="F414" s="29"/>
      <c r="G414" s="29"/>
      <c r="H414" s="29"/>
      <c r="I414" s="29"/>
    </row>
    <row r="415" customFormat="false" ht="15" hidden="false" customHeight="false" outlineLevel="0" collapsed="false">
      <c r="A415" s="26"/>
      <c r="B415" s="27"/>
      <c r="C415" s="27"/>
      <c r="D415" s="28"/>
      <c r="E415" s="29"/>
      <c r="F415" s="29"/>
      <c r="G415" s="29"/>
      <c r="H415" s="29"/>
      <c r="I415" s="29"/>
    </row>
    <row r="416" customFormat="false" ht="15" hidden="false" customHeight="false" outlineLevel="0" collapsed="false">
      <c r="A416" s="26"/>
      <c r="B416" s="27"/>
      <c r="C416" s="27"/>
      <c r="D416" s="28"/>
      <c r="E416" s="29"/>
      <c r="F416" s="29"/>
      <c r="G416" s="29"/>
      <c r="H416" s="29"/>
      <c r="I416" s="29"/>
    </row>
    <row r="417" customFormat="false" ht="15" hidden="false" customHeight="false" outlineLevel="0" collapsed="false">
      <c r="A417" s="26"/>
      <c r="B417" s="27"/>
      <c r="C417" s="27"/>
      <c r="D417" s="28"/>
      <c r="E417" s="29"/>
      <c r="F417" s="29"/>
      <c r="G417" s="29"/>
      <c r="H417" s="29"/>
      <c r="I417" s="29"/>
    </row>
    <row r="418" customFormat="false" ht="15" hidden="false" customHeight="false" outlineLevel="0" collapsed="false">
      <c r="A418" s="26"/>
      <c r="B418" s="27"/>
      <c r="C418" s="27"/>
      <c r="D418" s="28"/>
      <c r="E418" s="29"/>
      <c r="F418" s="29"/>
      <c r="G418" s="29"/>
      <c r="H418" s="29"/>
      <c r="I418" s="29"/>
    </row>
    <row r="419" customFormat="false" ht="15" hidden="false" customHeight="false" outlineLevel="0" collapsed="false">
      <c r="A419" s="26"/>
      <c r="B419" s="27"/>
      <c r="C419" s="27"/>
      <c r="D419" s="28"/>
      <c r="E419" s="29"/>
      <c r="F419" s="29"/>
      <c r="G419" s="29"/>
      <c r="H419" s="29"/>
      <c r="I419" s="29"/>
    </row>
    <row r="420" customFormat="false" ht="15" hidden="false" customHeight="false" outlineLevel="0" collapsed="false">
      <c r="A420" s="26"/>
      <c r="B420" s="27"/>
      <c r="C420" s="27"/>
      <c r="D420" s="28"/>
      <c r="E420" s="29"/>
      <c r="F420" s="29"/>
      <c r="G420" s="29"/>
      <c r="H420" s="29"/>
      <c r="I420" s="29"/>
    </row>
    <row r="421" customFormat="false" ht="15" hidden="false" customHeight="false" outlineLevel="0" collapsed="false">
      <c r="A421" s="26"/>
      <c r="B421" s="27"/>
      <c r="C421" s="27"/>
      <c r="D421" s="28"/>
      <c r="E421" s="29"/>
      <c r="F421" s="29"/>
      <c r="G421" s="29"/>
      <c r="H421" s="29"/>
      <c r="I421" s="29"/>
    </row>
    <row r="422" customFormat="false" ht="15" hidden="false" customHeight="false" outlineLevel="0" collapsed="false">
      <c r="A422" s="26"/>
      <c r="B422" s="27"/>
      <c r="C422" s="27"/>
      <c r="D422" s="28"/>
      <c r="E422" s="29"/>
      <c r="F422" s="29"/>
      <c r="G422" s="29"/>
      <c r="H422" s="29"/>
      <c r="I422" s="29"/>
    </row>
    <row r="423" customFormat="false" ht="15" hidden="false" customHeight="false" outlineLevel="0" collapsed="false">
      <c r="A423" s="26"/>
      <c r="B423" s="27"/>
      <c r="C423" s="27"/>
      <c r="D423" s="28"/>
      <c r="E423" s="29"/>
      <c r="F423" s="29"/>
      <c r="G423" s="29"/>
      <c r="H423" s="29"/>
      <c r="I423" s="29"/>
    </row>
    <row r="424" customFormat="false" ht="15" hidden="false" customHeight="false" outlineLevel="0" collapsed="false">
      <c r="A424" s="26"/>
      <c r="B424" s="27"/>
      <c r="C424" s="27"/>
      <c r="D424" s="28"/>
      <c r="E424" s="29"/>
      <c r="F424" s="29"/>
      <c r="G424" s="29"/>
      <c r="H424" s="29"/>
      <c r="I424" s="29"/>
    </row>
    <row r="425" customFormat="false" ht="15" hidden="false" customHeight="false" outlineLevel="0" collapsed="false">
      <c r="A425" s="26"/>
      <c r="B425" s="27"/>
      <c r="C425" s="27"/>
      <c r="D425" s="28"/>
      <c r="E425" s="29"/>
      <c r="F425" s="29"/>
      <c r="G425" s="29"/>
      <c r="H425" s="29"/>
      <c r="I425" s="29"/>
    </row>
    <row r="426" customFormat="false" ht="15" hidden="false" customHeight="false" outlineLevel="0" collapsed="false">
      <c r="A426" s="26"/>
      <c r="B426" s="27"/>
      <c r="C426" s="27"/>
      <c r="D426" s="28"/>
      <c r="E426" s="29"/>
      <c r="F426" s="29"/>
      <c r="G426" s="29"/>
      <c r="H426" s="29"/>
      <c r="I426" s="29"/>
    </row>
    <row r="427" customFormat="false" ht="15" hidden="false" customHeight="false" outlineLevel="0" collapsed="false">
      <c r="A427" s="26"/>
      <c r="B427" s="27"/>
      <c r="C427" s="27"/>
      <c r="D427" s="28"/>
      <c r="E427" s="29"/>
      <c r="F427" s="29"/>
      <c r="G427" s="29"/>
      <c r="H427" s="29"/>
      <c r="I427" s="29"/>
    </row>
    <row r="428" customFormat="false" ht="15" hidden="false" customHeight="false" outlineLevel="0" collapsed="false">
      <c r="A428" s="26"/>
      <c r="B428" s="27"/>
      <c r="C428" s="27"/>
      <c r="D428" s="28"/>
      <c r="E428" s="29"/>
      <c r="F428" s="29"/>
      <c r="G428" s="29"/>
      <c r="H428" s="29"/>
      <c r="I428" s="29"/>
    </row>
    <row r="429" customFormat="false" ht="15" hidden="false" customHeight="false" outlineLevel="0" collapsed="false">
      <c r="A429" s="26"/>
      <c r="B429" s="27"/>
      <c r="C429" s="27"/>
      <c r="D429" s="28"/>
      <c r="E429" s="29"/>
      <c r="F429" s="29"/>
      <c r="G429" s="29"/>
      <c r="H429" s="29"/>
      <c r="I429" s="29"/>
    </row>
    <row r="430" customFormat="false" ht="15" hidden="false" customHeight="false" outlineLevel="0" collapsed="false">
      <c r="A430" s="26"/>
      <c r="B430" s="27"/>
      <c r="C430" s="27"/>
      <c r="D430" s="28"/>
      <c r="E430" s="29"/>
      <c r="F430" s="29"/>
      <c r="G430" s="29"/>
      <c r="H430" s="29"/>
      <c r="I430" s="29"/>
    </row>
    <row r="431" customFormat="false" ht="15" hidden="false" customHeight="false" outlineLevel="0" collapsed="false">
      <c r="A431" s="26"/>
      <c r="B431" s="27"/>
      <c r="C431" s="27"/>
      <c r="D431" s="28"/>
      <c r="E431" s="29"/>
      <c r="F431" s="29"/>
      <c r="G431" s="29"/>
      <c r="H431" s="29"/>
      <c r="I431" s="29"/>
    </row>
    <row r="432" customFormat="false" ht="15" hidden="false" customHeight="false" outlineLevel="0" collapsed="false">
      <c r="A432" s="26"/>
      <c r="B432" s="27"/>
      <c r="C432" s="27"/>
      <c r="D432" s="28"/>
      <c r="E432" s="29"/>
      <c r="F432" s="29"/>
      <c r="G432" s="29"/>
      <c r="H432" s="29"/>
      <c r="I432" s="29"/>
    </row>
    <row r="433" customFormat="false" ht="15" hidden="false" customHeight="false" outlineLevel="0" collapsed="false">
      <c r="A433" s="26"/>
      <c r="B433" s="27"/>
      <c r="C433" s="27"/>
      <c r="D433" s="28"/>
      <c r="E433" s="29"/>
      <c r="F433" s="29"/>
      <c r="G433" s="29"/>
      <c r="H433" s="29"/>
      <c r="I433" s="29"/>
    </row>
    <row r="434" customFormat="false" ht="15" hidden="false" customHeight="false" outlineLevel="0" collapsed="false">
      <c r="A434" s="26"/>
      <c r="B434" s="27"/>
      <c r="C434" s="27"/>
      <c r="D434" s="28"/>
      <c r="E434" s="29"/>
      <c r="F434" s="29"/>
      <c r="G434" s="29"/>
      <c r="H434" s="29"/>
      <c r="I434" s="29"/>
    </row>
    <row r="435" customFormat="false" ht="15" hidden="false" customHeight="false" outlineLevel="0" collapsed="false">
      <c r="A435" s="26"/>
      <c r="B435" s="27"/>
      <c r="C435" s="27"/>
      <c r="D435" s="28"/>
      <c r="E435" s="29"/>
      <c r="F435" s="29"/>
      <c r="G435" s="29"/>
      <c r="H435" s="29"/>
      <c r="I435" s="29"/>
    </row>
    <row r="436" customFormat="false" ht="15" hidden="false" customHeight="false" outlineLevel="0" collapsed="false">
      <c r="A436" s="26"/>
      <c r="B436" s="27"/>
      <c r="C436" s="27"/>
      <c r="D436" s="28"/>
      <c r="E436" s="29"/>
      <c r="F436" s="29"/>
      <c r="G436" s="29"/>
      <c r="H436" s="29"/>
      <c r="I436" s="29"/>
    </row>
    <row r="437" customFormat="false" ht="15" hidden="false" customHeight="false" outlineLevel="0" collapsed="false">
      <c r="A437" s="26"/>
      <c r="B437" s="27"/>
      <c r="C437" s="27"/>
      <c r="D437" s="28"/>
      <c r="E437" s="29"/>
      <c r="F437" s="29"/>
      <c r="G437" s="29"/>
      <c r="H437" s="29"/>
      <c r="I437" s="29"/>
    </row>
    <row r="438" customFormat="false" ht="15" hidden="false" customHeight="false" outlineLevel="0" collapsed="false">
      <c r="A438" s="26"/>
      <c r="B438" s="27"/>
      <c r="C438" s="27"/>
      <c r="D438" s="28"/>
      <c r="E438" s="29"/>
      <c r="F438" s="29"/>
      <c r="G438" s="29"/>
      <c r="H438" s="29"/>
      <c r="I438" s="29"/>
    </row>
    <row r="439" customFormat="false" ht="15" hidden="false" customHeight="false" outlineLevel="0" collapsed="false">
      <c r="A439" s="26"/>
      <c r="B439" s="27"/>
      <c r="C439" s="27"/>
      <c r="D439" s="28"/>
      <c r="E439" s="29"/>
      <c r="F439" s="29"/>
      <c r="G439" s="29"/>
      <c r="H439" s="29"/>
      <c r="I439" s="29"/>
    </row>
    <row r="440" customFormat="false" ht="15" hidden="false" customHeight="false" outlineLevel="0" collapsed="false">
      <c r="A440" s="26"/>
      <c r="B440" s="27"/>
      <c r="C440" s="27"/>
      <c r="D440" s="28"/>
      <c r="E440" s="29"/>
      <c r="F440" s="29"/>
      <c r="G440" s="29"/>
      <c r="H440" s="29"/>
      <c r="I440" s="29"/>
    </row>
    <row r="441" customFormat="false" ht="15" hidden="false" customHeight="false" outlineLevel="0" collapsed="false">
      <c r="A441" s="26"/>
      <c r="B441" s="27"/>
      <c r="C441" s="27"/>
      <c r="D441" s="28"/>
      <c r="E441" s="29"/>
      <c r="F441" s="29"/>
      <c r="G441" s="29"/>
      <c r="H441" s="29"/>
      <c r="I441" s="29"/>
    </row>
    <row r="442" customFormat="false" ht="15" hidden="false" customHeight="false" outlineLevel="0" collapsed="false">
      <c r="A442" s="26"/>
      <c r="B442" s="27"/>
      <c r="C442" s="27"/>
      <c r="D442" s="28"/>
      <c r="E442" s="29"/>
      <c r="F442" s="29"/>
      <c r="G442" s="29"/>
      <c r="H442" s="29"/>
      <c r="I442" s="29"/>
    </row>
    <row r="443" customFormat="false" ht="15" hidden="false" customHeight="false" outlineLevel="0" collapsed="false">
      <c r="A443" s="26"/>
      <c r="B443" s="27"/>
      <c r="C443" s="27"/>
      <c r="D443" s="28"/>
      <c r="E443" s="29"/>
      <c r="F443" s="29"/>
      <c r="G443" s="29"/>
      <c r="H443" s="29"/>
      <c r="I443" s="29"/>
    </row>
    <row r="444" customFormat="false" ht="15" hidden="false" customHeight="false" outlineLevel="0" collapsed="false">
      <c r="A444" s="26"/>
      <c r="B444" s="27"/>
      <c r="C444" s="27"/>
      <c r="D444" s="28"/>
      <c r="E444" s="29"/>
      <c r="F444" s="29"/>
      <c r="G444" s="29"/>
      <c r="H444" s="29"/>
      <c r="I444" s="29"/>
    </row>
    <row r="445" customFormat="false" ht="15" hidden="false" customHeight="false" outlineLevel="0" collapsed="false">
      <c r="A445" s="26"/>
      <c r="B445" s="27"/>
      <c r="C445" s="27"/>
      <c r="D445" s="28"/>
      <c r="E445" s="29"/>
      <c r="F445" s="29"/>
      <c r="G445" s="29"/>
      <c r="H445" s="29"/>
      <c r="I445" s="29"/>
    </row>
    <row r="446" customFormat="false" ht="15" hidden="false" customHeight="false" outlineLevel="0" collapsed="false">
      <c r="A446" s="26"/>
      <c r="B446" s="27"/>
      <c r="C446" s="27"/>
      <c r="D446" s="28"/>
      <c r="E446" s="29"/>
      <c r="F446" s="29"/>
      <c r="G446" s="29"/>
      <c r="H446" s="29"/>
      <c r="I446" s="29"/>
    </row>
    <row r="447" customFormat="false" ht="15" hidden="false" customHeight="false" outlineLevel="0" collapsed="false">
      <c r="A447" s="26"/>
      <c r="B447" s="27"/>
      <c r="C447" s="27"/>
      <c r="D447" s="28"/>
      <c r="E447" s="29"/>
      <c r="F447" s="29"/>
      <c r="G447" s="29"/>
      <c r="H447" s="29"/>
      <c r="I447" s="29"/>
    </row>
    <row r="448" customFormat="false" ht="15" hidden="false" customHeight="false" outlineLevel="0" collapsed="false">
      <c r="A448" s="26"/>
      <c r="B448" s="27"/>
      <c r="C448" s="27"/>
      <c r="D448" s="28"/>
      <c r="E448" s="29"/>
      <c r="F448" s="29"/>
      <c r="G448" s="29"/>
      <c r="H448" s="29"/>
      <c r="I448" s="29"/>
    </row>
    <row r="449" customFormat="false" ht="15" hidden="false" customHeight="false" outlineLevel="0" collapsed="false">
      <c r="A449" s="26"/>
      <c r="B449" s="27"/>
      <c r="C449" s="27"/>
      <c r="D449" s="28"/>
      <c r="E449" s="29"/>
      <c r="F449" s="29"/>
      <c r="G449" s="29"/>
      <c r="H449" s="29"/>
      <c r="I449" s="29"/>
    </row>
    <row r="450" customFormat="false" ht="15" hidden="false" customHeight="false" outlineLevel="0" collapsed="false">
      <c r="A450" s="26"/>
      <c r="B450" s="27"/>
      <c r="C450" s="27"/>
      <c r="D450" s="28"/>
      <c r="E450" s="29"/>
      <c r="F450" s="29"/>
      <c r="G450" s="29"/>
      <c r="H450" s="29"/>
      <c r="I450" s="29"/>
    </row>
    <row r="451" customFormat="false" ht="15" hidden="false" customHeight="false" outlineLevel="0" collapsed="false">
      <c r="A451" s="26"/>
      <c r="B451" s="27"/>
      <c r="C451" s="27"/>
      <c r="D451" s="28"/>
      <c r="E451" s="29"/>
      <c r="F451" s="29"/>
      <c r="G451" s="29"/>
      <c r="H451" s="29"/>
      <c r="I451" s="29"/>
    </row>
    <row r="452" customFormat="false" ht="15" hidden="false" customHeight="false" outlineLevel="0" collapsed="false">
      <c r="A452" s="26"/>
      <c r="B452" s="27"/>
      <c r="C452" s="27"/>
      <c r="D452" s="28"/>
      <c r="E452" s="29"/>
      <c r="F452" s="29"/>
      <c r="G452" s="29"/>
      <c r="H452" s="29"/>
      <c r="I452" s="29"/>
    </row>
    <row r="453" customFormat="false" ht="15" hidden="false" customHeight="false" outlineLevel="0" collapsed="false">
      <c r="A453" s="26"/>
      <c r="B453" s="27"/>
      <c r="C453" s="27"/>
      <c r="D453" s="28"/>
      <c r="E453" s="29"/>
      <c r="F453" s="29"/>
      <c r="G453" s="29"/>
      <c r="H453" s="29"/>
      <c r="I453" s="29"/>
    </row>
    <row r="454" customFormat="false" ht="15" hidden="false" customHeight="false" outlineLevel="0" collapsed="false">
      <c r="A454" s="26"/>
      <c r="B454" s="27"/>
      <c r="C454" s="27"/>
      <c r="D454" s="28"/>
      <c r="E454" s="29"/>
      <c r="F454" s="29"/>
      <c r="G454" s="29"/>
      <c r="H454" s="29"/>
      <c r="I454" s="29"/>
    </row>
    <row r="455" customFormat="false" ht="15" hidden="false" customHeight="false" outlineLevel="0" collapsed="false">
      <c r="A455" s="26"/>
      <c r="B455" s="27"/>
      <c r="C455" s="27"/>
      <c r="D455" s="28"/>
      <c r="E455" s="29"/>
      <c r="F455" s="29"/>
      <c r="G455" s="29"/>
      <c r="H455" s="29"/>
      <c r="I455" s="29"/>
    </row>
    <row r="456" customFormat="false" ht="15" hidden="false" customHeight="false" outlineLevel="0" collapsed="false">
      <c r="A456" s="26"/>
      <c r="B456" s="27"/>
      <c r="C456" s="27"/>
      <c r="D456" s="28"/>
      <c r="E456" s="29"/>
      <c r="F456" s="29"/>
      <c r="G456" s="29"/>
      <c r="H456" s="29"/>
      <c r="I456" s="29"/>
    </row>
    <row r="457" customFormat="false" ht="15" hidden="false" customHeight="false" outlineLevel="0" collapsed="false">
      <c r="A457" s="26"/>
      <c r="B457" s="27"/>
      <c r="C457" s="27"/>
      <c r="D457" s="28"/>
      <c r="E457" s="29"/>
      <c r="F457" s="29"/>
      <c r="G457" s="29"/>
      <c r="H457" s="29"/>
      <c r="I457" s="29"/>
    </row>
    <row r="458" customFormat="false" ht="15" hidden="false" customHeight="false" outlineLevel="0" collapsed="false">
      <c r="A458" s="26"/>
      <c r="B458" s="27"/>
      <c r="C458" s="27"/>
      <c r="D458" s="28"/>
      <c r="E458" s="29"/>
      <c r="F458" s="29"/>
      <c r="G458" s="29"/>
      <c r="H458" s="29"/>
      <c r="I458" s="29"/>
    </row>
    <row r="459" customFormat="false" ht="15" hidden="false" customHeight="false" outlineLevel="0" collapsed="false">
      <c r="A459" s="26"/>
      <c r="B459" s="27"/>
      <c r="C459" s="27"/>
      <c r="D459" s="28"/>
      <c r="E459" s="29"/>
      <c r="F459" s="29"/>
      <c r="G459" s="29"/>
      <c r="H459" s="29"/>
      <c r="I459" s="29"/>
    </row>
    <row r="460" customFormat="false" ht="15" hidden="false" customHeight="false" outlineLevel="0" collapsed="false">
      <c r="A460" s="26"/>
      <c r="B460" s="27"/>
      <c r="C460" s="27"/>
      <c r="D460" s="28"/>
      <c r="E460" s="29"/>
      <c r="F460" s="29"/>
      <c r="G460" s="29"/>
      <c r="H460" s="29"/>
      <c r="I460" s="29"/>
    </row>
    <row r="461" customFormat="false" ht="15" hidden="false" customHeight="false" outlineLevel="0" collapsed="false">
      <c r="A461" s="26"/>
      <c r="B461" s="27"/>
      <c r="C461" s="27"/>
      <c r="D461" s="28"/>
      <c r="E461" s="29"/>
      <c r="F461" s="29"/>
      <c r="G461" s="29"/>
      <c r="H461" s="29"/>
      <c r="I461" s="29"/>
    </row>
    <row r="462" customFormat="false" ht="15" hidden="false" customHeight="false" outlineLevel="0" collapsed="false">
      <c r="A462" s="26"/>
      <c r="B462" s="27"/>
      <c r="C462" s="27"/>
      <c r="D462" s="28"/>
      <c r="E462" s="29"/>
      <c r="F462" s="29"/>
      <c r="G462" s="29"/>
      <c r="H462" s="29"/>
      <c r="I462" s="29"/>
    </row>
    <row r="463" customFormat="false" ht="15" hidden="false" customHeight="false" outlineLevel="0" collapsed="false">
      <c r="A463" s="26"/>
      <c r="B463" s="27"/>
      <c r="C463" s="27"/>
      <c r="D463" s="28"/>
      <c r="E463" s="29"/>
      <c r="F463" s="29"/>
      <c r="G463" s="29"/>
      <c r="H463" s="29"/>
      <c r="I463" s="29"/>
    </row>
    <row r="464" customFormat="false" ht="15" hidden="false" customHeight="false" outlineLevel="0" collapsed="false">
      <c r="A464" s="26"/>
      <c r="B464" s="27"/>
      <c r="C464" s="27"/>
      <c r="D464" s="28"/>
      <c r="E464" s="29"/>
      <c r="F464" s="29"/>
      <c r="G464" s="29"/>
      <c r="H464" s="29"/>
      <c r="I464" s="29"/>
    </row>
    <row r="465" customFormat="false" ht="15" hidden="false" customHeight="false" outlineLevel="0" collapsed="false">
      <c r="A465" s="26"/>
      <c r="B465" s="27"/>
      <c r="C465" s="27"/>
      <c r="D465" s="28"/>
      <c r="E465" s="29"/>
      <c r="F465" s="29"/>
      <c r="G465" s="29"/>
      <c r="H465" s="29"/>
      <c r="I465" s="29"/>
    </row>
    <row r="466" customFormat="false" ht="15" hidden="false" customHeight="false" outlineLevel="0" collapsed="false">
      <c r="A466" s="26"/>
      <c r="B466" s="27"/>
      <c r="C466" s="27"/>
      <c r="D466" s="28"/>
      <c r="E466" s="29"/>
      <c r="F466" s="29"/>
      <c r="G466" s="29"/>
      <c r="H466" s="29"/>
      <c r="I466" s="29"/>
    </row>
    <row r="467" customFormat="false" ht="15" hidden="false" customHeight="false" outlineLevel="0" collapsed="false">
      <c r="A467" s="26"/>
      <c r="B467" s="27"/>
      <c r="C467" s="27"/>
      <c r="D467" s="28"/>
      <c r="E467" s="29"/>
      <c r="F467" s="29"/>
      <c r="G467" s="29"/>
      <c r="H467" s="29"/>
      <c r="I467" s="29"/>
    </row>
    <row r="468" customFormat="false" ht="15" hidden="false" customHeight="false" outlineLevel="0" collapsed="false">
      <c r="A468" s="26"/>
      <c r="B468" s="27"/>
      <c r="C468" s="27"/>
      <c r="D468" s="28"/>
      <c r="E468" s="29"/>
      <c r="F468" s="29"/>
      <c r="G468" s="29"/>
      <c r="H468" s="29"/>
      <c r="I468" s="29"/>
    </row>
    <row r="469" customFormat="false" ht="15" hidden="false" customHeight="false" outlineLevel="0" collapsed="false">
      <c r="A469" s="26"/>
      <c r="B469" s="27"/>
      <c r="C469" s="27"/>
      <c r="D469" s="28"/>
      <c r="E469" s="29"/>
      <c r="F469" s="29"/>
      <c r="G469" s="29"/>
      <c r="H469" s="29"/>
      <c r="I469" s="29"/>
    </row>
    <row r="470" customFormat="false" ht="15" hidden="false" customHeight="false" outlineLevel="0" collapsed="false">
      <c r="A470" s="26"/>
      <c r="B470" s="27"/>
      <c r="C470" s="27"/>
      <c r="D470" s="28"/>
      <c r="E470" s="29"/>
      <c r="F470" s="29"/>
      <c r="G470" s="29"/>
      <c r="H470" s="29"/>
      <c r="I470" s="29"/>
    </row>
    <row r="471" customFormat="false" ht="15" hidden="false" customHeight="false" outlineLevel="0" collapsed="false">
      <c r="A471" s="26"/>
      <c r="B471" s="27"/>
      <c r="C471" s="27"/>
      <c r="D471" s="28"/>
      <c r="E471" s="29"/>
      <c r="F471" s="29"/>
      <c r="G471" s="29"/>
      <c r="H471" s="29"/>
      <c r="I471" s="29"/>
    </row>
    <row r="472" customFormat="false" ht="15" hidden="false" customHeight="false" outlineLevel="0" collapsed="false">
      <c r="A472" s="26"/>
      <c r="B472" s="27"/>
      <c r="C472" s="27"/>
      <c r="D472" s="28"/>
      <c r="E472" s="29"/>
      <c r="F472" s="29"/>
      <c r="G472" s="29"/>
      <c r="H472" s="29"/>
      <c r="I472" s="29"/>
    </row>
    <row r="473" customFormat="false" ht="15" hidden="false" customHeight="false" outlineLevel="0" collapsed="false">
      <c r="A473" s="26"/>
      <c r="B473" s="27"/>
      <c r="C473" s="27"/>
      <c r="D473" s="28"/>
      <c r="E473" s="29"/>
      <c r="F473" s="29"/>
      <c r="G473" s="29"/>
      <c r="H473" s="29"/>
      <c r="I473" s="29"/>
    </row>
    <row r="474" customFormat="false" ht="15" hidden="false" customHeight="false" outlineLevel="0" collapsed="false">
      <c r="A474" s="26"/>
      <c r="B474" s="27"/>
      <c r="C474" s="27"/>
      <c r="D474" s="28"/>
      <c r="E474" s="29"/>
      <c r="F474" s="29"/>
      <c r="G474" s="29"/>
      <c r="H474" s="29"/>
      <c r="I474" s="29"/>
    </row>
    <row r="475" customFormat="false" ht="15" hidden="false" customHeight="false" outlineLevel="0" collapsed="false">
      <c r="A475" s="26"/>
      <c r="B475" s="27"/>
      <c r="C475" s="27"/>
      <c r="D475" s="28"/>
      <c r="E475" s="29"/>
      <c r="F475" s="29"/>
      <c r="G475" s="29"/>
      <c r="H475" s="29"/>
      <c r="I475" s="29"/>
    </row>
    <row r="476" customFormat="false" ht="15" hidden="false" customHeight="false" outlineLevel="0" collapsed="false">
      <c r="A476" s="26"/>
      <c r="B476" s="27"/>
      <c r="C476" s="27"/>
      <c r="D476" s="28"/>
      <c r="E476" s="29"/>
      <c r="F476" s="29"/>
      <c r="G476" s="29"/>
      <c r="H476" s="29"/>
      <c r="I476" s="29"/>
    </row>
    <row r="477" customFormat="false" ht="15" hidden="false" customHeight="false" outlineLevel="0" collapsed="false">
      <c r="A477" s="26"/>
      <c r="B477" s="27"/>
      <c r="C477" s="27"/>
      <c r="D477" s="28"/>
      <c r="E477" s="29"/>
      <c r="F477" s="29"/>
      <c r="G477" s="29"/>
      <c r="H477" s="29"/>
      <c r="I477" s="29"/>
    </row>
    <row r="478" customFormat="false" ht="15" hidden="false" customHeight="false" outlineLevel="0" collapsed="false">
      <c r="A478" s="26"/>
      <c r="B478" s="27"/>
      <c r="C478" s="27"/>
      <c r="D478" s="28"/>
      <c r="E478" s="29"/>
      <c r="F478" s="29"/>
      <c r="G478" s="29"/>
      <c r="H478" s="29"/>
      <c r="I478" s="29"/>
    </row>
    <row r="479" customFormat="false" ht="15" hidden="false" customHeight="false" outlineLevel="0" collapsed="false">
      <c r="A479" s="26"/>
      <c r="B479" s="27"/>
      <c r="C479" s="27"/>
      <c r="D479" s="28"/>
      <c r="E479" s="29"/>
      <c r="F479" s="29"/>
      <c r="G479" s="29"/>
      <c r="H479" s="29"/>
      <c r="I479" s="29"/>
    </row>
    <row r="480" customFormat="false" ht="15" hidden="false" customHeight="false" outlineLevel="0" collapsed="false">
      <c r="A480" s="26"/>
      <c r="B480" s="27"/>
      <c r="C480" s="27"/>
      <c r="D480" s="28"/>
      <c r="E480" s="29"/>
      <c r="F480" s="29"/>
      <c r="G480" s="29"/>
      <c r="H480" s="29"/>
      <c r="I480" s="29"/>
    </row>
    <row r="481" customFormat="false" ht="15" hidden="false" customHeight="false" outlineLevel="0" collapsed="false">
      <c r="A481" s="26"/>
      <c r="B481" s="27"/>
      <c r="C481" s="27"/>
      <c r="D481" s="28"/>
      <c r="E481" s="29"/>
      <c r="F481" s="29"/>
      <c r="G481" s="29"/>
      <c r="H481" s="29"/>
      <c r="I481" s="29"/>
    </row>
    <row r="482" customFormat="false" ht="15" hidden="false" customHeight="false" outlineLevel="0" collapsed="false">
      <c r="A482" s="26"/>
      <c r="B482" s="27"/>
      <c r="C482" s="27"/>
      <c r="D482" s="28"/>
      <c r="E482" s="29"/>
      <c r="F482" s="29"/>
      <c r="G482" s="29"/>
      <c r="H482" s="29"/>
      <c r="I482" s="29"/>
    </row>
    <row r="483" customFormat="false" ht="15" hidden="false" customHeight="false" outlineLevel="0" collapsed="false">
      <c r="A483" s="26"/>
      <c r="B483" s="27"/>
      <c r="C483" s="27"/>
      <c r="D483" s="28"/>
      <c r="E483" s="29"/>
      <c r="F483" s="29"/>
      <c r="G483" s="29"/>
      <c r="H483" s="29"/>
      <c r="I483" s="29"/>
    </row>
    <row r="484" customFormat="false" ht="15" hidden="false" customHeight="false" outlineLevel="0" collapsed="false">
      <c r="A484" s="26"/>
      <c r="B484" s="27"/>
      <c r="C484" s="27"/>
      <c r="D484" s="28"/>
      <c r="E484" s="29"/>
      <c r="F484" s="29"/>
      <c r="G484" s="29"/>
      <c r="H484" s="29"/>
      <c r="I484" s="29"/>
    </row>
    <row r="485" customFormat="false" ht="15" hidden="false" customHeight="false" outlineLevel="0" collapsed="false">
      <c r="A485" s="26"/>
      <c r="B485" s="27"/>
      <c r="C485" s="27"/>
      <c r="D485" s="28"/>
      <c r="E485" s="29"/>
      <c r="F485" s="29"/>
      <c r="G485" s="29"/>
      <c r="H485" s="29"/>
      <c r="I485" s="29"/>
    </row>
    <row r="486" customFormat="false" ht="15" hidden="false" customHeight="false" outlineLevel="0" collapsed="false">
      <c r="A486" s="26"/>
      <c r="B486" s="27"/>
      <c r="C486" s="27"/>
      <c r="D486" s="28"/>
      <c r="E486" s="29"/>
      <c r="F486" s="29"/>
      <c r="G486" s="29"/>
      <c r="H486" s="29"/>
      <c r="I486" s="29"/>
    </row>
    <row r="487" customFormat="false" ht="15" hidden="false" customHeight="false" outlineLevel="0" collapsed="false">
      <c r="A487" s="26"/>
      <c r="B487" s="27"/>
      <c r="C487" s="27"/>
      <c r="D487" s="28"/>
      <c r="E487" s="29"/>
      <c r="F487" s="29"/>
      <c r="G487" s="29"/>
      <c r="H487" s="29"/>
      <c r="I487" s="29"/>
    </row>
    <row r="488" customFormat="false" ht="15" hidden="false" customHeight="false" outlineLevel="0" collapsed="false">
      <c r="A488" s="26"/>
      <c r="B488" s="27"/>
      <c r="C488" s="27"/>
      <c r="D488" s="28"/>
      <c r="E488" s="29"/>
      <c r="F488" s="29"/>
      <c r="G488" s="29"/>
      <c r="H488" s="29"/>
      <c r="I488" s="29"/>
    </row>
    <row r="489" customFormat="false" ht="15" hidden="false" customHeight="false" outlineLevel="0" collapsed="false">
      <c r="A489" s="26"/>
      <c r="B489" s="27"/>
      <c r="C489" s="27"/>
      <c r="D489" s="28"/>
      <c r="E489" s="29"/>
      <c r="F489" s="29"/>
      <c r="G489" s="29"/>
      <c r="H489" s="29"/>
      <c r="I489" s="29"/>
    </row>
    <row r="490" customFormat="false" ht="15" hidden="false" customHeight="false" outlineLevel="0" collapsed="false">
      <c r="A490" s="26"/>
      <c r="B490" s="27"/>
      <c r="C490" s="27"/>
      <c r="D490" s="28"/>
      <c r="E490" s="29"/>
      <c r="F490" s="29"/>
      <c r="G490" s="29"/>
      <c r="H490" s="29"/>
      <c r="I490" s="29"/>
    </row>
    <row r="491" customFormat="false" ht="15" hidden="false" customHeight="false" outlineLevel="0" collapsed="false">
      <c r="A491" s="26"/>
      <c r="B491" s="27"/>
      <c r="C491" s="27"/>
      <c r="D491" s="28"/>
      <c r="E491" s="29"/>
      <c r="F491" s="29"/>
      <c r="G491" s="29"/>
      <c r="H491" s="29"/>
      <c r="I491" s="29"/>
    </row>
    <row r="492" customFormat="false" ht="15" hidden="false" customHeight="false" outlineLevel="0" collapsed="false">
      <c r="A492" s="26"/>
      <c r="B492" s="27"/>
      <c r="C492" s="27"/>
      <c r="D492" s="28"/>
      <c r="E492" s="29"/>
      <c r="F492" s="29"/>
      <c r="G492" s="29"/>
      <c r="H492" s="29"/>
      <c r="I492" s="29"/>
    </row>
    <row r="493" customFormat="false" ht="15" hidden="false" customHeight="false" outlineLevel="0" collapsed="false">
      <c r="A493" s="26"/>
      <c r="B493" s="27"/>
      <c r="C493" s="27"/>
      <c r="D493" s="28"/>
      <c r="E493" s="29"/>
      <c r="F493" s="29"/>
      <c r="G493" s="29"/>
      <c r="H493" s="29"/>
      <c r="I493" s="29"/>
    </row>
    <row r="494" customFormat="false" ht="15" hidden="false" customHeight="false" outlineLevel="0" collapsed="false">
      <c r="A494" s="26"/>
      <c r="B494" s="27"/>
      <c r="C494" s="27"/>
      <c r="D494" s="28"/>
      <c r="E494" s="29"/>
      <c r="F494" s="29"/>
      <c r="G494" s="29"/>
      <c r="H494" s="29"/>
      <c r="I494" s="29"/>
    </row>
    <row r="495" customFormat="false" ht="15" hidden="false" customHeight="false" outlineLevel="0" collapsed="false">
      <c r="A495" s="26"/>
      <c r="B495" s="27"/>
      <c r="C495" s="27"/>
      <c r="D495" s="28"/>
      <c r="E495" s="29"/>
      <c r="F495" s="29"/>
      <c r="G495" s="29"/>
      <c r="H495" s="29"/>
      <c r="I495" s="29"/>
    </row>
    <row r="496" customFormat="false" ht="15" hidden="false" customHeight="false" outlineLevel="0" collapsed="false">
      <c r="A496" s="26"/>
      <c r="B496" s="27"/>
      <c r="C496" s="27"/>
      <c r="D496" s="28"/>
      <c r="E496" s="29"/>
      <c r="F496" s="29"/>
      <c r="G496" s="29"/>
      <c r="H496" s="29"/>
      <c r="I496" s="29"/>
    </row>
    <row r="497" customFormat="false" ht="15" hidden="false" customHeight="false" outlineLevel="0" collapsed="false">
      <c r="A497" s="26"/>
      <c r="B497" s="27"/>
      <c r="C497" s="27"/>
      <c r="D497" s="28"/>
      <c r="E497" s="29"/>
      <c r="F497" s="29"/>
      <c r="G497" s="29"/>
      <c r="H497" s="29"/>
      <c r="I497" s="29"/>
    </row>
    <row r="498" customFormat="false" ht="15" hidden="false" customHeight="false" outlineLevel="0" collapsed="false">
      <c r="A498" s="26"/>
      <c r="B498" s="27"/>
      <c r="C498" s="27"/>
      <c r="D498" s="28"/>
      <c r="E498" s="29"/>
      <c r="F498" s="29"/>
      <c r="G498" s="29"/>
      <c r="H498" s="29"/>
      <c r="I498" s="29"/>
    </row>
    <row r="499" customFormat="false" ht="15" hidden="false" customHeight="false" outlineLevel="0" collapsed="false">
      <c r="A499" s="26"/>
      <c r="B499" s="27"/>
      <c r="C499" s="27"/>
      <c r="D499" s="28"/>
      <c r="E499" s="29"/>
      <c r="F499" s="29"/>
      <c r="G499" s="29"/>
      <c r="H499" s="29"/>
      <c r="I499" s="29"/>
    </row>
    <row r="500" customFormat="false" ht="15" hidden="false" customHeight="false" outlineLevel="0" collapsed="false">
      <c r="A500" s="26"/>
      <c r="B500" s="27"/>
      <c r="C500" s="27"/>
      <c r="D500" s="28"/>
      <c r="E500" s="29"/>
      <c r="F500" s="29"/>
      <c r="G500" s="29"/>
      <c r="H500" s="29"/>
      <c r="I500" s="29"/>
    </row>
    <row r="501" customFormat="false" ht="15" hidden="false" customHeight="false" outlineLevel="0" collapsed="false">
      <c r="A501" s="26"/>
      <c r="B501" s="27"/>
      <c r="C501" s="27"/>
      <c r="D501" s="28"/>
      <c r="E501" s="29"/>
      <c r="F501" s="29"/>
      <c r="G501" s="29"/>
      <c r="H501" s="29"/>
      <c r="I501" s="29"/>
    </row>
    <row r="502" customFormat="false" ht="15" hidden="false" customHeight="false" outlineLevel="0" collapsed="false">
      <c r="A502" s="26"/>
      <c r="B502" s="27"/>
      <c r="C502" s="27"/>
      <c r="D502" s="28"/>
      <c r="E502" s="29"/>
      <c r="F502" s="29"/>
      <c r="G502" s="29"/>
      <c r="H502" s="29"/>
      <c r="I502" s="29"/>
    </row>
    <row r="503" customFormat="false" ht="15" hidden="false" customHeight="false" outlineLevel="0" collapsed="false">
      <c r="A503" s="26"/>
      <c r="B503" s="27"/>
      <c r="C503" s="27"/>
      <c r="D503" s="28"/>
      <c r="E503" s="29"/>
      <c r="F503" s="29"/>
      <c r="G503" s="29"/>
      <c r="H503" s="29"/>
      <c r="I503" s="29"/>
    </row>
    <row r="504" customFormat="false" ht="15" hidden="false" customHeight="false" outlineLevel="0" collapsed="false">
      <c r="A504" s="26"/>
      <c r="B504" s="27"/>
      <c r="C504" s="27"/>
      <c r="D504" s="28"/>
      <c r="E504" s="29"/>
      <c r="F504" s="29"/>
      <c r="G504" s="29"/>
      <c r="H504" s="29"/>
      <c r="I504" s="29"/>
    </row>
    <row r="505" customFormat="false" ht="15" hidden="false" customHeight="false" outlineLevel="0" collapsed="false">
      <c r="A505" s="26"/>
      <c r="B505" s="27"/>
      <c r="C505" s="27"/>
      <c r="D505" s="28"/>
      <c r="E505" s="29"/>
      <c r="F505" s="29"/>
      <c r="G505" s="29"/>
      <c r="H505" s="29"/>
      <c r="I505" s="29"/>
    </row>
    <row r="506" customFormat="false" ht="15" hidden="false" customHeight="false" outlineLevel="0" collapsed="false">
      <c r="A506" s="26"/>
      <c r="B506" s="27"/>
      <c r="C506" s="27"/>
      <c r="D506" s="28"/>
      <c r="E506" s="29"/>
      <c r="F506" s="29"/>
      <c r="G506" s="29"/>
      <c r="H506" s="29"/>
      <c r="I506" s="29"/>
    </row>
    <row r="507" customFormat="false" ht="15" hidden="false" customHeight="false" outlineLevel="0" collapsed="false">
      <c r="A507" s="26"/>
      <c r="B507" s="27"/>
      <c r="C507" s="27"/>
      <c r="D507" s="28"/>
      <c r="E507" s="29"/>
      <c r="F507" s="29"/>
      <c r="G507" s="29"/>
      <c r="H507" s="29"/>
      <c r="I507" s="29"/>
    </row>
    <row r="508" customFormat="false" ht="15" hidden="false" customHeight="false" outlineLevel="0" collapsed="false">
      <c r="A508" s="26"/>
      <c r="B508" s="27"/>
      <c r="C508" s="27"/>
      <c r="D508" s="28"/>
      <c r="E508" s="29"/>
      <c r="F508" s="29"/>
      <c r="G508" s="29"/>
      <c r="H508" s="29"/>
      <c r="I508" s="29"/>
    </row>
    <row r="509" customFormat="false" ht="15" hidden="false" customHeight="false" outlineLevel="0" collapsed="false">
      <c r="A509" s="26"/>
      <c r="B509" s="27"/>
      <c r="C509" s="27"/>
      <c r="D509" s="28"/>
      <c r="E509" s="29"/>
      <c r="F509" s="29"/>
      <c r="G509" s="29"/>
      <c r="H509" s="29"/>
      <c r="I509" s="29"/>
    </row>
    <row r="510" customFormat="false" ht="15" hidden="false" customHeight="false" outlineLevel="0" collapsed="false">
      <c r="A510" s="26"/>
      <c r="B510" s="27"/>
      <c r="C510" s="27"/>
      <c r="D510" s="28"/>
      <c r="E510" s="29"/>
      <c r="F510" s="29"/>
      <c r="G510" s="29"/>
      <c r="H510" s="29"/>
      <c r="I510" s="29"/>
    </row>
    <row r="511" customFormat="false" ht="15" hidden="false" customHeight="false" outlineLevel="0" collapsed="false">
      <c r="A511" s="26"/>
      <c r="B511" s="27"/>
      <c r="C511" s="27"/>
      <c r="D511" s="28"/>
      <c r="E511" s="29"/>
      <c r="F511" s="29"/>
      <c r="G511" s="29"/>
      <c r="H511" s="29"/>
      <c r="I511" s="29"/>
    </row>
    <row r="512" customFormat="false" ht="15" hidden="false" customHeight="false" outlineLevel="0" collapsed="false">
      <c r="A512" s="26"/>
      <c r="B512" s="27"/>
      <c r="C512" s="27"/>
      <c r="D512" s="28"/>
      <c r="E512" s="29"/>
      <c r="F512" s="29"/>
      <c r="G512" s="29"/>
      <c r="H512" s="29"/>
      <c r="I512" s="29"/>
    </row>
    <row r="513" customFormat="false" ht="15" hidden="false" customHeight="false" outlineLevel="0" collapsed="false">
      <c r="A513" s="26"/>
      <c r="B513" s="27"/>
      <c r="C513" s="27"/>
      <c r="D513" s="28"/>
      <c r="E513" s="29"/>
      <c r="F513" s="29"/>
      <c r="G513" s="29"/>
      <c r="H513" s="29"/>
      <c r="I513" s="29"/>
    </row>
    <row r="514" customFormat="false" ht="15" hidden="false" customHeight="false" outlineLevel="0" collapsed="false">
      <c r="A514" s="26"/>
      <c r="B514" s="27"/>
      <c r="C514" s="27"/>
      <c r="D514" s="28"/>
      <c r="E514" s="29"/>
      <c r="F514" s="29"/>
      <c r="G514" s="29"/>
      <c r="H514" s="29"/>
      <c r="I514" s="29"/>
    </row>
    <row r="515" customFormat="false" ht="15" hidden="false" customHeight="false" outlineLevel="0" collapsed="false">
      <c r="A515" s="26"/>
      <c r="B515" s="27"/>
      <c r="C515" s="27"/>
      <c r="D515" s="28"/>
      <c r="E515" s="29"/>
      <c r="F515" s="29"/>
      <c r="G515" s="29"/>
      <c r="H515" s="29"/>
      <c r="I515" s="29"/>
    </row>
    <row r="516" customFormat="false" ht="15" hidden="false" customHeight="false" outlineLevel="0" collapsed="false">
      <c r="A516" s="26"/>
      <c r="B516" s="27"/>
      <c r="C516" s="27"/>
      <c r="D516" s="28"/>
      <c r="E516" s="29"/>
      <c r="F516" s="29"/>
      <c r="G516" s="29"/>
      <c r="H516" s="29"/>
      <c r="I516" s="29"/>
    </row>
    <row r="517" customFormat="false" ht="15" hidden="false" customHeight="false" outlineLevel="0" collapsed="false">
      <c r="A517" s="26"/>
      <c r="B517" s="27"/>
      <c r="C517" s="27"/>
      <c r="D517" s="28"/>
      <c r="E517" s="29"/>
      <c r="F517" s="29"/>
      <c r="G517" s="29"/>
      <c r="H517" s="29"/>
      <c r="I517" s="29"/>
    </row>
    <row r="518" customFormat="false" ht="15" hidden="false" customHeight="false" outlineLevel="0" collapsed="false">
      <c r="A518" s="26"/>
      <c r="B518" s="27"/>
      <c r="C518" s="27"/>
      <c r="D518" s="28"/>
      <c r="E518" s="29"/>
      <c r="F518" s="29"/>
      <c r="G518" s="29"/>
      <c r="H518" s="29"/>
      <c r="I518" s="29"/>
    </row>
    <row r="519" customFormat="false" ht="15" hidden="false" customHeight="false" outlineLevel="0" collapsed="false">
      <c r="A519" s="26"/>
      <c r="B519" s="27"/>
      <c r="C519" s="27"/>
      <c r="D519" s="28"/>
      <c r="E519" s="29"/>
      <c r="F519" s="29"/>
      <c r="G519" s="29"/>
      <c r="H519" s="29"/>
      <c r="I519" s="29"/>
    </row>
    <row r="520" customFormat="false" ht="15" hidden="false" customHeight="false" outlineLevel="0" collapsed="false">
      <c r="A520" s="26"/>
      <c r="B520" s="27"/>
      <c r="C520" s="27"/>
      <c r="D520" s="28"/>
      <c r="E520" s="29"/>
      <c r="F520" s="29"/>
      <c r="G520" s="29"/>
      <c r="H520" s="29"/>
      <c r="I520" s="29"/>
    </row>
    <row r="521" customFormat="false" ht="15" hidden="false" customHeight="false" outlineLevel="0" collapsed="false">
      <c r="A521" s="26"/>
      <c r="B521" s="27"/>
      <c r="C521" s="27"/>
      <c r="D521" s="28"/>
      <c r="E521" s="29"/>
      <c r="F521" s="29"/>
      <c r="G521" s="29"/>
      <c r="H521" s="29"/>
      <c r="I521" s="29"/>
    </row>
    <row r="522" customFormat="false" ht="15" hidden="false" customHeight="false" outlineLevel="0" collapsed="false">
      <c r="A522" s="26"/>
      <c r="B522" s="27"/>
      <c r="C522" s="27"/>
      <c r="D522" s="28"/>
      <c r="E522" s="29"/>
      <c r="F522" s="29"/>
      <c r="G522" s="29"/>
      <c r="H522" s="29"/>
      <c r="I522" s="29"/>
    </row>
    <row r="523" customFormat="false" ht="15" hidden="false" customHeight="false" outlineLevel="0" collapsed="false">
      <c r="A523" s="26"/>
      <c r="B523" s="27"/>
      <c r="C523" s="27"/>
      <c r="D523" s="28"/>
      <c r="E523" s="29"/>
      <c r="F523" s="29"/>
      <c r="G523" s="29"/>
      <c r="H523" s="29"/>
      <c r="I523" s="29"/>
    </row>
    <row r="524" customFormat="false" ht="15" hidden="false" customHeight="false" outlineLevel="0" collapsed="false">
      <c r="A524" s="26"/>
      <c r="B524" s="27"/>
      <c r="C524" s="27"/>
      <c r="D524" s="28"/>
      <c r="E524" s="29"/>
      <c r="F524" s="29"/>
      <c r="G524" s="29"/>
      <c r="H524" s="29"/>
      <c r="I524" s="29"/>
    </row>
    <row r="525" customFormat="false" ht="15" hidden="false" customHeight="false" outlineLevel="0" collapsed="false">
      <c r="A525" s="26"/>
      <c r="B525" s="27"/>
      <c r="C525" s="27"/>
      <c r="D525" s="28"/>
      <c r="E525" s="29"/>
      <c r="F525" s="29"/>
      <c r="G525" s="29"/>
      <c r="H525" s="29"/>
      <c r="I525" s="29"/>
    </row>
    <row r="526" customFormat="false" ht="15" hidden="false" customHeight="false" outlineLevel="0" collapsed="false">
      <c r="A526" s="26"/>
      <c r="B526" s="27"/>
      <c r="C526" s="27"/>
      <c r="D526" s="28"/>
      <c r="E526" s="29"/>
      <c r="F526" s="29"/>
      <c r="G526" s="29"/>
      <c r="H526" s="29"/>
      <c r="I526" s="29"/>
    </row>
    <row r="527" customFormat="false" ht="15" hidden="false" customHeight="false" outlineLevel="0" collapsed="false">
      <c r="A527" s="26"/>
      <c r="B527" s="27"/>
      <c r="C527" s="27"/>
      <c r="D527" s="28"/>
      <c r="E527" s="29"/>
      <c r="F527" s="29"/>
      <c r="G527" s="29"/>
      <c r="H527" s="29"/>
      <c r="I527" s="29"/>
    </row>
    <row r="528" customFormat="false" ht="15" hidden="false" customHeight="false" outlineLevel="0" collapsed="false">
      <c r="A528" s="26"/>
      <c r="B528" s="27"/>
      <c r="C528" s="27"/>
      <c r="D528" s="28"/>
      <c r="E528" s="29"/>
      <c r="F528" s="29"/>
      <c r="G528" s="29"/>
      <c r="H528" s="29"/>
      <c r="I528" s="29"/>
    </row>
    <row r="529" customFormat="false" ht="15" hidden="false" customHeight="false" outlineLevel="0" collapsed="false">
      <c r="A529" s="26"/>
      <c r="B529" s="27"/>
      <c r="C529" s="27"/>
      <c r="D529" s="28"/>
      <c r="E529" s="29"/>
      <c r="F529" s="29"/>
      <c r="G529" s="29"/>
      <c r="H529" s="29"/>
      <c r="I529" s="29"/>
    </row>
    <row r="530" customFormat="false" ht="15" hidden="false" customHeight="false" outlineLevel="0" collapsed="false">
      <c r="A530" s="26"/>
      <c r="B530" s="27"/>
      <c r="C530" s="27"/>
      <c r="D530" s="28"/>
      <c r="E530" s="29"/>
      <c r="F530" s="29"/>
      <c r="G530" s="29"/>
      <c r="H530" s="29"/>
      <c r="I530" s="29"/>
    </row>
    <row r="531" customFormat="false" ht="15" hidden="false" customHeight="false" outlineLevel="0" collapsed="false">
      <c r="A531" s="26"/>
      <c r="B531" s="27"/>
      <c r="C531" s="27"/>
      <c r="D531" s="28"/>
      <c r="E531" s="29"/>
      <c r="F531" s="29"/>
      <c r="G531" s="29"/>
      <c r="H531" s="29"/>
      <c r="I531" s="29"/>
    </row>
    <row r="532" customFormat="false" ht="15" hidden="false" customHeight="false" outlineLevel="0" collapsed="false">
      <c r="A532" s="26"/>
      <c r="B532" s="27"/>
      <c r="C532" s="27"/>
      <c r="D532" s="28"/>
      <c r="E532" s="29"/>
      <c r="F532" s="29"/>
      <c r="G532" s="29"/>
      <c r="H532" s="29"/>
      <c r="I532" s="29"/>
    </row>
    <row r="533" customFormat="false" ht="15" hidden="false" customHeight="false" outlineLevel="0" collapsed="false">
      <c r="A533" s="26"/>
      <c r="B533" s="27"/>
      <c r="C533" s="27"/>
      <c r="D533" s="28"/>
      <c r="E533" s="29"/>
      <c r="F533" s="29"/>
      <c r="G533" s="29"/>
      <c r="H533" s="29"/>
      <c r="I533" s="29"/>
    </row>
    <row r="534" customFormat="false" ht="15" hidden="false" customHeight="false" outlineLevel="0" collapsed="false">
      <c r="A534" s="26"/>
      <c r="B534" s="27"/>
      <c r="C534" s="27"/>
      <c r="D534" s="28"/>
      <c r="E534" s="29"/>
      <c r="F534" s="29"/>
      <c r="G534" s="29"/>
      <c r="H534" s="29"/>
      <c r="I534" s="29"/>
    </row>
    <row r="535" customFormat="false" ht="15" hidden="false" customHeight="false" outlineLevel="0" collapsed="false">
      <c r="A535" s="26"/>
      <c r="B535" s="27"/>
      <c r="C535" s="27"/>
      <c r="D535" s="28"/>
      <c r="E535" s="29"/>
      <c r="F535" s="29"/>
      <c r="G535" s="29"/>
      <c r="H535" s="29"/>
      <c r="I535" s="29"/>
    </row>
    <row r="536" customFormat="false" ht="15" hidden="false" customHeight="false" outlineLevel="0" collapsed="false">
      <c r="A536" s="26"/>
      <c r="B536" s="27"/>
      <c r="C536" s="27"/>
      <c r="D536" s="28"/>
      <c r="E536" s="29"/>
      <c r="F536" s="29"/>
      <c r="G536" s="29"/>
      <c r="H536" s="29"/>
      <c r="I536" s="29"/>
    </row>
    <row r="537" customFormat="false" ht="15" hidden="false" customHeight="false" outlineLevel="0" collapsed="false">
      <c r="A537" s="26"/>
      <c r="B537" s="27"/>
      <c r="C537" s="27"/>
      <c r="D537" s="28"/>
      <c r="E537" s="29"/>
      <c r="F537" s="29"/>
      <c r="G537" s="29"/>
      <c r="H537" s="29"/>
      <c r="I537" s="29"/>
    </row>
    <row r="538" customFormat="false" ht="15" hidden="false" customHeight="false" outlineLevel="0" collapsed="false">
      <c r="A538" s="26"/>
      <c r="B538" s="27"/>
      <c r="C538" s="27"/>
      <c r="D538" s="28"/>
      <c r="E538" s="29"/>
      <c r="F538" s="29"/>
      <c r="G538" s="29"/>
      <c r="H538" s="29"/>
      <c r="I538" s="29"/>
    </row>
    <row r="539" customFormat="false" ht="15" hidden="false" customHeight="false" outlineLevel="0" collapsed="false">
      <c r="A539" s="26"/>
      <c r="B539" s="27"/>
      <c r="C539" s="27"/>
      <c r="D539" s="28"/>
      <c r="E539" s="29"/>
      <c r="F539" s="29"/>
      <c r="G539" s="29"/>
      <c r="H539" s="29"/>
      <c r="I539" s="29"/>
    </row>
    <row r="540" customFormat="false" ht="15" hidden="false" customHeight="false" outlineLevel="0" collapsed="false">
      <c r="A540" s="26"/>
      <c r="B540" s="27"/>
      <c r="C540" s="27"/>
      <c r="D540" s="28"/>
      <c r="E540" s="29"/>
      <c r="F540" s="29"/>
      <c r="G540" s="29"/>
      <c r="H540" s="29"/>
      <c r="I540" s="29"/>
    </row>
    <row r="541" customFormat="false" ht="15" hidden="false" customHeight="false" outlineLevel="0" collapsed="false">
      <c r="A541" s="26"/>
      <c r="B541" s="27"/>
      <c r="C541" s="27"/>
      <c r="D541" s="28"/>
      <c r="E541" s="29"/>
      <c r="F541" s="29"/>
      <c r="G541" s="29"/>
      <c r="H541" s="29"/>
      <c r="I541" s="29"/>
    </row>
    <row r="542" customFormat="false" ht="15" hidden="false" customHeight="false" outlineLevel="0" collapsed="false">
      <c r="A542" s="26"/>
      <c r="B542" s="27"/>
      <c r="C542" s="27"/>
      <c r="D542" s="28"/>
      <c r="E542" s="29"/>
      <c r="F542" s="29"/>
      <c r="G542" s="29"/>
      <c r="H542" s="29"/>
      <c r="I542" s="29"/>
    </row>
    <row r="543" customFormat="false" ht="15" hidden="false" customHeight="false" outlineLevel="0" collapsed="false">
      <c r="A543" s="26"/>
      <c r="B543" s="27"/>
      <c r="C543" s="27"/>
      <c r="D543" s="28"/>
      <c r="E543" s="29"/>
      <c r="F543" s="29"/>
      <c r="G543" s="29"/>
      <c r="H543" s="29"/>
      <c r="I543" s="29"/>
    </row>
    <row r="544" customFormat="false" ht="15" hidden="false" customHeight="false" outlineLevel="0" collapsed="false">
      <c r="A544" s="26"/>
      <c r="B544" s="27"/>
      <c r="C544" s="27"/>
      <c r="D544" s="28"/>
      <c r="E544" s="29"/>
      <c r="F544" s="29"/>
      <c r="G544" s="29"/>
      <c r="H544" s="29"/>
      <c r="I544" s="29"/>
    </row>
    <row r="545" customFormat="false" ht="15" hidden="false" customHeight="false" outlineLevel="0" collapsed="false">
      <c r="A545" s="26"/>
      <c r="B545" s="27"/>
      <c r="C545" s="27"/>
      <c r="D545" s="28"/>
      <c r="E545" s="29"/>
      <c r="F545" s="29"/>
      <c r="G545" s="29"/>
      <c r="H545" s="29"/>
      <c r="I545" s="29"/>
    </row>
    <row r="546" customFormat="false" ht="15" hidden="false" customHeight="false" outlineLevel="0" collapsed="false">
      <c r="A546" s="26"/>
      <c r="B546" s="27"/>
      <c r="C546" s="27"/>
      <c r="D546" s="28"/>
      <c r="E546" s="29"/>
      <c r="F546" s="29"/>
      <c r="G546" s="29"/>
      <c r="H546" s="29"/>
      <c r="I546" s="29"/>
    </row>
    <row r="547" customFormat="false" ht="15" hidden="false" customHeight="false" outlineLevel="0" collapsed="false">
      <c r="A547" s="26"/>
      <c r="B547" s="27"/>
      <c r="C547" s="27"/>
      <c r="D547" s="28"/>
      <c r="E547" s="29"/>
      <c r="F547" s="29"/>
      <c r="G547" s="29"/>
      <c r="H547" s="29"/>
      <c r="I547" s="29"/>
    </row>
    <row r="548" customFormat="false" ht="15" hidden="false" customHeight="false" outlineLevel="0" collapsed="false">
      <c r="A548" s="26"/>
      <c r="B548" s="27"/>
      <c r="C548" s="27"/>
      <c r="D548" s="28"/>
      <c r="E548" s="29"/>
      <c r="F548" s="29"/>
      <c r="G548" s="29"/>
      <c r="H548" s="29"/>
      <c r="I548" s="29"/>
    </row>
    <row r="549" customFormat="false" ht="15" hidden="false" customHeight="false" outlineLevel="0" collapsed="false">
      <c r="A549" s="26"/>
      <c r="B549" s="27"/>
      <c r="C549" s="27"/>
      <c r="D549" s="28"/>
      <c r="E549" s="29"/>
      <c r="F549" s="29"/>
      <c r="G549" s="29"/>
      <c r="H549" s="29"/>
      <c r="I549" s="29"/>
    </row>
    <row r="550" customFormat="false" ht="15" hidden="false" customHeight="false" outlineLevel="0" collapsed="false">
      <c r="A550" s="26"/>
      <c r="B550" s="27"/>
      <c r="C550" s="27"/>
      <c r="D550" s="28"/>
      <c r="E550" s="29"/>
      <c r="F550" s="29"/>
      <c r="G550" s="29"/>
      <c r="H550" s="29"/>
      <c r="I550" s="29"/>
    </row>
    <row r="551" customFormat="false" ht="15" hidden="false" customHeight="false" outlineLevel="0" collapsed="false">
      <c r="A551" s="26"/>
      <c r="B551" s="27"/>
      <c r="C551" s="27"/>
      <c r="D551" s="28"/>
      <c r="E551" s="29"/>
      <c r="F551" s="29"/>
      <c r="G551" s="29"/>
      <c r="H551" s="29"/>
      <c r="I551" s="29"/>
    </row>
    <row r="552" customFormat="false" ht="15" hidden="false" customHeight="false" outlineLevel="0" collapsed="false">
      <c r="A552" s="26"/>
      <c r="B552" s="27"/>
      <c r="C552" s="27"/>
      <c r="D552" s="28"/>
      <c r="E552" s="29"/>
      <c r="F552" s="29"/>
      <c r="G552" s="29"/>
      <c r="H552" s="29"/>
      <c r="I552" s="29"/>
    </row>
    <row r="553" customFormat="false" ht="15" hidden="false" customHeight="false" outlineLevel="0" collapsed="false">
      <c r="A553" s="26"/>
      <c r="B553" s="27"/>
      <c r="C553" s="27"/>
      <c r="D553" s="28"/>
      <c r="E553" s="29"/>
      <c r="F553" s="29"/>
      <c r="G553" s="29"/>
      <c r="H553" s="29"/>
      <c r="I553" s="29"/>
    </row>
    <row r="554" customFormat="false" ht="15" hidden="false" customHeight="false" outlineLevel="0" collapsed="false">
      <c r="A554" s="26"/>
      <c r="B554" s="27"/>
      <c r="C554" s="27"/>
      <c r="D554" s="28"/>
      <c r="E554" s="29"/>
      <c r="F554" s="29"/>
      <c r="G554" s="29"/>
      <c r="H554" s="29"/>
      <c r="I554" s="29"/>
    </row>
    <row r="555" customFormat="false" ht="15" hidden="false" customHeight="false" outlineLevel="0" collapsed="false">
      <c r="A555" s="26"/>
      <c r="B555" s="27"/>
      <c r="C555" s="27"/>
      <c r="D555" s="28"/>
      <c r="E555" s="29"/>
      <c r="F555" s="29"/>
      <c r="G555" s="29"/>
      <c r="H555" s="29"/>
      <c r="I555" s="29"/>
    </row>
    <row r="556" customFormat="false" ht="15" hidden="false" customHeight="false" outlineLevel="0" collapsed="false">
      <c r="A556" s="26"/>
      <c r="B556" s="27"/>
      <c r="C556" s="27"/>
      <c r="D556" s="28"/>
      <c r="E556" s="29"/>
      <c r="F556" s="29"/>
      <c r="G556" s="29"/>
      <c r="H556" s="29"/>
      <c r="I556" s="29"/>
    </row>
    <row r="557" customFormat="false" ht="15" hidden="false" customHeight="false" outlineLevel="0" collapsed="false">
      <c r="A557" s="26"/>
      <c r="B557" s="27"/>
      <c r="C557" s="27"/>
      <c r="D557" s="28"/>
      <c r="E557" s="29"/>
      <c r="F557" s="29"/>
      <c r="G557" s="29"/>
      <c r="H557" s="29"/>
      <c r="I557" s="29"/>
    </row>
    <row r="558" customFormat="false" ht="15" hidden="false" customHeight="false" outlineLevel="0" collapsed="false">
      <c r="A558" s="26"/>
      <c r="B558" s="27"/>
      <c r="C558" s="27"/>
      <c r="D558" s="28"/>
      <c r="E558" s="29"/>
      <c r="F558" s="29"/>
      <c r="G558" s="29"/>
      <c r="H558" s="29"/>
      <c r="I558" s="29"/>
    </row>
    <row r="559" customFormat="false" ht="15" hidden="false" customHeight="false" outlineLevel="0" collapsed="false">
      <c r="A559" s="26"/>
      <c r="B559" s="27"/>
      <c r="C559" s="27"/>
      <c r="D559" s="28"/>
      <c r="E559" s="29"/>
      <c r="F559" s="29"/>
      <c r="G559" s="29"/>
      <c r="H559" s="29"/>
      <c r="I559" s="29"/>
    </row>
    <row r="560" customFormat="false" ht="15" hidden="false" customHeight="false" outlineLevel="0" collapsed="false">
      <c r="A560" s="26"/>
      <c r="B560" s="27"/>
      <c r="C560" s="27"/>
      <c r="D560" s="28"/>
      <c r="E560" s="29"/>
      <c r="F560" s="29"/>
      <c r="G560" s="29"/>
      <c r="H560" s="29"/>
      <c r="I560" s="29"/>
    </row>
    <row r="561" customFormat="false" ht="15" hidden="false" customHeight="false" outlineLevel="0" collapsed="false">
      <c r="A561" s="26"/>
      <c r="B561" s="27"/>
      <c r="C561" s="27"/>
      <c r="D561" s="28"/>
      <c r="E561" s="29"/>
      <c r="F561" s="29"/>
      <c r="G561" s="29"/>
      <c r="H561" s="29"/>
      <c r="I561" s="29"/>
    </row>
    <row r="562" customFormat="false" ht="15" hidden="false" customHeight="false" outlineLevel="0" collapsed="false">
      <c r="A562" s="26"/>
      <c r="B562" s="27"/>
      <c r="C562" s="27"/>
      <c r="D562" s="28"/>
      <c r="E562" s="29"/>
      <c r="F562" s="29"/>
      <c r="G562" s="29"/>
      <c r="H562" s="29"/>
      <c r="I562" s="29"/>
    </row>
    <row r="563" customFormat="false" ht="15" hidden="false" customHeight="false" outlineLevel="0" collapsed="false">
      <c r="A563" s="26"/>
      <c r="B563" s="27"/>
      <c r="C563" s="27"/>
      <c r="D563" s="28"/>
      <c r="E563" s="29"/>
      <c r="F563" s="29"/>
      <c r="G563" s="29"/>
      <c r="H563" s="29"/>
      <c r="I563" s="29"/>
    </row>
    <row r="564" customFormat="false" ht="15" hidden="false" customHeight="false" outlineLevel="0" collapsed="false">
      <c r="A564" s="26"/>
      <c r="B564" s="27"/>
      <c r="C564" s="27"/>
      <c r="D564" s="28"/>
      <c r="E564" s="29"/>
      <c r="F564" s="29"/>
      <c r="G564" s="29"/>
      <c r="H564" s="29"/>
      <c r="I564" s="29"/>
    </row>
    <row r="565" customFormat="false" ht="15" hidden="false" customHeight="false" outlineLevel="0" collapsed="false">
      <c r="A565" s="26"/>
      <c r="B565" s="27"/>
      <c r="C565" s="27"/>
      <c r="D565" s="28"/>
      <c r="E565" s="29"/>
      <c r="F565" s="29"/>
      <c r="G565" s="29"/>
      <c r="H565" s="29"/>
      <c r="I565" s="29"/>
    </row>
    <row r="566" customFormat="false" ht="15" hidden="false" customHeight="false" outlineLevel="0" collapsed="false">
      <c r="A566" s="26"/>
      <c r="B566" s="27"/>
      <c r="C566" s="27"/>
      <c r="D566" s="28"/>
      <c r="E566" s="29"/>
      <c r="F566" s="29"/>
      <c r="G566" s="29"/>
      <c r="H566" s="29"/>
      <c r="I566" s="29"/>
    </row>
    <row r="567" customFormat="false" ht="15" hidden="false" customHeight="false" outlineLevel="0" collapsed="false">
      <c r="A567" s="26"/>
      <c r="B567" s="27"/>
      <c r="C567" s="27"/>
      <c r="D567" s="28"/>
      <c r="E567" s="29"/>
      <c r="F567" s="29"/>
      <c r="G567" s="29"/>
      <c r="H567" s="29"/>
      <c r="I567" s="29"/>
    </row>
    <row r="568" customFormat="false" ht="15" hidden="false" customHeight="false" outlineLevel="0" collapsed="false">
      <c r="A568" s="26"/>
      <c r="B568" s="27"/>
      <c r="C568" s="27"/>
      <c r="D568" s="28"/>
      <c r="E568" s="29"/>
      <c r="F568" s="29"/>
      <c r="G568" s="29"/>
      <c r="H568" s="29"/>
      <c r="I568" s="29"/>
    </row>
    <row r="569" customFormat="false" ht="15" hidden="false" customHeight="false" outlineLevel="0" collapsed="false">
      <c r="A569" s="26"/>
      <c r="B569" s="27"/>
      <c r="C569" s="27"/>
      <c r="D569" s="28"/>
      <c r="E569" s="29"/>
      <c r="F569" s="29"/>
      <c r="G569" s="29"/>
      <c r="H569" s="29"/>
      <c r="I569" s="29"/>
    </row>
    <row r="570" customFormat="false" ht="15" hidden="false" customHeight="false" outlineLevel="0" collapsed="false">
      <c r="A570" s="26"/>
      <c r="B570" s="27"/>
      <c r="C570" s="27"/>
      <c r="D570" s="28"/>
      <c r="E570" s="29"/>
      <c r="F570" s="29"/>
      <c r="G570" s="29"/>
      <c r="H570" s="29"/>
      <c r="I570" s="29"/>
    </row>
    <row r="571" customFormat="false" ht="15" hidden="false" customHeight="false" outlineLevel="0" collapsed="false">
      <c r="A571" s="26"/>
      <c r="B571" s="27"/>
      <c r="C571" s="27"/>
      <c r="D571" s="28"/>
      <c r="E571" s="29"/>
      <c r="F571" s="29"/>
      <c r="G571" s="29"/>
      <c r="H571" s="29"/>
      <c r="I571" s="29"/>
    </row>
    <row r="572" customFormat="false" ht="15" hidden="false" customHeight="false" outlineLevel="0" collapsed="false">
      <c r="A572" s="26"/>
      <c r="B572" s="27"/>
      <c r="C572" s="27"/>
      <c r="D572" s="28"/>
      <c r="E572" s="29"/>
      <c r="F572" s="29"/>
      <c r="G572" s="29"/>
      <c r="H572" s="29"/>
      <c r="I572" s="29"/>
    </row>
    <row r="573" customFormat="false" ht="15" hidden="false" customHeight="false" outlineLevel="0" collapsed="false">
      <c r="A573" s="26"/>
      <c r="B573" s="27"/>
      <c r="C573" s="27"/>
      <c r="D573" s="28"/>
      <c r="E573" s="29"/>
      <c r="F573" s="29"/>
      <c r="G573" s="29"/>
      <c r="H573" s="29"/>
      <c r="I573" s="29"/>
    </row>
    <row r="574" customFormat="false" ht="15" hidden="false" customHeight="false" outlineLevel="0" collapsed="false">
      <c r="A574" s="26"/>
      <c r="B574" s="27"/>
      <c r="C574" s="27"/>
      <c r="D574" s="28"/>
      <c r="E574" s="29"/>
      <c r="F574" s="29"/>
      <c r="G574" s="29"/>
      <c r="H574" s="29"/>
      <c r="I574" s="29"/>
    </row>
    <row r="575" customFormat="false" ht="15" hidden="false" customHeight="false" outlineLevel="0" collapsed="false">
      <c r="A575" s="26"/>
      <c r="B575" s="27"/>
      <c r="C575" s="27"/>
      <c r="D575" s="28"/>
      <c r="E575" s="29"/>
      <c r="F575" s="29"/>
      <c r="G575" s="29"/>
      <c r="H575" s="29"/>
      <c r="I575" s="29"/>
    </row>
    <row r="576" customFormat="false" ht="15" hidden="false" customHeight="false" outlineLevel="0" collapsed="false">
      <c r="A576" s="26"/>
      <c r="B576" s="27"/>
      <c r="C576" s="27"/>
      <c r="D576" s="28"/>
      <c r="E576" s="29"/>
      <c r="F576" s="29"/>
      <c r="G576" s="29"/>
      <c r="H576" s="29"/>
      <c r="I576" s="29"/>
    </row>
    <row r="577" customFormat="false" ht="15" hidden="false" customHeight="false" outlineLevel="0" collapsed="false">
      <c r="A577" s="26"/>
      <c r="B577" s="27"/>
      <c r="C577" s="27"/>
      <c r="D577" s="28"/>
      <c r="E577" s="29"/>
      <c r="F577" s="29"/>
      <c r="G577" s="29"/>
      <c r="H577" s="29"/>
      <c r="I577" s="29"/>
    </row>
    <row r="578" customFormat="false" ht="15" hidden="false" customHeight="false" outlineLevel="0" collapsed="false">
      <c r="A578" s="26"/>
      <c r="B578" s="27"/>
      <c r="C578" s="27"/>
      <c r="D578" s="28"/>
      <c r="E578" s="29"/>
      <c r="F578" s="29"/>
      <c r="G578" s="29"/>
      <c r="H578" s="29"/>
      <c r="I578" s="29"/>
    </row>
    <row r="579" customFormat="false" ht="15" hidden="false" customHeight="false" outlineLevel="0" collapsed="false">
      <c r="A579" s="26"/>
      <c r="B579" s="27"/>
      <c r="C579" s="27"/>
      <c r="D579" s="28"/>
      <c r="E579" s="29"/>
      <c r="F579" s="29"/>
      <c r="G579" s="29"/>
      <c r="H579" s="29"/>
      <c r="I579" s="29"/>
    </row>
    <row r="580" customFormat="false" ht="15" hidden="false" customHeight="false" outlineLevel="0" collapsed="false">
      <c r="A580" s="26"/>
      <c r="B580" s="27"/>
      <c r="C580" s="27"/>
      <c r="D580" s="28"/>
      <c r="E580" s="29"/>
      <c r="F580" s="29"/>
      <c r="G580" s="29"/>
      <c r="H580" s="29"/>
      <c r="I580" s="29"/>
    </row>
    <row r="581" customFormat="false" ht="15" hidden="false" customHeight="false" outlineLevel="0" collapsed="false">
      <c r="A581" s="26"/>
      <c r="B581" s="27"/>
      <c r="C581" s="27"/>
      <c r="D581" s="28"/>
      <c r="E581" s="29"/>
      <c r="F581" s="29"/>
      <c r="G581" s="29"/>
      <c r="H581" s="29"/>
      <c r="I581" s="29"/>
    </row>
    <row r="582" customFormat="false" ht="15" hidden="false" customHeight="false" outlineLevel="0" collapsed="false">
      <c r="A582" s="26"/>
      <c r="B582" s="27"/>
      <c r="C582" s="27"/>
      <c r="D582" s="28"/>
      <c r="E582" s="29"/>
      <c r="F582" s="29"/>
      <c r="G582" s="29"/>
      <c r="H582" s="29"/>
      <c r="I582" s="29"/>
    </row>
    <row r="583" customFormat="false" ht="15" hidden="false" customHeight="false" outlineLevel="0" collapsed="false">
      <c r="A583" s="26"/>
      <c r="B583" s="27"/>
      <c r="C583" s="27"/>
      <c r="D583" s="28"/>
      <c r="E583" s="29"/>
      <c r="F583" s="29"/>
      <c r="G583" s="29"/>
      <c r="H583" s="29"/>
      <c r="I583" s="29"/>
    </row>
    <row r="584" customFormat="false" ht="15" hidden="false" customHeight="false" outlineLevel="0" collapsed="false">
      <c r="A584" s="26"/>
      <c r="B584" s="27"/>
      <c r="C584" s="27"/>
      <c r="D584" s="28"/>
      <c r="E584" s="29"/>
      <c r="F584" s="29"/>
      <c r="G584" s="29"/>
      <c r="H584" s="29"/>
      <c r="I584" s="29"/>
    </row>
    <row r="585" customFormat="false" ht="15" hidden="false" customHeight="false" outlineLevel="0" collapsed="false">
      <c r="A585" s="26"/>
      <c r="B585" s="27"/>
      <c r="C585" s="27"/>
      <c r="D585" s="28"/>
      <c r="E585" s="29"/>
      <c r="F585" s="29"/>
      <c r="G585" s="29"/>
      <c r="H585" s="29"/>
      <c r="I585" s="29"/>
    </row>
    <row r="586" customFormat="false" ht="15" hidden="false" customHeight="false" outlineLevel="0" collapsed="false">
      <c r="A586" s="26"/>
      <c r="B586" s="27"/>
      <c r="C586" s="27"/>
      <c r="D586" s="28"/>
      <c r="E586" s="29"/>
      <c r="F586" s="29"/>
      <c r="G586" s="29"/>
      <c r="H586" s="29"/>
      <c r="I586" s="29"/>
    </row>
    <row r="587" customFormat="false" ht="15" hidden="false" customHeight="false" outlineLevel="0" collapsed="false">
      <c r="A587" s="26"/>
      <c r="B587" s="27"/>
      <c r="C587" s="27"/>
      <c r="D587" s="28"/>
      <c r="E587" s="29"/>
      <c r="F587" s="29"/>
      <c r="G587" s="29"/>
      <c r="H587" s="29"/>
      <c r="I587" s="29"/>
    </row>
    <row r="588" customFormat="false" ht="15" hidden="false" customHeight="false" outlineLevel="0" collapsed="false">
      <c r="A588" s="26"/>
      <c r="B588" s="27"/>
      <c r="C588" s="27"/>
      <c r="D588" s="28"/>
      <c r="E588" s="29"/>
      <c r="F588" s="29"/>
      <c r="G588" s="29"/>
      <c r="H588" s="29"/>
      <c r="I588" s="29"/>
    </row>
    <row r="589" customFormat="false" ht="15" hidden="false" customHeight="false" outlineLevel="0" collapsed="false">
      <c r="A589" s="26"/>
      <c r="B589" s="27"/>
      <c r="C589" s="27"/>
      <c r="D589" s="28"/>
      <c r="E589" s="29"/>
      <c r="F589" s="29"/>
      <c r="G589" s="29"/>
      <c r="H589" s="29"/>
      <c r="I589" s="29"/>
    </row>
    <row r="590" customFormat="false" ht="15" hidden="false" customHeight="false" outlineLevel="0" collapsed="false">
      <c r="A590" s="26"/>
      <c r="B590" s="27"/>
      <c r="C590" s="27"/>
      <c r="D590" s="28"/>
      <c r="E590" s="29"/>
      <c r="F590" s="29"/>
      <c r="G590" s="29"/>
      <c r="H590" s="29"/>
      <c r="I590" s="29"/>
    </row>
    <row r="591" customFormat="false" ht="15" hidden="false" customHeight="false" outlineLevel="0" collapsed="false">
      <c r="A591" s="26"/>
      <c r="B591" s="27"/>
      <c r="C591" s="27"/>
      <c r="D591" s="28"/>
      <c r="E591" s="29"/>
      <c r="F591" s="29"/>
      <c r="G591" s="29"/>
      <c r="H591" s="29"/>
      <c r="I591" s="29"/>
    </row>
    <row r="592" customFormat="false" ht="15" hidden="false" customHeight="false" outlineLevel="0" collapsed="false">
      <c r="A592" s="26"/>
      <c r="B592" s="27"/>
      <c r="C592" s="27"/>
      <c r="D592" s="28"/>
      <c r="E592" s="29"/>
      <c r="F592" s="29"/>
      <c r="G592" s="29"/>
      <c r="H592" s="29"/>
      <c r="I592" s="29"/>
    </row>
    <row r="593" customFormat="false" ht="15" hidden="false" customHeight="false" outlineLevel="0" collapsed="false">
      <c r="A593" s="26"/>
      <c r="B593" s="27"/>
      <c r="C593" s="27"/>
      <c r="D593" s="28"/>
      <c r="E593" s="29"/>
      <c r="F593" s="29"/>
      <c r="G593" s="29"/>
      <c r="H593" s="29"/>
      <c r="I593" s="29"/>
    </row>
    <row r="594" customFormat="false" ht="15" hidden="false" customHeight="false" outlineLevel="0" collapsed="false">
      <c r="A594" s="26"/>
      <c r="B594" s="27"/>
      <c r="C594" s="27"/>
      <c r="D594" s="28"/>
      <c r="E594" s="29"/>
      <c r="F594" s="29"/>
      <c r="G594" s="29"/>
      <c r="H594" s="29"/>
      <c r="I594" s="29"/>
    </row>
    <row r="595" customFormat="false" ht="15" hidden="false" customHeight="false" outlineLevel="0" collapsed="false">
      <c r="A595" s="26"/>
      <c r="B595" s="27"/>
      <c r="C595" s="27"/>
      <c r="D595" s="28"/>
      <c r="E595" s="29"/>
      <c r="F595" s="29"/>
      <c r="G595" s="29"/>
      <c r="H595" s="29"/>
      <c r="I595" s="29"/>
    </row>
    <row r="596" customFormat="false" ht="15" hidden="false" customHeight="false" outlineLevel="0" collapsed="false">
      <c r="A596" s="26"/>
      <c r="B596" s="27"/>
      <c r="C596" s="27"/>
      <c r="D596" s="28"/>
      <c r="E596" s="29"/>
      <c r="F596" s="29"/>
      <c r="G596" s="29"/>
      <c r="H596" s="29"/>
      <c r="I596" s="29"/>
    </row>
    <row r="597" customFormat="false" ht="15" hidden="false" customHeight="false" outlineLevel="0" collapsed="false">
      <c r="A597" s="26"/>
      <c r="B597" s="27"/>
      <c r="C597" s="27"/>
      <c r="D597" s="28"/>
      <c r="E597" s="29"/>
      <c r="F597" s="29"/>
      <c r="G597" s="29"/>
      <c r="H597" s="29"/>
      <c r="I597" s="29"/>
    </row>
    <row r="598" customFormat="false" ht="15" hidden="false" customHeight="false" outlineLevel="0" collapsed="false">
      <c r="A598" s="26"/>
      <c r="B598" s="27"/>
      <c r="C598" s="27"/>
      <c r="D598" s="28"/>
      <c r="E598" s="29"/>
      <c r="F598" s="29"/>
      <c r="G598" s="29"/>
      <c r="H598" s="29"/>
      <c r="I598" s="29"/>
    </row>
    <row r="599" customFormat="false" ht="15" hidden="false" customHeight="false" outlineLevel="0" collapsed="false">
      <c r="A599" s="26"/>
      <c r="B599" s="27"/>
      <c r="C599" s="27"/>
      <c r="D599" s="28"/>
      <c r="E599" s="29"/>
      <c r="F599" s="29"/>
      <c r="G599" s="29"/>
      <c r="H599" s="29"/>
      <c r="I599" s="29"/>
    </row>
    <row r="600" customFormat="false" ht="15" hidden="false" customHeight="false" outlineLevel="0" collapsed="false">
      <c r="A600" s="26"/>
      <c r="B600" s="27"/>
      <c r="C600" s="27"/>
      <c r="D600" s="28"/>
      <c r="E600" s="29"/>
      <c r="F600" s="29"/>
      <c r="G600" s="29"/>
      <c r="H600" s="29"/>
      <c r="I600" s="29"/>
    </row>
    <row r="601" customFormat="false" ht="15" hidden="false" customHeight="false" outlineLevel="0" collapsed="false">
      <c r="A601" s="26"/>
      <c r="B601" s="27"/>
      <c r="C601" s="27"/>
      <c r="D601" s="28"/>
      <c r="E601" s="29"/>
      <c r="F601" s="29"/>
      <c r="G601" s="29"/>
      <c r="H601" s="29"/>
      <c r="I601" s="29"/>
    </row>
    <row r="602" customFormat="false" ht="15" hidden="false" customHeight="false" outlineLevel="0" collapsed="false">
      <c r="A602" s="26"/>
      <c r="B602" s="27"/>
      <c r="C602" s="27"/>
      <c r="D602" s="28"/>
      <c r="E602" s="29"/>
      <c r="F602" s="29"/>
      <c r="G602" s="29"/>
      <c r="H602" s="29"/>
      <c r="I602" s="29"/>
    </row>
    <row r="603" customFormat="false" ht="15" hidden="false" customHeight="false" outlineLevel="0" collapsed="false">
      <c r="A603" s="26"/>
      <c r="B603" s="27"/>
      <c r="C603" s="27"/>
      <c r="D603" s="28"/>
      <c r="E603" s="29"/>
      <c r="F603" s="29"/>
      <c r="G603" s="29"/>
      <c r="H603" s="29"/>
      <c r="I603" s="29"/>
    </row>
    <row r="604" customFormat="false" ht="15" hidden="false" customHeight="false" outlineLevel="0" collapsed="false">
      <c r="A604" s="26"/>
      <c r="B604" s="27"/>
      <c r="C604" s="27"/>
      <c r="D604" s="28"/>
      <c r="E604" s="29"/>
      <c r="F604" s="29"/>
      <c r="G604" s="29"/>
      <c r="H604" s="29"/>
      <c r="I604" s="29"/>
    </row>
    <row r="605" customFormat="false" ht="15" hidden="false" customHeight="false" outlineLevel="0" collapsed="false">
      <c r="A605" s="26"/>
      <c r="B605" s="27"/>
      <c r="C605" s="27"/>
      <c r="D605" s="28"/>
      <c r="E605" s="29"/>
      <c r="F605" s="29"/>
      <c r="G605" s="29"/>
      <c r="H605" s="29"/>
      <c r="I605" s="29"/>
    </row>
    <row r="606" customFormat="false" ht="15" hidden="false" customHeight="false" outlineLevel="0" collapsed="false">
      <c r="A606" s="26"/>
      <c r="B606" s="27"/>
      <c r="C606" s="27"/>
      <c r="D606" s="28"/>
      <c r="E606" s="29"/>
      <c r="F606" s="29"/>
      <c r="G606" s="29"/>
      <c r="H606" s="29"/>
      <c r="I606" s="29"/>
    </row>
    <row r="607" customFormat="false" ht="15" hidden="false" customHeight="false" outlineLevel="0" collapsed="false">
      <c r="A607" s="26"/>
      <c r="B607" s="27"/>
      <c r="C607" s="27"/>
      <c r="D607" s="28"/>
      <c r="E607" s="29"/>
      <c r="F607" s="29"/>
      <c r="G607" s="29"/>
      <c r="H607" s="29"/>
      <c r="I607" s="29"/>
    </row>
    <row r="608" customFormat="false" ht="15" hidden="false" customHeight="false" outlineLevel="0" collapsed="false">
      <c r="A608" s="26"/>
      <c r="B608" s="27"/>
      <c r="C608" s="27"/>
      <c r="D608" s="28"/>
      <c r="E608" s="29"/>
      <c r="F608" s="29"/>
      <c r="G608" s="29"/>
      <c r="H608" s="29"/>
      <c r="I608" s="29"/>
    </row>
    <row r="609" customFormat="false" ht="15" hidden="false" customHeight="false" outlineLevel="0" collapsed="false">
      <c r="A609" s="26"/>
      <c r="B609" s="27"/>
      <c r="C609" s="27"/>
      <c r="D609" s="28"/>
      <c r="E609" s="29"/>
      <c r="F609" s="29"/>
      <c r="G609" s="29"/>
      <c r="H609" s="29"/>
      <c r="I609" s="29"/>
    </row>
    <row r="610" customFormat="false" ht="15" hidden="false" customHeight="false" outlineLevel="0" collapsed="false">
      <c r="A610" s="26"/>
      <c r="B610" s="27"/>
      <c r="C610" s="27"/>
      <c r="D610" s="28"/>
      <c r="E610" s="29"/>
      <c r="F610" s="29"/>
      <c r="G610" s="29"/>
      <c r="H610" s="29"/>
      <c r="I610" s="29"/>
    </row>
    <row r="611" customFormat="false" ht="15" hidden="false" customHeight="false" outlineLevel="0" collapsed="false">
      <c r="A611" s="26"/>
      <c r="B611" s="27"/>
      <c r="C611" s="27"/>
      <c r="D611" s="28"/>
      <c r="E611" s="29"/>
      <c r="F611" s="29"/>
      <c r="G611" s="29"/>
      <c r="H611" s="29"/>
      <c r="I611" s="29"/>
    </row>
    <row r="612" customFormat="false" ht="15" hidden="false" customHeight="false" outlineLevel="0" collapsed="false">
      <c r="A612" s="26"/>
      <c r="B612" s="27"/>
      <c r="C612" s="27"/>
      <c r="D612" s="28"/>
      <c r="E612" s="29"/>
      <c r="F612" s="29"/>
      <c r="G612" s="29"/>
      <c r="H612" s="29"/>
      <c r="I612" s="29"/>
    </row>
    <row r="613" customFormat="false" ht="15" hidden="false" customHeight="false" outlineLevel="0" collapsed="false">
      <c r="A613" s="26"/>
      <c r="B613" s="27"/>
      <c r="C613" s="27"/>
      <c r="D613" s="28"/>
      <c r="E613" s="29"/>
      <c r="F613" s="29"/>
      <c r="G613" s="29"/>
      <c r="H613" s="29"/>
      <c r="I613" s="29"/>
    </row>
    <row r="614" customFormat="false" ht="15" hidden="false" customHeight="false" outlineLevel="0" collapsed="false">
      <c r="A614" s="26"/>
      <c r="B614" s="27"/>
      <c r="C614" s="27"/>
      <c r="D614" s="28"/>
      <c r="E614" s="29"/>
      <c r="F614" s="29"/>
      <c r="G614" s="29"/>
      <c r="H614" s="29"/>
      <c r="I614" s="29"/>
    </row>
    <row r="615" customFormat="false" ht="15" hidden="false" customHeight="false" outlineLevel="0" collapsed="false">
      <c r="A615" s="26"/>
      <c r="B615" s="27"/>
      <c r="C615" s="27"/>
      <c r="D615" s="28"/>
      <c r="E615" s="29"/>
      <c r="F615" s="29"/>
      <c r="G615" s="29"/>
      <c r="H615" s="29"/>
      <c r="I615" s="29"/>
    </row>
    <row r="616" customFormat="false" ht="15" hidden="false" customHeight="false" outlineLevel="0" collapsed="false">
      <c r="A616" s="26"/>
      <c r="B616" s="27"/>
      <c r="C616" s="27"/>
      <c r="D616" s="28"/>
      <c r="E616" s="29"/>
      <c r="F616" s="29"/>
      <c r="G616" s="29"/>
      <c r="H616" s="29"/>
      <c r="I616" s="29"/>
    </row>
    <row r="617" customFormat="false" ht="15" hidden="false" customHeight="false" outlineLevel="0" collapsed="false">
      <c r="A617" s="26"/>
      <c r="B617" s="27"/>
      <c r="C617" s="27"/>
      <c r="D617" s="28"/>
      <c r="E617" s="29"/>
      <c r="F617" s="29"/>
      <c r="G617" s="29"/>
      <c r="H617" s="29"/>
      <c r="I617" s="29"/>
    </row>
    <row r="618" customFormat="false" ht="15" hidden="false" customHeight="false" outlineLevel="0" collapsed="false">
      <c r="A618" s="26"/>
      <c r="B618" s="27"/>
      <c r="C618" s="27"/>
      <c r="D618" s="28"/>
      <c r="E618" s="29"/>
      <c r="F618" s="29"/>
      <c r="G618" s="29"/>
      <c r="H618" s="29"/>
      <c r="I618" s="29"/>
    </row>
    <row r="619" customFormat="false" ht="15" hidden="false" customHeight="false" outlineLevel="0" collapsed="false">
      <c r="A619" s="26"/>
      <c r="B619" s="27"/>
      <c r="C619" s="27"/>
      <c r="D619" s="28"/>
      <c r="E619" s="29"/>
      <c r="F619" s="29"/>
      <c r="G619" s="29"/>
      <c r="H619" s="29"/>
      <c r="I619" s="29"/>
    </row>
    <row r="620" customFormat="false" ht="15" hidden="false" customHeight="false" outlineLevel="0" collapsed="false">
      <c r="A620" s="26"/>
      <c r="B620" s="27"/>
      <c r="C620" s="27"/>
      <c r="D620" s="28"/>
      <c r="E620" s="29"/>
      <c r="F620" s="29"/>
      <c r="G620" s="29"/>
      <c r="H620" s="29"/>
      <c r="I620" s="29"/>
    </row>
    <row r="621" customFormat="false" ht="15" hidden="false" customHeight="false" outlineLevel="0" collapsed="false">
      <c r="A621" s="26"/>
      <c r="B621" s="27"/>
      <c r="C621" s="27"/>
      <c r="D621" s="28"/>
      <c r="E621" s="29"/>
      <c r="F621" s="29"/>
      <c r="G621" s="29"/>
      <c r="H621" s="29"/>
      <c r="I621" s="29"/>
    </row>
    <row r="622" customFormat="false" ht="15" hidden="false" customHeight="false" outlineLevel="0" collapsed="false">
      <c r="A622" s="26"/>
      <c r="B622" s="27"/>
      <c r="C622" s="27"/>
      <c r="D622" s="28"/>
      <c r="E622" s="29"/>
      <c r="F622" s="29"/>
      <c r="G622" s="29"/>
      <c r="H622" s="29"/>
      <c r="I622" s="29"/>
    </row>
    <row r="623" customFormat="false" ht="15" hidden="false" customHeight="false" outlineLevel="0" collapsed="false">
      <c r="A623" s="26"/>
      <c r="B623" s="27"/>
      <c r="C623" s="27"/>
      <c r="D623" s="28"/>
      <c r="E623" s="29"/>
      <c r="F623" s="29"/>
      <c r="G623" s="29"/>
      <c r="H623" s="29"/>
      <c r="I623" s="29"/>
    </row>
    <row r="624" customFormat="false" ht="15" hidden="false" customHeight="false" outlineLevel="0" collapsed="false">
      <c r="A624" s="26"/>
      <c r="B624" s="27"/>
      <c r="C624" s="27"/>
      <c r="D624" s="28"/>
      <c r="E624" s="29"/>
      <c r="F624" s="29"/>
      <c r="G624" s="29"/>
      <c r="H624" s="29"/>
      <c r="I624" s="29"/>
    </row>
    <row r="625" customFormat="false" ht="15" hidden="false" customHeight="false" outlineLevel="0" collapsed="false">
      <c r="A625" s="26"/>
      <c r="B625" s="27"/>
      <c r="C625" s="27"/>
      <c r="D625" s="28"/>
      <c r="E625" s="29"/>
      <c r="F625" s="29"/>
      <c r="G625" s="29"/>
      <c r="H625" s="29"/>
      <c r="I625" s="29"/>
    </row>
    <row r="626" customFormat="false" ht="15" hidden="false" customHeight="false" outlineLevel="0" collapsed="false">
      <c r="A626" s="26"/>
      <c r="B626" s="27"/>
      <c r="C626" s="27"/>
      <c r="D626" s="28"/>
      <c r="E626" s="29"/>
      <c r="F626" s="29"/>
      <c r="G626" s="29"/>
      <c r="H626" s="29"/>
      <c r="I626" s="29"/>
    </row>
    <row r="627" customFormat="false" ht="15" hidden="false" customHeight="false" outlineLevel="0" collapsed="false">
      <c r="A627" s="26"/>
      <c r="B627" s="27"/>
      <c r="C627" s="27"/>
      <c r="D627" s="28"/>
      <c r="E627" s="29"/>
      <c r="F627" s="29"/>
      <c r="G627" s="29"/>
      <c r="H627" s="29"/>
      <c r="I627" s="29"/>
    </row>
    <row r="628" customFormat="false" ht="15" hidden="false" customHeight="false" outlineLevel="0" collapsed="false">
      <c r="A628" s="26"/>
      <c r="B628" s="27"/>
      <c r="C628" s="27"/>
      <c r="D628" s="28"/>
      <c r="E628" s="29"/>
      <c r="F628" s="29"/>
      <c r="G628" s="29"/>
      <c r="H628" s="29"/>
      <c r="I628" s="29"/>
    </row>
    <row r="629" customFormat="false" ht="15" hidden="false" customHeight="false" outlineLevel="0" collapsed="false">
      <c r="A629" s="26"/>
      <c r="B629" s="27"/>
      <c r="C629" s="27"/>
      <c r="D629" s="28"/>
      <c r="E629" s="29"/>
      <c r="F629" s="29"/>
      <c r="G629" s="29"/>
      <c r="H629" s="29"/>
      <c r="I629" s="29"/>
    </row>
    <row r="630" customFormat="false" ht="15" hidden="false" customHeight="false" outlineLevel="0" collapsed="false">
      <c r="A630" s="26"/>
      <c r="B630" s="27"/>
      <c r="C630" s="27"/>
      <c r="D630" s="28"/>
      <c r="E630" s="29"/>
      <c r="F630" s="29"/>
      <c r="G630" s="29"/>
      <c r="H630" s="29"/>
      <c r="I630" s="29"/>
    </row>
    <row r="631" customFormat="false" ht="15" hidden="false" customHeight="false" outlineLevel="0" collapsed="false">
      <c r="A631" s="26"/>
      <c r="B631" s="27"/>
      <c r="C631" s="27"/>
      <c r="D631" s="28"/>
      <c r="E631" s="29"/>
      <c r="F631" s="29"/>
      <c r="G631" s="29"/>
      <c r="H631" s="29"/>
      <c r="I631" s="29"/>
    </row>
    <row r="632" customFormat="false" ht="15" hidden="false" customHeight="false" outlineLevel="0" collapsed="false">
      <c r="A632" s="26"/>
      <c r="B632" s="27"/>
      <c r="C632" s="27"/>
      <c r="D632" s="28"/>
      <c r="E632" s="29"/>
      <c r="F632" s="29"/>
      <c r="G632" s="29"/>
      <c r="H632" s="29"/>
      <c r="I632" s="29"/>
    </row>
    <row r="633" customFormat="false" ht="15" hidden="false" customHeight="false" outlineLevel="0" collapsed="false">
      <c r="A633" s="26"/>
      <c r="B633" s="27"/>
      <c r="C633" s="27"/>
      <c r="D633" s="28"/>
      <c r="E633" s="29"/>
      <c r="F633" s="29"/>
      <c r="G633" s="29"/>
      <c r="H633" s="29"/>
      <c r="I633" s="29"/>
    </row>
    <row r="634" customFormat="false" ht="15" hidden="false" customHeight="false" outlineLevel="0" collapsed="false">
      <c r="A634" s="26"/>
      <c r="B634" s="27"/>
      <c r="C634" s="27"/>
      <c r="D634" s="28"/>
      <c r="E634" s="29"/>
      <c r="F634" s="29"/>
      <c r="G634" s="29"/>
      <c r="H634" s="29"/>
      <c r="I634" s="29"/>
    </row>
    <row r="635" customFormat="false" ht="15" hidden="false" customHeight="false" outlineLevel="0" collapsed="false">
      <c r="A635" s="26"/>
      <c r="B635" s="27"/>
      <c r="C635" s="27"/>
      <c r="D635" s="28"/>
      <c r="E635" s="29"/>
      <c r="F635" s="29"/>
      <c r="G635" s="29"/>
      <c r="H635" s="29"/>
      <c r="I635" s="29"/>
    </row>
    <row r="636" customFormat="false" ht="15" hidden="false" customHeight="false" outlineLevel="0" collapsed="false">
      <c r="A636" s="26"/>
      <c r="B636" s="27"/>
      <c r="C636" s="27"/>
      <c r="D636" s="28"/>
      <c r="E636" s="29"/>
      <c r="F636" s="29"/>
      <c r="G636" s="29"/>
      <c r="H636" s="29"/>
      <c r="I636" s="29"/>
    </row>
    <row r="637" customFormat="false" ht="15" hidden="false" customHeight="false" outlineLevel="0" collapsed="false">
      <c r="A637" s="26"/>
      <c r="B637" s="27"/>
      <c r="C637" s="27"/>
      <c r="D637" s="28"/>
      <c r="E637" s="29"/>
      <c r="F637" s="29"/>
      <c r="G637" s="29"/>
      <c r="H637" s="29"/>
      <c r="I637" s="29"/>
    </row>
    <row r="638" customFormat="false" ht="15" hidden="false" customHeight="false" outlineLevel="0" collapsed="false">
      <c r="A638" s="26"/>
      <c r="B638" s="27"/>
      <c r="C638" s="27"/>
      <c r="D638" s="28"/>
      <c r="E638" s="29"/>
      <c r="F638" s="29"/>
      <c r="G638" s="29"/>
      <c r="H638" s="29"/>
      <c r="I638" s="29"/>
    </row>
    <row r="639" customFormat="false" ht="15" hidden="false" customHeight="false" outlineLevel="0" collapsed="false">
      <c r="A639" s="26"/>
      <c r="B639" s="27"/>
      <c r="C639" s="27"/>
      <c r="D639" s="28"/>
      <c r="E639" s="29"/>
      <c r="F639" s="29"/>
      <c r="G639" s="29"/>
      <c r="H639" s="29"/>
      <c r="I639" s="29"/>
    </row>
    <row r="640" customFormat="false" ht="15" hidden="false" customHeight="false" outlineLevel="0" collapsed="false">
      <c r="A640" s="26"/>
      <c r="B640" s="27"/>
      <c r="C640" s="27"/>
      <c r="D640" s="28"/>
      <c r="E640" s="29"/>
      <c r="F640" s="29"/>
      <c r="G640" s="29"/>
      <c r="H640" s="29"/>
      <c r="I640" s="29"/>
    </row>
    <row r="641" customFormat="false" ht="15" hidden="false" customHeight="false" outlineLevel="0" collapsed="false">
      <c r="A641" s="26"/>
      <c r="B641" s="27"/>
      <c r="C641" s="27"/>
      <c r="D641" s="28"/>
      <c r="E641" s="29"/>
      <c r="F641" s="29"/>
      <c r="G641" s="29"/>
      <c r="H641" s="29"/>
      <c r="I641" s="29"/>
    </row>
    <row r="642" customFormat="false" ht="15" hidden="false" customHeight="false" outlineLevel="0" collapsed="false">
      <c r="A642" s="26"/>
      <c r="B642" s="27"/>
      <c r="C642" s="27"/>
      <c r="D642" s="28"/>
      <c r="E642" s="29"/>
      <c r="F642" s="29"/>
      <c r="G642" s="29"/>
      <c r="H642" s="29"/>
      <c r="I642" s="29"/>
    </row>
    <row r="643" customFormat="false" ht="15" hidden="false" customHeight="false" outlineLevel="0" collapsed="false">
      <c r="A643" s="26"/>
      <c r="B643" s="27"/>
      <c r="C643" s="27"/>
      <c r="D643" s="28"/>
      <c r="E643" s="29"/>
      <c r="F643" s="29"/>
      <c r="G643" s="29"/>
      <c r="H643" s="29"/>
      <c r="I643" s="29"/>
    </row>
    <row r="644" customFormat="false" ht="15" hidden="false" customHeight="false" outlineLevel="0" collapsed="false">
      <c r="A644" s="26"/>
      <c r="B644" s="27"/>
      <c r="C644" s="27"/>
      <c r="D644" s="28"/>
      <c r="E644" s="29"/>
      <c r="F644" s="29"/>
      <c r="G644" s="29"/>
      <c r="H644" s="29"/>
      <c r="I644" s="29"/>
    </row>
    <row r="645" customFormat="false" ht="15" hidden="false" customHeight="false" outlineLevel="0" collapsed="false">
      <c r="A645" s="26"/>
      <c r="B645" s="27"/>
      <c r="C645" s="27"/>
      <c r="D645" s="28"/>
      <c r="E645" s="29"/>
      <c r="F645" s="29"/>
      <c r="G645" s="29"/>
      <c r="H645" s="29"/>
      <c r="I645" s="29"/>
    </row>
    <row r="646" customFormat="false" ht="15" hidden="false" customHeight="false" outlineLevel="0" collapsed="false">
      <c r="A646" s="26"/>
      <c r="B646" s="27"/>
      <c r="C646" s="27"/>
      <c r="D646" s="28"/>
      <c r="E646" s="29"/>
      <c r="F646" s="29"/>
      <c r="G646" s="29"/>
      <c r="H646" s="29"/>
      <c r="I646" s="29"/>
    </row>
    <row r="647" customFormat="false" ht="15" hidden="false" customHeight="false" outlineLevel="0" collapsed="false">
      <c r="A647" s="26"/>
      <c r="B647" s="27"/>
      <c r="C647" s="27"/>
      <c r="D647" s="28"/>
      <c r="E647" s="29"/>
      <c r="F647" s="29"/>
      <c r="G647" s="29"/>
      <c r="H647" s="29"/>
      <c r="I647" s="29"/>
    </row>
    <row r="648" customFormat="false" ht="15" hidden="false" customHeight="false" outlineLevel="0" collapsed="false">
      <c r="A648" s="26"/>
      <c r="B648" s="27"/>
      <c r="C648" s="27"/>
      <c r="D648" s="28"/>
      <c r="E648" s="29"/>
      <c r="F648" s="29"/>
      <c r="G648" s="29"/>
      <c r="H648" s="29"/>
      <c r="I648" s="29"/>
    </row>
    <row r="649" customFormat="false" ht="15" hidden="false" customHeight="false" outlineLevel="0" collapsed="false">
      <c r="A649" s="26"/>
      <c r="B649" s="27"/>
      <c r="C649" s="27"/>
      <c r="D649" s="28"/>
      <c r="E649" s="29"/>
      <c r="F649" s="29"/>
      <c r="G649" s="29"/>
      <c r="H649" s="29"/>
      <c r="I649" s="29"/>
    </row>
    <row r="650" customFormat="false" ht="15" hidden="false" customHeight="false" outlineLevel="0" collapsed="false">
      <c r="A650" s="26"/>
      <c r="B650" s="27"/>
      <c r="C650" s="27"/>
      <c r="D650" s="28"/>
      <c r="E650" s="29"/>
      <c r="F650" s="29"/>
      <c r="G650" s="29"/>
      <c r="H650" s="29"/>
      <c r="I650" s="29"/>
    </row>
    <row r="651" customFormat="false" ht="15" hidden="false" customHeight="false" outlineLevel="0" collapsed="false">
      <c r="A651" s="26"/>
      <c r="B651" s="27"/>
      <c r="C651" s="27"/>
      <c r="D651" s="28"/>
      <c r="E651" s="29"/>
      <c r="F651" s="29"/>
      <c r="G651" s="29"/>
      <c r="H651" s="29"/>
      <c r="I651" s="29"/>
    </row>
    <row r="652" customFormat="false" ht="15" hidden="false" customHeight="false" outlineLevel="0" collapsed="false">
      <c r="A652" s="26"/>
      <c r="B652" s="27"/>
      <c r="C652" s="27"/>
      <c r="D652" s="28"/>
      <c r="E652" s="29"/>
      <c r="F652" s="29"/>
      <c r="G652" s="29"/>
      <c r="H652" s="29"/>
      <c r="I652" s="29"/>
    </row>
    <row r="653" customFormat="false" ht="15" hidden="false" customHeight="false" outlineLevel="0" collapsed="false">
      <c r="A653" s="26"/>
      <c r="B653" s="27"/>
      <c r="C653" s="27"/>
      <c r="D653" s="28"/>
      <c r="E653" s="29"/>
      <c r="F653" s="29"/>
      <c r="G653" s="29"/>
      <c r="H653" s="29"/>
      <c r="I653" s="29"/>
    </row>
    <row r="654" customFormat="false" ht="15" hidden="false" customHeight="false" outlineLevel="0" collapsed="false">
      <c r="A654" s="26"/>
      <c r="B654" s="27"/>
      <c r="C654" s="27"/>
      <c r="D654" s="28"/>
      <c r="E654" s="29"/>
      <c r="F654" s="29"/>
      <c r="G654" s="29"/>
      <c r="H654" s="29"/>
      <c r="I654" s="29"/>
    </row>
    <row r="655" customFormat="false" ht="15" hidden="false" customHeight="false" outlineLevel="0" collapsed="false">
      <c r="A655" s="26"/>
      <c r="B655" s="27"/>
      <c r="C655" s="27"/>
      <c r="D655" s="28"/>
      <c r="E655" s="29"/>
      <c r="F655" s="29"/>
      <c r="G655" s="29"/>
      <c r="H655" s="29"/>
      <c r="I655" s="29"/>
    </row>
    <row r="656" customFormat="false" ht="15" hidden="false" customHeight="false" outlineLevel="0" collapsed="false">
      <c r="A656" s="26"/>
      <c r="B656" s="27"/>
      <c r="C656" s="27"/>
      <c r="D656" s="28"/>
      <c r="E656" s="29"/>
      <c r="F656" s="29"/>
      <c r="G656" s="29"/>
      <c r="H656" s="29"/>
      <c r="I656" s="29"/>
    </row>
    <row r="657" customFormat="false" ht="15" hidden="false" customHeight="false" outlineLevel="0" collapsed="false">
      <c r="A657" s="26"/>
      <c r="B657" s="27"/>
      <c r="C657" s="27"/>
      <c r="D657" s="28"/>
      <c r="E657" s="29"/>
      <c r="F657" s="29"/>
      <c r="G657" s="29"/>
      <c r="H657" s="29"/>
      <c r="I657" s="29"/>
    </row>
    <row r="658" customFormat="false" ht="15" hidden="false" customHeight="false" outlineLevel="0" collapsed="false">
      <c r="A658" s="26"/>
      <c r="B658" s="27"/>
      <c r="C658" s="27"/>
      <c r="D658" s="28"/>
      <c r="E658" s="29"/>
      <c r="F658" s="29"/>
      <c r="G658" s="29"/>
      <c r="H658" s="29"/>
      <c r="I658" s="29"/>
    </row>
    <row r="659" customFormat="false" ht="15" hidden="false" customHeight="false" outlineLevel="0" collapsed="false">
      <c r="A659" s="26"/>
      <c r="B659" s="27"/>
      <c r="C659" s="27"/>
      <c r="D659" s="28"/>
      <c r="E659" s="29"/>
      <c r="F659" s="29"/>
      <c r="G659" s="29"/>
      <c r="H659" s="29"/>
      <c r="I659" s="29"/>
    </row>
    <row r="660" customFormat="false" ht="15" hidden="false" customHeight="false" outlineLevel="0" collapsed="false">
      <c r="A660" s="26"/>
      <c r="B660" s="27"/>
      <c r="C660" s="27"/>
      <c r="D660" s="28"/>
      <c r="E660" s="29"/>
      <c r="F660" s="29"/>
      <c r="G660" s="29"/>
      <c r="H660" s="29"/>
      <c r="I660" s="29"/>
    </row>
    <row r="661" customFormat="false" ht="15" hidden="false" customHeight="false" outlineLevel="0" collapsed="false">
      <c r="A661" s="26"/>
      <c r="B661" s="27"/>
      <c r="C661" s="27"/>
      <c r="D661" s="28"/>
      <c r="E661" s="29"/>
      <c r="F661" s="29"/>
      <c r="G661" s="29"/>
      <c r="H661" s="29"/>
      <c r="I661" s="29"/>
    </row>
    <row r="662" customFormat="false" ht="15" hidden="false" customHeight="false" outlineLevel="0" collapsed="false">
      <c r="A662" s="26"/>
      <c r="B662" s="27"/>
      <c r="C662" s="27"/>
      <c r="D662" s="28"/>
      <c r="E662" s="29"/>
      <c r="F662" s="29"/>
      <c r="G662" s="29"/>
      <c r="H662" s="29"/>
      <c r="I662" s="29"/>
    </row>
    <row r="663" customFormat="false" ht="15" hidden="false" customHeight="false" outlineLevel="0" collapsed="false">
      <c r="A663" s="26"/>
      <c r="B663" s="27"/>
      <c r="C663" s="27"/>
      <c r="D663" s="28"/>
      <c r="E663" s="29"/>
      <c r="F663" s="29"/>
      <c r="G663" s="29"/>
      <c r="H663" s="29"/>
      <c r="I663" s="29"/>
    </row>
    <row r="664" customFormat="false" ht="15" hidden="false" customHeight="false" outlineLevel="0" collapsed="false">
      <c r="A664" s="26"/>
      <c r="B664" s="27"/>
      <c r="C664" s="27"/>
      <c r="D664" s="28"/>
      <c r="E664" s="29"/>
      <c r="F664" s="29"/>
      <c r="G664" s="29"/>
      <c r="H664" s="29"/>
      <c r="I664" s="29"/>
    </row>
    <row r="665" customFormat="false" ht="15" hidden="false" customHeight="false" outlineLevel="0" collapsed="false">
      <c r="A665" s="26"/>
      <c r="B665" s="27"/>
      <c r="C665" s="27"/>
      <c r="D665" s="28"/>
      <c r="E665" s="29"/>
      <c r="F665" s="29"/>
      <c r="G665" s="29"/>
      <c r="H665" s="29"/>
      <c r="I665" s="29"/>
    </row>
    <row r="666" customFormat="false" ht="15" hidden="false" customHeight="false" outlineLevel="0" collapsed="false">
      <c r="A666" s="26"/>
      <c r="B666" s="27"/>
      <c r="C666" s="27"/>
      <c r="D666" s="28"/>
      <c r="E666" s="29"/>
      <c r="F666" s="29"/>
      <c r="G666" s="29"/>
      <c r="H666" s="29"/>
      <c r="I666" s="29"/>
    </row>
    <row r="667" customFormat="false" ht="15" hidden="false" customHeight="false" outlineLevel="0" collapsed="false">
      <c r="A667" s="26"/>
      <c r="B667" s="27"/>
      <c r="C667" s="27"/>
      <c r="D667" s="28"/>
      <c r="E667" s="29"/>
      <c r="F667" s="29"/>
      <c r="G667" s="29"/>
      <c r="H667" s="29"/>
      <c r="I667" s="29"/>
    </row>
    <row r="668" customFormat="false" ht="15" hidden="false" customHeight="false" outlineLevel="0" collapsed="false">
      <c r="A668" s="26"/>
      <c r="B668" s="27"/>
      <c r="C668" s="27"/>
      <c r="D668" s="28"/>
      <c r="E668" s="29"/>
      <c r="F668" s="29"/>
      <c r="G668" s="29"/>
      <c r="H668" s="29"/>
      <c r="I668" s="29"/>
    </row>
    <row r="669" customFormat="false" ht="15" hidden="false" customHeight="false" outlineLevel="0" collapsed="false">
      <c r="A669" s="26"/>
      <c r="B669" s="27"/>
      <c r="C669" s="27"/>
      <c r="D669" s="28"/>
      <c r="E669" s="29"/>
      <c r="F669" s="29"/>
      <c r="G669" s="29"/>
      <c r="H669" s="29"/>
      <c r="I669" s="29"/>
    </row>
    <row r="670" customFormat="false" ht="15" hidden="false" customHeight="false" outlineLevel="0" collapsed="false">
      <c r="A670" s="26"/>
      <c r="B670" s="27"/>
      <c r="C670" s="27"/>
      <c r="D670" s="28"/>
      <c r="E670" s="29"/>
      <c r="F670" s="29"/>
      <c r="G670" s="29"/>
      <c r="H670" s="29"/>
      <c r="I670" s="29"/>
    </row>
    <row r="671" customFormat="false" ht="15" hidden="false" customHeight="false" outlineLevel="0" collapsed="false">
      <c r="A671" s="26"/>
      <c r="B671" s="27"/>
      <c r="C671" s="27"/>
      <c r="D671" s="28"/>
      <c r="E671" s="29"/>
      <c r="F671" s="29"/>
      <c r="G671" s="29"/>
      <c r="H671" s="29"/>
      <c r="I671" s="29"/>
    </row>
    <row r="672" customFormat="false" ht="15" hidden="false" customHeight="false" outlineLevel="0" collapsed="false">
      <c r="A672" s="26"/>
      <c r="B672" s="27"/>
      <c r="C672" s="27"/>
      <c r="D672" s="28"/>
      <c r="E672" s="29"/>
      <c r="F672" s="29"/>
      <c r="G672" s="29"/>
      <c r="H672" s="29"/>
      <c r="I672" s="29"/>
    </row>
    <row r="673" customFormat="false" ht="15" hidden="false" customHeight="false" outlineLevel="0" collapsed="false">
      <c r="A673" s="26"/>
      <c r="B673" s="27"/>
      <c r="C673" s="27"/>
      <c r="D673" s="28"/>
      <c r="E673" s="29"/>
      <c r="F673" s="29"/>
      <c r="G673" s="29"/>
      <c r="H673" s="29"/>
      <c r="I673" s="29"/>
    </row>
    <row r="674" customFormat="false" ht="15" hidden="false" customHeight="false" outlineLevel="0" collapsed="false">
      <c r="A674" s="26"/>
      <c r="B674" s="27"/>
      <c r="C674" s="27"/>
      <c r="D674" s="28"/>
      <c r="E674" s="29"/>
      <c r="F674" s="29"/>
      <c r="G674" s="29"/>
      <c r="H674" s="29"/>
      <c r="I674" s="29"/>
    </row>
    <row r="675" customFormat="false" ht="15" hidden="false" customHeight="false" outlineLevel="0" collapsed="false">
      <c r="A675" s="26"/>
      <c r="B675" s="27"/>
      <c r="C675" s="27"/>
      <c r="D675" s="28"/>
      <c r="E675" s="29"/>
      <c r="F675" s="29"/>
      <c r="G675" s="29"/>
      <c r="H675" s="29"/>
      <c r="I675" s="29"/>
    </row>
    <row r="676" customFormat="false" ht="15" hidden="false" customHeight="false" outlineLevel="0" collapsed="false">
      <c r="A676" s="26"/>
      <c r="B676" s="27"/>
      <c r="C676" s="27"/>
      <c r="D676" s="28"/>
      <c r="E676" s="29"/>
      <c r="F676" s="29"/>
      <c r="G676" s="29"/>
      <c r="H676" s="29"/>
      <c r="I676" s="29"/>
    </row>
    <row r="677" customFormat="false" ht="15" hidden="false" customHeight="false" outlineLevel="0" collapsed="false">
      <c r="A677" s="26"/>
      <c r="B677" s="27"/>
      <c r="C677" s="27"/>
      <c r="D677" s="28"/>
      <c r="E677" s="29"/>
      <c r="F677" s="29"/>
      <c r="G677" s="29"/>
      <c r="H677" s="29"/>
      <c r="I677" s="29"/>
    </row>
    <row r="678" customFormat="false" ht="15" hidden="false" customHeight="false" outlineLevel="0" collapsed="false">
      <c r="A678" s="26"/>
      <c r="B678" s="27"/>
      <c r="C678" s="27"/>
      <c r="D678" s="28"/>
      <c r="E678" s="29"/>
      <c r="F678" s="29"/>
      <c r="G678" s="29"/>
      <c r="H678" s="29"/>
      <c r="I678" s="29"/>
    </row>
    <row r="679" customFormat="false" ht="15" hidden="false" customHeight="false" outlineLevel="0" collapsed="false">
      <c r="A679" s="26"/>
      <c r="B679" s="27"/>
      <c r="C679" s="27"/>
      <c r="D679" s="28"/>
      <c r="E679" s="29"/>
      <c r="F679" s="29"/>
      <c r="G679" s="29"/>
      <c r="H679" s="29"/>
      <c r="I679" s="29"/>
    </row>
    <row r="680" customFormat="false" ht="15" hidden="false" customHeight="false" outlineLevel="0" collapsed="false">
      <c r="A680" s="26"/>
      <c r="B680" s="27"/>
      <c r="C680" s="27"/>
      <c r="D680" s="28"/>
      <c r="E680" s="29"/>
      <c r="F680" s="29"/>
      <c r="G680" s="29"/>
      <c r="H680" s="29"/>
      <c r="I680" s="29"/>
    </row>
    <row r="681" customFormat="false" ht="15" hidden="false" customHeight="false" outlineLevel="0" collapsed="false">
      <c r="A681" s="26"/>
      <c r="B681" s="27"/>
      <c r="C681" s="27"/>
      <c r="D681" s="28"/>
      <c r="E681" s="29"/>
      <c r="F681" s="29"/>
      <c r="G681" s="29"/>
      <c r="H681" s="29"/>
      <c r="I681" s="29"/>
    </row>
    <row r="682" customFormat="false" ht="15" hidden="false" customHeight="false" outlineLevel="0" collapsed="false">
      <c r="A682" s="26"/>
      <c r="B682" s="27"/>
      <c r="C682" s="27"/>
      <c r="D682" s="28"/>
      <c r="E682" s="29"/>
      <c r="F682" s="29"/>
      <c r="G682" s="29"/>
      <c r="H682" s="29"/>
      <c r="I682" s="29"/>
    </row>
    <row r="683" customFormat="false" ht="15" hidden="false" customHeight="false" outlineLevel="0" collapsed="false">
      <c r="A683" s="26"/>
      <c r="B683" s="27"/>
      <c r="C683" s="27"/>
      <c r="D683" s="28"/>
      <c r="E683" s="29"/>
      <c r="F683" s="29"/>
      <c r="G683" s="29"/>
      <c r="H683" s="29"/>
      <c r="I683" s="29"/>
    </row>
    <row r="684" customFormat="false" ht="15" hidden="false" customHeight="false" outlineLevel="0" collapsed="false">
      <c r="A684" s="26"/>
      <c r="B684" s="27"/>
      <c r="C684" s="27"/>
      <c r="D684" s="28"/>
      <c r="E684" s="29"/>
      <c r="F684" s="29"/>
      <c r="G684" s="29"/>
      <c r="H684" s="29"/>
      <c r="I684" s="29"/>
    </row>
    <row r="685" customFormat="false" ht="15" hidden="false" customHeight="false" outlineLevel="0" collapsed="false">
      <c r="A685" s="26"/>
      <c r="B685" s="27"/>
      <c r="C685" s="27"/>
      <c r="D685" s="28"/>
      <c r="E685" s="29"/>
      <c r="F685" s="29"/>
      <c r="G685" s="29"/>
      <c r="H685" s="29"/>
      <c r="I685" s="29"/>
    </row>
    <row r="686" customFormat="false" ht="15" hidden="false" customHeight="false" outlineLevel="0" collapsed="false">
      <c r="A686" s="26"/>
      <c r="B686" s="27"/>
      <c r="C686" s="27"/>
      <c r="D686" s="28"/>
      <c r="E686" s="29"/>
      <c r="F686" s="29"/>
      <c r="G686" s="29"/>
      <c r="H686" s="29"/>
      <c r="I686" s="29"/>
    </row>
    <row r="687" customFormat="false" ht="15" hidden="false" customHeight="false" outlineLevel="0" collapsed="false">
      <c r="A687" s="26"/>
      <c r="B687" s="27"/>
      <c r="C687" s="27"/>
      <c r="D687" s="28"/>
      <c r="E687" s="29"/>
      <c r="F687" s="29"/>
      <c r="G687" s="29"/>
      <c r="H687" s="29"/>
      <c r="I687" s="29"/>
    </row>
    <row r="688" customFormat="false" ht="15" hidden="false" customHeight="false" outlineLevel="0" collapsed="false">
      <c r="A688" s="26"/>
      <c r="B688" s="27"/>
      <c r="C688" s="27"/>
      <c r="D688" s="28"/>
      <c r="E688" s="29"/>
      <c r="F688" s="29"/>
      <c r="G688" s="29"/>
      <c r="H688" s="29"/>
      <c r="I688" s="29"/>
    </row>
    <row r="689" customFormat="false" ht="15" hidden="false" customHeight="false" outlineLevel="0" collapsed="false">
      <c r="A689" s="26"/>
      <c r="B689" s="27"/>
      <c r="C689" s="27"/>
      <c r="D689" s="28"/>
      <c r="E689" s="29"/>
      <c r="F689" s="29"/>
      <c r="G689" s="29"/>
      <c r="H689" s="29"/>
      <c r="I689" s="29"/>
    </row>
    <row r="690" customFormat="false" ht="15" hidden="false" customHeight="false" outlineLevel="0" collapsed="false">
      <c r="A690" s="26"/>
      <c r="B690" s="27"/>
      <c r="C690" s="27"/>
      <c r="D690" s="28"/>
      <c r="E690" s="29"/>
      <c r="F690" s="29"/>
      <c r="G690" s="29"/>
      <c r="H690" s="29"/>
      <c r="I690" s="29"/>
    </row>
    <row r="691" customFormat="false" ht="15" hidden="false" customHeight="false" outlineLevel="0" collapsed="false">
      <c r="A691" s="26"/>
      <c r="B691" s="27"/>
      <c r="C691" s="27"/>
      <c r="D691" s="28"/>
      <c r="E691" s="29"/>
      <c r="F691" s="29"/>
      <c r="G691" s="29"/>
      <c r="H691" s="29"/>
      <c r="I691" s="29"/>
    </row>
    <row r="692" customFormat="false" ht="15" hidden="false" customHeight="false" outlineLevel="0" collapsed="false">
      <c r="A692" s="26"/>
      <c r="B692" s="27"/>
      <c r="C692" s="27"/>
      <c r="D692" s="28"/>
      <c r="E692" s="29"/>
      <c r="F692" s="29"/>
      <c r="G692" s="29"/>
      <c r="H692" s="29"/>
      <c r="I692" s="29"/>
    </row>
    <row r="693" customFormat="false" ht="15" hidden="false" customHeight="false" outlineLevel="0" collapsed="false">
      <c r="A693" s="26"/>
      <c r="B693" s="27"/>
      <c r="C693" s="27"/>
      <c r="D693" s="28"/>
      <c r="E693" s="29"/>
      <c r="F693" s="29"/>
      <c r="G693" s="29"/>
      <c r="H693" s="29"/>
      <c r="I693" s="29"/>
    </row>
    <row r="694" customFormat="false" ht="15" hidden="false" customHeight="false" outlineLevel="0" collapsed="false">
      <c r="A694" s="26"/>
      <c r="B694" s="27"/>
      <c r="C694" s="27"/>
      <c r="D694" s="28"/>
      <c r="E694" s="29"/>
      <c r="F694" s="29"/>
      <c r="G694" s="29"/>
      <c r="H694" s="29"/>
      <c r="I694" s="29"/>
    </row>
    <row r="695" customFormat="false" ht="15" hidden="false" customHeight="false" outlineLevel="0" collapsed="false">
      <c r="A695" s="26"/>
      <c r="B695" s="27"/>
      <c r="C695" s="27"/>
      <c r="D695" s="28"/>
      <c r="E695" s="29"/>
      <c r="F695" s="29"/>
      <c r="G695" s="29"/>
      <c r="H695" s="29"/>
      <c r="I695" s="29"/>
    </row>
    <row r="696" customFormat="false" ht="15" hidden="false" customHeight="false" outlineLevel="0" collapsed="false">
      <c r="A696" s="26"/>
      <c r="B696" s="27"/>
      <c r="C696" s="27"/>
      <c r="D696" s="28"/>
      <c r="E696" s="29"/>
      <c r="F696" s="29"/>
      <c r="G696" s="29"/>
      <c r="H696" s="29"/>
      <c r="I696" s="29"/>
    </row>
    <row r="697" customFormat="false" ht="15" hidden="false" customHeight="false" outlineLevel="0" collapsed="false">
      <c r="A697" s="26"/>
      <c r="B697" s="27"/>
      <c r="C697" s="27"/>
      <c r="D697" s="28"/>
      <c r="E697" s="29"/>
      <c r="F697" s="29"/>
      <c r="G697" s="29"/>
      <c r="H697" s="29"/>
      <c r="I697" s="29"/>
    </row>
    <row r="698" customFormat="false" ht="15" hidden="false" customHeight="false" outlineLevel="0" collapsed="false">
      <c r="A698" s="26"/>
      <c r="B698" s="27"/>
      <c r="C698" s="27"/>
      <c r="D698" s="28"/>
      <c r="E698" s="29"/>
      <c r="F698" s="29"/>
      <c r="G698" s="29"/>
      <c r="H698" s="29"/>
      <c r="I698" s="29"/>
    </row>
    <row r="699" customFormat="false" ht="15" hidden="false" customHeight="false" outlineLevel="0" collapsed="false">
      <c r="A699" s="26"/>
      <c r="B699" s="27"/>
      <c r="C699" s="27"/>
      <c r="D699" s="28"/>
      <c r="E699" s="29"/>
      <c r="F699" s="29"/>
      <c r="G699" s="29"/>
      <c r="H699" s="29"/>
      <c r="I699" s="29"/>
    </row>
    <row r="700" customFormat="false" ht="15" hidden="false" customHeight="false" outlineLevel="0" collapsed="false">
      <c r="A700" s="26"/>
      <c r="B700" s="27"/>
      <c r="C700" s="27"/>
      <c r="D700" s="28"/>
      <c r="E700" s="29"/>
      <c r="F700" s="29"/>
      <c r="G700" s="29"/>
      <c r="H700" s="29"/>
      <c r="I700" s="29"/>
    </row>
    <row r="701" customFormat="false" ht="15" hidden="false" customHeight="false" outlineLevel="0" collapsed="false">
      <c r="A701" s="26"/>
      <c r="B701" s="27"/>
      <c r="C701" s="27"/>
      <c r="D701" s="28"/>
      <c r="E701" s="29"/>
      <c r="F701" s="29"/>
      <c r="G701" s="29"/>
      <c r="H701" s="29"/>
      <c r="I701" s="29"/>
    </row>
    <row r="702" customFormat="false" ht="15" hidden="false" customHeight="false" outlineLevel="0" collapsed="false">
      <c r="A702" s="26"/>
      <c r="B702" s="27"/>
      <c r="C702" s="27"/>
      <c r="D702" s="28"/>
      <c r="E702" s="29"/>
      <c r="F702" s="29"/>
      <c r="G702" s="29"/>
      <c r="H702" s="29"/>
      <c r="I702" s="29"/>
    </row>
    <row r="703" customFormat="false" ht="15" hidden="false" customHeight="false" outlineLevel="0" collapsed="false">
      <c r="A703" s="26"/>
      <c r="B703" s="27"/>
      <c r="C703" s="27"/>
      <c r="D703" s="28"/>
      <c r="E703" s="29"/>
      <c r="F703" s="29"/>
      <c r="G703" s="29"/>
      <c r="H703" s="29"/>
      <c r="I703" s="29"/>
    </row>
    <row r="704" customFormat="false" ht="15" hidden="false" customHeight="false" outlineLevel="0" collapsed="false">
      <c r="A704" s="26"/>
      <c r="B704" s="27"/>
      <c r="C704" s="27"/>
      <c r="D704" s="28"/>
      <c r="E704" s="29"/>
      <c r="F704" s="29"/>
      <c r="G704" s="29"/>
      <c r="H704" s="29"/>
      <c r="I704" s="29"/>
    </row>
    <row r="705" customFormat="false" ht="15" hidden="false" customHeight="false" outlineLevel="0" collapsed="false">
      <c r="A705" s="26"/>
      <c r="B705" s="27"/>
      <c r="C705" s="27"/>
      <c r="D705" s="28"/>
      <c r="E705" s="29"/>
      <c r="F705" s="29"/>
      <c r="G705" s="29"/>
      <c r="H705" s="29"/>
      <c r="I705" s="29"/>
    </row>
    <row r="706" customFormat="false" ht="15" hidden="false" customHeight="false" outlineLevel="0" collapsed="false">
      <c r="A706" s="26"/>
      <c r="B706" s="27"/>
      <c r="C706" s="27"/>
      <c r="D706" s="28"/>
      <c r="E706" s="29"/>
      <c r="F706" s="29"/>
      <c r="G706" s="29"/>
      <c r="H706" s="29"/>
      <c r="I706" s="29"/>
    </row>
    <row r="707" customFormat="false" ht="15" hidden="false" customHeight="false" outlineLevel="0" collapsed="false">
      <c r="A707" s="26"/>
      <c r="B707" s="27"/>
      <c r="C707" s="27"/>
      <c r="D707" s="28"/>
      <c r="E707" s="29"/>
      <c r="F707" s="29"/>
      <c r="G707" s="29"/>
      <c r="H707" s="29"/>
      <c r="I707" s="29"/>
    </row>
    <row r="708" customFormat="false" ht="15" hidden="false" customHeight="false" outlineLevel="0" collapsed="false">
      <c r="A708" s="26"/>
      <c r="B708" s="27"/>
      <c r="C708" s="27"/>
      <c r="D708" s="28"/>
      <c r="E708" s="29"/>
      <c r="F708" s="29"/>
      <c r="G708" s="29"/>
      <c r="H708" s="29"/>
      <c r="I708" s="29"/>
    </row>
    <row r="709" customFormat="false" ht="15" hidden="false" customHeight="false" outlineLevel="0" collapsed="false">
      <c r="A709" s="26"/>
      <c r="B709" s="27"/>
      <c r="C709" s="27"/>
      <c r="D709" s="28"/>
      <c r="E709" s="29"/>
      <c r="F709" s="29"/>
      <c r="G709" s="29"/>
      <c r="H709" s="29"/>
      <c r="I709" s="29"/>
    </row>
    <row r="710" customFormat="false" ht="15" hidden="false" customHeight="false" outlineLevel="0" collapsed="false">
      <c r="A710" s="26"/>
      <c r="B710" s="27"/>
      <c r="C710" s="27"/>
      <c r="D710" s="28"/>
      <c r="E710" s="29"/>
      <c r="F710" s="29"/>
      <c r="G710" s="29"/>
      <c r="H710" s="29"/>
      <c r="I710" s="29"/>
    </row>
    <row r="711" customFormat="false" ht="15" hidden="false" customHeight="false" outlineLevel="0" collapsed="false">
      <c r="A711" s="26"/>
      <c r="B711" s="27"/>
      <c r="C711" s="27"/>
      <c r="D711" s="28"/>
      <c r="E711" s="29"/>
      <c r="F711" s="29"/>
      <c r="G711" s="29"/>
      <c r="H711" s="29"/>
      <c r="I711" s="29"/>
    </row>
    <row r="712" customFormat="false" ht="15" hidden="false" customHeight="false" outlineLevel="0" collapsed="false">
      <c r="A712" s="26"/>
      <c r="B712" s="27"/>
      <c r="C712" s="27"/>
      <c r="D712" s="28"/>
      <c r="E712" s="29"/>
      <c r="F712" s="29"/>
      <c r="G712" s="29"/>
      <c r="H712" s="29"/>
      <c r="I712" s="29"/>
    </row>
    <row r="713" customFormat="false" ht="15" hidden="false" customHeight="false" outlineLevel="0" collapsed="false">
      <c r="A713" s="26"/>
      <c r="B713" s="27"/>
      <c r="C713" s="27"/>
      <c r="D713" s="28"/>
      <c r="E713" s="29"/>
      <c r="F713" s="29"/>
      <c r="G713" s="29"/>
      <c r="H713" s="29"/>
      <c r="I713" s="29"/>
    </row>
    <row r="714" customFormat="false" ht="15" hidden="false" customHeight="false" outlineLevel="0" collapsed="false">
      <c r="A714" s="26"/>
      <c r="B714" s="27"/>
      <c r="C714" s="27"/>
      <c r="D714" s="28"/>
      <c r="E714" s="29"/>
      <c r="F714" s="29"/>
      <c r="G714" s="29"/>
      <c r="H714" s="29"/>
      <c r="I714" s="29"/>
    </row>
    <row r="715" customFormat="false" ht="15" hidden="false" customHeight="false" outlineLevel="0" collapsed="false">
      <c r="A715" s="26"/>
      <c r="B715" s="27"/>
      <c r="C715" s="27"/>
      <c r="D715" s="28"/>
      <c r="E715" s="29"/>
      <c r="F715" s="29"/>
      <c r="G715" s="29"/>
      <c r="H715" s="29"/>
      <c r="I715" s="29"/>
    </row>
    <row r="716" customFormat="false" ht="15" hidden="false" customHeight="false" outlineLevel="0" collapsed="false">
      <c r="A716" s="26"/>
      <c r="B716" s="27"/>
      <c r="C716" s="27"/>
      <c r="D716" s="28"/>
      <c r="E716" s="29"/>
      <c r="F716" s="29"/>
      <c r="G716" s="29"/>
      <c r="H716" s="29"/>
      <c r="I716" s="29"/>
    </row>
    <row r="717" customFormat="false" ht="15" hidden="false" customHeight="false" outlineLevel="0" collapsed="false">
      <c r="A717" s="26"/>
      <c r="B717" s="27"/>
      <c r="C717" s="27"/>
      <c r="D717" s="28"/>
      <c r="E717" s="29"/>
      <c r="F717" s="29"/>
      <c r="G717" s="29"/>
      <c r="H717" s="29"/>
      <c r="I717" s="29"/>
    </row>
    <row r="718" customFormat="false" ht="15" hidden="false" customHeight="false" outlineLevel="0" collapsed="false">
      <c r="A718" s="26"/>
      <c r="B718" s="27"/>
      <c r="C718" s="27"/>
      <c r="D718" s="28"/>
      <c r="E718" s="29"/>
      <c r="F718" s="29"/>
      <c r="G718" s="29"/>
      <c r="H718" s="29"/>
      <c r="I718" s="29"/>
    </row>
    <row r="719" customFormat="false" ht="15" hidden="false" customHeight="false" outlineLevel="0" collapsed="false">
      <c r="A719" s="26"/>
      <c r="B719" s="27"/>
      <c r="C719" s="27"/>
      <c r="D719" s="28"/>
      <c r="E719" s="29"/>
      <c r="F719" s="29"/>
      <c r="G719" s="29"/>
      <c r="H719" s="29"/>
      <c r="I719" s="29"/>
    </row>
    <row r="720" customFormat="false" ht="15" hidden="false" customHeight="false" outlineLevel="0" collapsed="false">
      <c r="A720" s="26"/>
      <c r="B720" s="27"/>
      <c r="C720" s="27"/>
      <c r="D720" s="28"/>
      <c r="E720" s="29"/>
      <c r="F720" s="29"/>
      <c r="G720" s="29"/>
      <c r="H720" s="29"/>
      <c r="I720" s="29"/>
    </row>
    <row r="721" customFormat="false" ht="15" hidden="false" customHeight="false" outlineLevel="0" collapsed="false">
      <c r="A721" s="26"/>
      <c r="B721" s="27"/>
      <c r="C721" s="27"/>
      <c r="D721" s="28"/>
      <c r="E721" s="29"/>
      <c r="F721" s="29"/>
      <c r="G721" s="29"/>
      <c r="H721" s="29"/>
      <c r="I721" s="29"/>
    </row>
    <row r="722" customFormat="false" ht="15" hidden="false" customHeight="false" outlineLevel="0" collapsed="false">
      <c r="A722" s="26"/>
      <c r="B722" s="27"/>
      <c r="C722" s="27"/>
      <c r="D722" s="28"/>
      <c r="E722" s="29"/>
      <c r="F722" s="29"/>
      <c r="G722" s="29"/>
      <c r="H722" s="29"/>
      <c r="I722" s="29"/>
    </row>
    <row r="723" customFormat="false" ht="15" hidden="false" customHeight="false" outlineLevel="0" collapsed="false">
      <c r="A723" s="26"/>
      <c r="B723" s="27"/>
      <c r="C723" s="27"/>
      <c r="D723" s="28"/>
      <c r="E723" s="29"/>
      <c r="F723" s="29"/>
      <c r="G723" s="29"/>
      <c r="H723" s="29"/>
      <c r="I723" s="29"/>
    </row>
    <row r="724" customFormat="false" ht="15" hidden="false" customHeight="false" outlineLevel="0" collapsed="false">
      <c r="A724" s="26"/>
      <c r="B724" s="27"/>
      <c r="C724" s="27"/>
      <c r="D724" s="28"/>
      <c r="E724" s="29"/>
      <c r="F724" s="29"/>
      <c r="G724" s="29"/>
      <c r="H724" s="29"/>
      <c r="I724" s="29"/>
    </row>
    <row r="725" customFormat="false" ht="15" hidden="false" customHeight="false" outlineLevel="0" collapsed="false">
      <c r="A725" s="26"/>
      <c r="B725" s="27"/>
      <c r="C725" s="27"/>
      <c r="D725" s="28"/>
      <c r="E725" s="29"/>
      <c r="F725" s="29"/>
      <c r="G725" s="29"/>
      <c r="H725" s="29"/>
      <c r="I725" s="29"/>
    </row>
    <row r="726" customFormat="false" ht="15" hidden="false" customHeight="false" outlineLevel="0" collapsed="false">
      <c r="A726" s="26"/>
      <c r="B726" s="27"/>
      <c r="C726" s="27"/>
      <c r="D726" s="28"/>
      <c r="E726" s="29"/>
      <c r="F726" s="29"/>
      <c r="G726" s="29"/>
      <c r="H726" s="29"/>
      <c r="I726" s="29"/>
    </row>
    <row r="727" customFormat="false" ht="15" hidden="false" customHeight="false" outlineLevel="0" collapsed="false">
      <c r="A727" s="26"/>
      <c r="B727" s="27"/>
      <c r="C727" s="27"/>
      <c r="D727" s="28"/>
      <c r="E727" s="29"/>
      <c r="F727" s="29"/>
      <c r="G727" s="29"/>
      <c r="H727" s="29"/>
      <c r="I727" s="29"/>
    </row>
    <row r="728" customFormat="false" ht="15" hidden="false" customHeight="false" outlineLevel="0" collapsed="false">
      <c r="A728" s="26"/>
      <c r="B728" s="27"/>
      <c r="C728" s="27"/>
      <c r="D728" s="28"/>
      <c r="E728" s="29"/>
      <c r="F728" s="29"/>
      <c r="G728" s="29"/>
      <c r="H728" s="29"/>
      <c r="I728" s="29"/>
    </row>
    <row r="729" customFormat="false" ht="15" hidden="false" customHeight="false" outlineLevel="0" collapsed="false">
      <c r="A729" s="26"/>
      <c r="B729" s="27"/>
      <c r="C729" s="27"/>
      <c r="D729" s="28"/>
      <c r="E729" s="29"/>
      <c r="F729" s="29"/>
      <c r="G729" s="29"/>
      <c r="H729" s="29"/>
      <c r="I729" s="29"/>
    </row>
    <row r="730" customFormat="false" ht="15" hidden="false" customHeight="false" outlineLevel="0" collapsed="false">
      <c r="A730" s="26"/>
      <c r="B730" s="27"/>
      <c r="C730" s="27"/>
      <c r="D730" s="28"/>
      <c r="E730" s="29"/>
      <c r="F730" s="29"/>
      <c r="G730" s="29"/>
      <c r="H730" s="29"/>
      <c r="I730" s="29"/>
    </row>
    <row r="731" customFormat="false" ht="15" hidden="false" customHeight="false" outlineLevel="0" collapsed="false">
      <c r="A731" s="26"/>
      <c r="B731" s="27"/>
      <c r="C731" s="27"/>
      <c r="D731" s="28"/>
      <c r="E731" s="29"/>
      <c r="F731" s="29"/>
      <c r="G731" s="29"/>
      <c r="H731" s="29"/>
      <c r="I731" s="29"/>
    </row>
    <row r="732" customFormat="false" ht="15" hidden="false" customHeight="false" outlineLevel="0" collapsed="false">
      <c r="A732" s="26"/>
      <c r="B732" s="27"/>
      <c r="C732" s="27"/>
      <c r="D732" s="28"/>
      <c r="E732" s="29"/>
      <c r="F732" s="29"/>
      <c r="G732" s="29"/>
      <c r="H732" s="29"/>
      <c r="I732" s="29"/>
    </row>
    <row r="733" customFormat="false" ht="15" hidden="false" customHeight="false" outlineLevel="0" collapsed="false">
      <c r="A733" s="26"/>
      <c r="B733" s="27"/>
      <c r="C733" s="27"/>
      <c r="D733" s="28"/>
      <c r="E733" s="29"/>
      <c r="F733" s="29"/>
      <c r="G733" s="29"/>
      <c r="H733" s="29"/>
      <c r="I733" s="29"/>
    </row>
    <row r="734" customFormat="false" ht="15" hidden="false" customHeight="false" outlineLevel="0" collapsed="false">
      <c r="A734" s="26"/>
      <c r="B734" s="27"/>
      <c r="C734" s="27"/>
      <c r="D734" s="28"/>
      <c r="E734" s="29"/>
      <c r="F734" s="29"/>
      <c r="G734" s="29"/>
      <c r="H734" s="29"/>
      <c r="I734" s="29"/>
    </row>
    <row r="735" customFormat="false" ht="15" hidden="false" customHeight="false" outlineLevel="0" collapsed="false">
      <c r="A735" s="26"/>
      <c r="B735" s="27"/>
      <c r="C735" s="27"/>
      <c r="D735" s="28"/>
      <c r="E735" s="29"/>
      <c r="F735" s="29"/>
      <c r="G735" s="29"/>
      <c r="H735" s="29"/>
      <c r="I735" s="29"/>
    </row>
    <row r="736" customFormat="false" ht="15" hidden="false" customHeight="false" outlineLevel="0" collapsed="false">
      <c r="A736" s="26"/>
      <c r="B736" s="27"/>
      <c r="C736" s="27"/>
      <c r="D736" s="28"/>
      <c r="E736" s="29"/>
      <c r="F736" s="29"/>
      <c r="G736" s="29"/>
      <c r="H736" s="29"/>
      <c r="I736" s="29"/>
    </row>
    <row r="737" customFormat="false" ht="15" hidden="false" customHeight="false" outlineLevel="0" collapsed="false">
      <c r="A737" s="26"/>
      <c r="B737" s="27"/>
      <c r="C737" s="27"/>
      <c r="D737" s="28"/>
      <c r="E737" s="29"/>
      <c r="F737" s="29"/>
      <c r="G737" s="29"/>
      <c r="H737" s="29"/>
      <c r="I737" s="29"/>
    </row>
    <row r="738" customFormat="false" ht="15" hidden="false" customHeight="false" outlineLevel="0" collapsed="false">
      <c r="A738" s="26"/>
      <c r="B738" s="27"/>
      <c r="C738" s="27"/>
      <c r="D738" s="28"/>
      <c r="E738" s="29"/>
      <c r="F738" s="29"/>
      <c r="G738" s="29"/>
      <c r="H738" s="29"/>
      <c r="I738" s="29"/>
    </row>
    <row r="739" customFormat="false" ht="15" hidden="false" customHeight="false" outlineLevel="0" collapsed="false">
      <c r="A739" s="26"/>
      <c r="B739" s="27"/>
      <c r="C739" s="27"/>
      <c r="D739" s="28"/>
      <c r="E739" s="29"/>
      <c r="F739" s="29"/>
      <c r="G739" s="29"/>
      <c r="H739" s="29"/>
      <c r="I739" s="29"/>
    </row>
    <row r="740" customFormat="false" ht="15" hidden="false" customHeight="false" outlineLevel="0" collapsed="false">
      <c r="A740" s="26"/>
      <c r="B740" s="27"/>
      <c r="C740" s="27"/>
      <c r="D740" s="28"/>
      <c r="E740" s="29"/>
      <c r="F740" s="29"/>
      <c r="G740" s="29"/>
      <c r="H740" s="29"/>
      <c r="I740" s="29"/>
    </row>
    <row r="741" customFormat="false" ht="15" hidden="false" customHeight="false" outlineLevel="0" collapsed="false">
      <c r="A741" s="26"/>
      <c r="B741" s="27"/>
      <c r="C741" s="27"/>
      <c r="D741" s="28"/>
      <c r="E741" s="29"/>
      <c r="F741" s="29"/>
      <c r="G741" s="29"/>
      <c r="H741" s="29"/>
      <c r="I741" s="29"/>
    </row>
    <row r="742" customFormat="false" ht="15" hidden="false" customHeight="false" outlineLevel="0" collapsed="false">
      <c r="A742" s="26"/>
      <c r="B742" s="27"/>
      <c r="C742" s="27"/>
      <c r="D742" s="28"/>
      <c r="E742" s="29"/>
      <c r="F742" s="29"/>
      <c r="G742" s="29"/>
      <c r="H742" s="29"/>
      <c r="I742" s="29"/>
    </row>
    <row r="743" customFormat="false" ht="15" hidden="false" customHeight="false" outlineLevel="0" collapsed="false">
      <c r="A743" s="26"/>
      <c r="B743" s="27"/>
      <c r="C743" s="27"/>
      <c r="D743" s="28"/>
      <c r="E743" s="29"/>
      <c r="F743" s="29"/>
      <c r="G743" s="29"/>
      <c r="H743" s="29"/>
      <c r="I743" s="29"/>
    </row>
    <row r="744" customFormat="false" ht="15" hidden="false" customHeight="false" outlineLevel="0" collapsed="false">
      <c r="A744" s="26"/>
      <c r="B744" s="27"/>
      <c r="C744" s="27"/>
      <c r="D744" s="28"/>
      <c r="E744" s="29"/>
      <c r="F744" s="29"/>
      <c r="G744" s="29"/>
      <c r="H744" s="29"/>
      <c r="I744" s="29"/>
    </row>
    <row r="745" customFormat="false" ht="15" hidden="false" customHeight="false" outlineLevel="0" collapsed="false">
      <c r="A745" s="26"/>
      <c r="B745" s="27"/>
      <c r="C745" s="27"/>
      <c r="D745" s="28"/>
      <c r="E745" s="29"/>
      <c r="F745" s="29"/>
      <c r="G745" s="29"/>
      <c r="H745" s="29"/>
      <c r="I745" s="29"/>
    </row>
    <row r="746" customFormat="false" ht="15" hidden="false" customHeight="false" outlineLevel="0" collapsed="false">
      <c r="A746" s="26"/>
      <c r="B746" s="27"/>
      <c r="C746" s="27"/>
      <c r="D746" s="28"/>
      <c r="E746" s="29"/>
      <c r="F746" s="29"/>
      <c r="G746" s="29"/>
      <c r="H746" s="29"/>
      <c r="I746" s="29"/>
    </row>
    <row r="747" customFormat="false" ht="15" hidden="false" customHeight="false" outlineLevel="0" collapsed="false">
      <c r="A747" s="26"/>
      <c r="B747" s="27"/>
      <c r="C747" s="27"/>
      <c r="D747" s="28"/>
      <c r="E747" s="29"/>
      <c r="F747" s="29"/>
      <c r="G747" s="29"/>
      <c r="H747" s="29"/>
      <c r="I747" s="29"/>
    </row>
    <row r="748" customFormat="false" ht="15" hidden="false" customHeight="false" outlineLevel="0" collapsed="false">
      <c r="A748" s="26"/>
      <c r="B748" s="27"/>
      <c r="C748" s="27"/>
      <c r="D748" s="28"/>
      <c r="E748" s="29"/>
      <c r="F748" s="29"/>
      <c r="G748" s="29"/>
      <c r="H748" s="29"/>
      <c r="I748" s="29"/>
    </row>
    <row r="749" customFormat="false" ht="15" hidden="false" customHeight="false" outlineLevel="0" collapsed="false">
      <c r="A749" s="26"/>
      <c r="B749" s="27"/>
      <c r="C749" s="27"/>
      <c r="D749" s="28"/>
      <c r="E749" s="29"/>
      <c r="F749" s="29"/>
      <c r="G749" s="29"/>
      <c r="H749" s="29"/>
      <c r="I749" s="29"/>
    </row>
    <row r="750" customFormat="false" ht="15" hidden="false" customHeight="false" outlineLevel="0" collapsed="false">
      <c r="A750" s="26"/>
      <c r="B750" s="27"/>
      <c r="C750" s="27"/>
      <c r="D750" s="28"/>
      <c r="E750" s="29"/>
      <c r="F750" s="29"/>
      <c r="G750" s="29"/>
      <c r="H750" s="29"/>
      <c r="I750" s="29"/>
    </row>
    <row r="751" customFormat="false" ht="15" hidden="false" customHeight="false" outlineLevel="0" collapsed="false">
      <c r="A751" s="26"/>
      <c r="B751" s="27"/>
      <c r="C751" s="27"/>
      <c r="D751" s="28"/>
      <c r="E751" s="29"/>
      <c r="F751" s="29"/>
      <c r="G751" s="29"/>
      <c r="H751" s="29"/>
      <c r="I751" s="29"/>
    </row>
    <row r="752" customFormat="false" ht="15" hidden="false" customHeight="false" outlineLevel="0" collapsed="false">
      <c r="A752" s="26"/>
      <c r="B752" s="27"/>
      <c r="C752" s="27"/>
      <c r="D752" s="28"/>
      <c r="E752" s="29"/>
      <c r="F752" s="29"/>
      <c r="G752" s="29"/>
      <c r="H752" s="29"/>
      <c r="I752" s="29"/>
    </row>
    <row r="753" customFormat="false" ht="15" hidden="false" customHeight="false" outlineLevel="0" collapsed="false">
      <c r="A753" s="26"/>
      <c r="B753" s="27"/>
      <c r="C753" s="27"/>
      <c r="D753" s="28"/>
      <c r="E753" s="29"/>
      <c r="F753" s="29"/>
      <c r="G753" s="29"/>
      <c r="H753" s="29"/>
      <c r="I753" s="29"/>
    </row>
    <row r="754" customFormat="false" ht="15" hidden="false" customHeight="false" outlineLevel="0" collapsed="false">
      <c r="A754" s="26"/>
      <c r="B754" s="27"/>
      <c r="C754" s="27"/>
      <c r="D754" s="28"/>
      <c r="E754" s="29"/>
      <c r="F754" s="29"/>
      <c r="G754" s="29"/>
      <c r="H754" s="29"/>
      <c r="I754" s="29"/>
    </row>
    <row r="755" customFormat="false" ht="15" hidden="false" customHeight="false" outlineLevel="0" collapsed="false">
      <c r="A755" s="26"/>
      <c r="B755" s="27"/>
      <c r="C755" s="27"/>
      <c r="D755" s="28"/>
      <c r="E755" s="29"/>
      <c r="F755" s="29"/>
      <c r="G755" s="29"/>
      <c r="H755" s="29"/>
      <c r="I755" s="29"/>
    </row>
    <row r="756" customFormat="false" ht="15" hidden="false" customHeight="false" outlineLevel="0" collapsed="false">
      <c r="A756" s="26"/>
      <c r="B756" s="27"/>
      <c r="C756" s="27"/>
      <c r="D756" s="28"/>
      <c r="E756" s="29"/>
      <c r="F756" s="29"/>
      <c r="G756" s="29"/>
      <c r="H756" s="29"/>
      <c r="I756" s="29"/>
    </row>
    <row r="757" customFormat="false" ht="15" hidden="false" customHeight="false" outlineLevel="0" collapsed="false">
      <c r="A757" s="26"/>
      <c r="B757" s="27"/>
      <c r="C757" s="27"/>
      <c r="D757" s="28"/>
      <c r="E757" s="29"/>
      <c r="F757" s="29"/>
      <c r="G757" s="29"/>
      <c r="H757" s="29"/>
      <c r="I757" s="29"/>
    </row>
    <row r="758" customFormat="false" ht="15" hidden="false" customHeight="false" outlineLevel="0" collapsed="false">
      <c r="A758" s="26"/>
      <c r="B758" s="27"/>
      <c r="C758" s="27"/>
      <c r="D758" s="28"/>
      <c r="E758" s="29"/>
      <c r="F758" s="29"/>
      <c r="G758" s="29"/>
      <c r="H758" s="29"/>
      <c r="I758" s="29"/>
    </row>
    <row r="759" customFormat="false" ht="15" hidden="false" customHeight="false" outlineLevel="0" collapsed="false">
      <c r="A759" s="26"/>
      <c r="B759" s="27"/>
      <c r="C759" s="27"/>
      <c r="D759" s="28"/>
      <c r="E759" s="29"/>
      <c r="F759" s="29"/>
      <c r="G759" s="29"/>
      <c r="H759" s="29"/>
      <c r="I759" s="29"/>
    </row>
    <row r="760" customFormat="false" ht="15" hidden="false" customHeight="false" outlineLevel="0" collapsed="false">
      <c r="A760" s="26"/>
      <c r="B760" s="27"/>
      <c r="C760" s="27"/>
      <c r="D760" s="28"/>
      <c r="E760" s="29"/>
      <c r="F760" s="29"/>
      <c r="G760" s="29"/>
      <c r="H760" s="29"/>
      <c r="I760" s="29"/>
    </row>
    <row r="761" customFormat="false" ht="15" hidden="false" customHeight="false" outlineLevel="0" collapsed="false">
      <c r="A761" s="26"/>
      <c r="B761" s="27"/>
      <c r="C761" s="27"/>
      <c r="D761" s="28"/>
      <c r="E761" s="29"/>
      <c r="F761" s="29"/>
      <c r="G761" s="29"/>
      <c r="H761" s="29"/>
      <c r="I761" s="29"/>
    </row>
    <row r="762" customFormat="false" ht="15" hidden="false" customHeight="false" outlineLevel="0" collapsed="false">
      <c r="A762" s="26"/>
      <c r="B762" s="27"/>
      <c r="C762" s="27"/>
      <c r="D762" s="28"/>
      <c r="E762" s="29"/>
      <c r="F762" s="29"/>
      <c r="G762" s="29"/>
      <c r="H762" s="29"/>
      <c r="I762" s="29"/>
    </row>
    <row r="763" customFormat="false" ht="15" hidden="false" customHeight="false" outlineLevel="0" collapsed="false">
      <c r="A763" s="26"/>
      <c r="B763" s="27"/>
      <c r="C763" s="27"/>
      <c r="D763" s="28"/>
      <c r="E763" s="29"/>
      <c r="F763" s="29"/>
      <c r="G763" s="29"/>
      <c r="H763" s="29"/>
      <c r="I763" s="29"/>
    </row>
    <row r="764" customFormat="false" ht="15" hidden="false" customHeight="false" outlineLevel="0" collapsed="false">
      <c r="A764" s="26"/>
      <c r="B764" s="27"/>
      <c r="C764" s="27"/>
      <c r="D764" s="28"/>
      <c r="E764" s="29"/>
      <c r="F764" s="29"/>
      <c r="G764" s="29"/>
      <c r="H764" s="29"/>
      <c r="I764" s="29"/>
    </row>
    <row r="765" customFormat="false" ht="15" hidden="false" customHeight="false" outlineLevel="0" collapsed="false">
      <c r="A765" s="26"/>
      <c r="B765" s="27"/>
      <c r="C765" s="27"/>
      <c r="D765" s="28"/>
      <c r="E765" s="29"/>
      <c r="F765" s="29"/>
      <c r="G765" s="29"/>
      <c r="H765" s="29"/>
      <c r="I765" s="29"/>
    </row>
    <row r="766" customFormat="false" ht="15" hidden="false" customHeight="false" outlineLevel="0" collapsed="false">
      <c r="A766" s="26"/>
      <c r="B766" s="27"/>
      <c r="C766" s="27"/>
      <c r="D766" s="28"/>
      <c r="E766" s="29"/>
      <c r="F766" s="29"/>
      <c r="G766" s="29"/>
      <c r="H766" s="29"/>
      <c r="I766" s="29"/>
    </row>
    <row r="767" customFormat="false" ht="15" hidden="false" customHeight="false" outlineLevel="0" collapsed="false">
      <c r="A767" s="26"/>
      <c r="B767" s="27"/>
      <c r="C767" s="27"/>
      <c r="D767" s="28"/>
      <c r="E767" s="29"/>
      <c r="F767" s="29"/>
      <c r="G767" s="29"/>
      <c r="H767" s="29"/>
      <c r="I767" s="29"/>
    </row>
    <row r="768" customFormat="false" ht="15" hidden="false" customHeight="false" outlineLevel="0" collapsed="false">
      <c r="A768" s="26"/>
      <c r="B768" s="27"/>
      <c r="C768" s="27"/>
      <c r="D768" s="28"/>
      <c r="E768" s="29"/>
      <c r="F768" s="29"/>
      <c r="G768" s="29"/>
      <c r="H768" s="29"/>
      <c r="I768" s="29"/>
    </row>
    <row r="769" customFormat="false" ht="15" hidden="false" customHeight="false" outlineLevel="0" collapsed="false">
      <c r="A769" s="26"/>
      <c r="B769" s="27"/>
      <c r="C769" s="27"/>
      <c r="D769" s="28"/>
      <c r="E769" s="29"/>
      <c r="F769" s="29"/>
      <c r="G769" s="29"/>
      <c r="H769" s="29"/>
      <c r="I769" s="29"/>
    </row>
    <row r="770" customFormat="false" ht="15" hidden="false" customHeight="false" outlineLevel="0" collapsed="false">
      <c r="A770" s="26"/>
      <c r="B770" s="27"/>
      <c r="C770" s="27"/>
      <c r="D770" s="28"/>
      <c r="E770" s="29"/>
      <c r="F770" s="29"/>
      <c r="G770" s="29"/>
      <c r="H770" s="29"/>
      <c r="I770" s="29"/>
    </row>
    <row r="771" customFormat="false" ht="15" hidden="false" customHeight="false" outlineLevel="0" collapsed="false">
      <c r="A771" s="26"/>
      <c r="B771" s="27"/>
      <c r="C771" s="27"/>
      <c r="D771" s="28"/>
      <c r="E771" s="29"/>
      <c r="F771" s="29"/>
      <c r="G771" s="29"/>
      <c r="H771" s="29"/>
      <c r="I771" s="29"/>
    </row>
    <row r="772" customFormat="false" ht="15" hidden="false" customHeight="false" outlineLevel="0" collapsed="false">
      <c r="A772" s="26"/>
      <c r="B772" s="27"/>
      <c r="C772" s="27"/>
      <c r="D772" s="28"/>
      <c r="E772" s="29"/>
      <c r="F772" s="29"/>
      <c r="G772" s="29"/>
      <c r="H772" s="29"/>
      <c r="I772" s="29"/>
    </row>
    <row r="773" customFormat="false" ht="15" hidden="false" customHeight="false" outlineLevel="0" collapsed="false">
      <c r="A773" s="26"/>
      <c r="B773" s="27"/>
      <c r="C773" s="27"/>
      <c r="D773" s="28"/>
      <c r="E773" s="29"/>
      <c r="F773" s="29"/>
      <c r="G773" s="29"/>
      <c r="H773" s="29"/>
      <c r="I773" s="29"/>
    </row>
    <row r="774" customFormat="false" ht="15" hidden="false" customHeight="false" outlineLevel="0" collapsed="false">
      <c r="A774" s="26"/>
      <c r="B774" s="27"/>
      <c r="C774" s="27"/>
      <c r="D774" s="28"/>
      <c r="E774" s="29"/>
      <c r="F774" s="29"/>
      <c r="G774" s="29"/>
      <c r="H774" s="29"/>
      <c r="I774" s="29"/>
    </row>
    <row r="775" customFormat="false" ht="15" hidden="false" customHeight="false" outlineLevel="0" collapsed="false">
      <c r="A775" s="26"/>
      <c r="B775" s="27"/>
      <c r="C775" s="27"/>
      <c r="D775" s="28"/>
      <c r="E775" s="29"/>
      <c r="F775" s="29"/>
      <c r="G775" s="29"/>
      <c r="H775" s="29"/>
      <c r="I775" s="29"/>
    </row>
    <row r="776" customFormat="false" ht="15" hidden="false" customHeight="false" outlineLevel="0" collapsed="false">
      <c r="A776" s="26"/>
      <c r="B776" s="27"/>
      <c r="C776" s="27"/>
      <c r="D776" s="28"/>
      <c r="E776" s="29"/>
      <c r="F776" s="29"/>
      <c r="G776" s="29"/>
      <c r="H776" s="29"/>
      <c r="I776" s="29"/>
    </row>
    <row r="777" customFormat="false" ht="15" hidden="false" customHeight="false" outlineLevel="0" collapsed="false">
      <c r="A777" s="26"/>
      <c r="B777" s="27"/>
      <c r="C777" s="27"/>
      <c r="D777" s="28"/>
      <c r="E777" s="29"/>
      <c r="F777" s="29"/>
      <c r="G777" s="29"/>
      <c r="H777" s="29"/>
      <c r="I777" s="29"/>
    </row>
    <row r="778" customFormat="false" ht="15" hidden="false" customHeight="false" outlineLevel="0" collapsed="false">
      <c r="A778" s="26"/>
      <c r="B778" s="27"/>
      <c r="C778" s="27"/>
      <c r="D778" s="28"/>
      <c r="E778" s="29"/>
      <c r="F778" s="29"/>
      <c r="G778" s="29"/>
      <c r="H778" s="29"/>
      <c r="I778" s="29"/>
    </row>
    <row r="779" customFormat="false" ht="15" hidden="false" customHeight="false" outlineLevel="0" collapsed="false">
      <c r="A779" s="26"/>
      <c r="B779" s="27"/>
      <c r="C779" s="27"/>
      <c r="D779" s="28"/>
      <c r="E779" s="29"/>
      <c r="F779" s="29"/>
      <c r="G779" s="29"/>
      <c r="H779" s="29"/>
      <c r="I779" s="29"/>
    </row>
    <row r="780" customFormat="false" ht="15" hidden="false" customHeight="false" outlineLevel="0" collapsed="false">
      <c r="A780" s="26"/>
      <c r="B780" s="27"/>
      <c r="C780" s="27"/>
      <c r="D780" s="28"/>
      <c r="E780" s="29"/>
      <c r="F780" s="29"/>
      <c r="G780" s="29"/>
      <c r="H780" s="29"/>
      <c r="I780" s="29"/>
    </row>
    <row r="781" customFormat="false" ht="15" hidden="false" customHeight="false" outlineLevel="0" collapsed="false">
      <c r="A781" s="26"/>
      <c r="B781" s="27"/>
      <c r="C781" s="27"/>
      <c r="D781" s="28"/>
      <c r="E781" s="29"/>
      <c r="F781" s="29"/>
      <c r="G781" s="29"/>
      <c r="H781" s="29"/>
      <c r="I781" s="29"/>
    </row>
    <row r="782" customFormat="false" ht="15" hidden="false" customHeight="false" outlineLevel="0" collapsed="false">
      <c r="A782" s="26"/>
      <c r="B782" s="27"/>
      <c r="C782" s="27"/>
      <c r="D782" s="28"/>
      <c r="E782" s="29"/>
      <c r="F782" s="29"/>
      <c r="G782" s="29"/>
      <c r="H782" s="29"/>
      <c r="I782" s="29"/>
    </row>
    <row r="783" customFormat="false" ht="15" hidden="false" customHeight="false" outlineLevel="0" collapsed="false">
      <c r="A783" s="26"/>
      <c r="B783" s="27"/>
      <c r="C783" s="27"/>
      <c r="D783" s="28"/>
      <c r="E783" s="29"/>
      <c r="F783" s="29"/>
      <c r="G783" s="29"/>
      <c r="H783" s="29"/>
      <c r="I783" s="29"/>
    </row>
    <row r="784" customFormat="false" ht="15" hidden="false" customHeight="false" outlineLevel="0" collapsed="false">
      <c r="A784" s="26"/>
      <c r="B784" s="27"/>
      <c r="C784" s="27"/>
      <c r="D784" s="28"/>
      <c r="E784" s="29"/>
      <c r="F784" s="29"/>
      <c r="G784" s="29"/>
      <c r="H784" s="29"/>
      <c r="I784" s="29"/>
    </row>
    <row r="785" customFormat="false" ht="15" hidden="false" customHeight="false" outlineLevel="0" collapsed="false">
      <c r="A785" s="26"/>
      <c r="B785" s="27"/>
      <c r="C785" s="27"/>
      <c r="D785" s="28"/>
      <c r="E785" s="29"/>
      <c r="F785" s="29"/>
      <c r="G785" s="29"/>
      <c r="H785" s="29"/>
      <c r="I785" s="29"/>
    </row>
    <row r="786" customFormat="false" ht="15" hidden="false" customHeight="false" outlineLevel="0" collapsed="false">
      <c r="A786" s="26"/>
      <c r="B786" s="27"/>
      <c r="C786" s="27"/>
      <c r="D786" s="28"/>
      <c r="E786" s="29"/>
      <c r="F786" s="29"/>
      <c r="G786" s="29"/>
      <c r="H786" s="29"/>
      <c r="I786" s="29"/>
    </row>
    <row r="787" customFormat="false" ht="15" hidden="false" customHeight="false" outlineLevel="0" collapsed="false">
      <c r="A787" s="26"/>
      <c r="B787" s="27"/>
      <c r="C787" s="27"/>
      <c r="D787" s="28"/>
      <c r="E787" s="29"/>
      <c r="F787" s="29"/>
      <c r="G787" s="29"/>
      <c r="H787" s="29"/>
      <c r="I787" s="29"/>
    </row>
    <row r="788" customFormat="false" ht="15" hidden="false" customHeight="false" outlineLevel="0" collapsed="false">
      <c r="A788" s="26"/>
      <c r="B788" s="27"/>
      <c r="C788" s="27"/>
      <c r="D788" s="28"/>
      <c r="E788" s="29"/>
      <c r="F788" s="29"/>
      <c r="G788" s="29"/>
      <c r="H788" s="29"/>
      <c r="I788" s="29"/>
    </row>
    <row r="789" customFormat="false" ht="15" hidden="false" customHeight="false" outlineLevel="0" collapsed="false">
      <c r="A789" s="26"/>
      <c r="B789" s="27"/>
      <c r="C789" s="27"/>
      <c r="D789" s="28"/>
      <c r="E789" s="29"/>
      <c r="F789" s="29"/>
      <c r="G789" s="29"/>
      <c r="H789" s="29"/>
      <c r="I789" s="29"/>
    </row>
    <row r="790" customFormat="false" ht="15" hidden="false" customHeight="false" outlineLevel="0" collapsed="false">
      <c r="A790" s="26"/>
      <c r="B790" s="27"/>
      <c r="C790" s="27"/>
      <c r="D790" s="28"/>
      <c r="E790" s="29"/>
      <c r="F790" s="29"/>
      <c r="G790" s="29"/>
      <c r="H790" s="29"/>
      <c r="I790" s="29"/>
    </row>
    <row r="791" customFormat="false" ht="15" hidden="false" customHeight="false" outlineLevel="0" collapsed="false">
      <c r="A791" s="26"/>
      <c r="B791" s="27"/>
      <c r="C791" s="27"/>
      <c r="D791" s="28"/>
      <c r="E791" s="29"/>
      <c r="F791" s="29"/>
      <c r="G791" s="29"/>
      <c r="H791" s="29"/>
      <c r="I791" s="29"/>
    </row>
    <row r="792" customFormat="false" ht="15" hidden="false" customHeight="false" outlineLevel="0" collapsed="false">
      <c r="A792" s="26"/>
      <c r="B792" s="27"/>
      <c r="C792" s="27"/>
      <c r="D792" s="28"/>
      <c r="E792" s="29"/>
      <c r="F792" s="29"/>
      <c r="G792" s="29"/>
      <c r="H792" s="29"/>
      <c r="I792" s="29"/>
    </row>
    <row r="793" customFormat="false" ht="15" hidden="false" customHeight="false" outlineLevel="0" collapsed="false">
      <c r="A793" s="26"/>
      <c r="B793" s="27"/>
      <c r="C793" s="27"/>
      <c r="D793" s="28"/>
      <c r="E793" s="29"/>
      <c r="F793" s="29"/>
      <c r="G793" s="29"/>
      <c r="H793" s="29"/>
      <c r="I793" s="29"/>
    </row>
    <row r="794" customFormat="false" ht="15" hidden="false" customHeight="false" outlineLevel="0" collapsed="false">
      <c r="A794" s="26"/>
      <c r="B794" s="27"/>
      <c r="C794" s="27"/>
      <c r="D794" s="28"/>
      <c r="E794" s="29"/>
      <c r="F794" s="29"/>
      <c r="G794" s="29"/>
      <c r="H794" s="29"/>
      <c r="I794" s="29"/>
    </row>
    <row r="795" customFormat="false" ht="15" hidden="false" customHeight="false" outlineLevel="0" collapsed="false">
      <c r="A795" s="26"/>
      <c r="B795" s="27"/>
      <c r="C795" s="27"/>
      <c r="D795" s="28"/>
      <c r="E795" s="29"/>
      <c r="F795" s="29"/>
      <c r="G795" s="29"/>
      <c r="H795" s="29"/>
      <c r="I795" s="29"/>
    </row>
    <row r="796" customFormat="false" ht="15" hidden="false" customHeight="false" outlineLevel="0" collapsed="false">
      <c r="A796" s="26"/>
      <c r="B796" s="27"/>
      <c r="C796" s="27"/>
      <c r="D796" s="28"/>
      <c r="E796" s="29"/>
      <c r="F796" s="29"/>
      <c r="G796" s="29"/>
      <c r="H796" s="29"/>
      <c r="I796" s="29"/>
    </row>
    <row r="797" customFormat="false" ht="15" hidden="false" customHeight="false" outlineLevel="0" collapsed="false">
      <c r="A797" s="26"/>
      <c r="B797" s="27"/>
      <c r="C797" s="27"/>
      <c r="D797" s="28"/>
      <c r="E797" s="29"/>
      <c r="F797" s="29"/>
      <c r="G797" s="29"/>
      <c r="H797" s="29"/>
      <c r="I797" s="29"/>
    </row>
    <row r="798" customFormat="false" ht="15" hidden="false" customHeight="false" outlineLevel="0" collapsed="false">
      <c r="A798" s="26"/>
      <c r="B798" s="27"/>
      <c r="C798" s="27"/>
      <c r="D798" s="28"/>
      <c r="E798" s="29"/>
      <c r="F798" s="29"/>
      <c r="G798" s="29"/>
      <c r="H798" s="29"/>
      <c r="I798" s="29"/>
    </row>
    <row r="799" customFormat="false" ht="15" hidden="false" customHeight="false" outlineLevel="0" collapsed="false">
      <c r="A799" s="26"/>
      <c r="B799" s="27"/>
      <c r="C799" s="27"/>
      <c r="D799" s="28"/>
      <c r="E799" s="29"/>
      <c r="F799" s="29"/>
      <c r="G799" s="29"/>
      <c r="H799" s="29"/>
      <c r="I799" s="29"/>
    </row>
    <row r="800" customFormat="false" ht="15" hidden="false" customHeight="false" outlineLevel="0" collapsed="false">
      <c r="A800" s="26"/>
      <c r="B800" s="27"/>
      <c r="C800" s="27"/>
      <c r="D800" s="28"/>
      <c r="E800" s="29"/>
      <c r="F800" s="29"/>
      <c r="G800" s="29"/>
      <c r="H800" s="29"/>
      <c r="I800" s="29"/>
    </row>
    <row r="801" customFormat="false" ht="15" hidden="false" customHeight="false" outlineLevel="0" collapsed="false">
      <c r="A801" s="26"/>
      <c r="B801" s="27"/>
      <c r="C801" s="27"/>
      <c r="D801" s="28"/>
      <c r="E801" s="29"/>
      <c r="F801" s="29"/>
      <c r="G801" s="29"/>
      <c r="H801" s="29"/>
      <c r="I801" s="29"/>
    </row>
    <row r="802" customFormat="false" ht="15" hidden="false" customHeight="false" outlineLevel="0" collapsed="false">
      <c r="A802" s="26"/>
      <c r="B802" s="27"/>
      <c r="C802" s="27"/>
      <c r="D802" s="28"/>
      <c r="E802" s="29"/>
      <c r="F802" s="29"/>
      <c r="G802" s="29"/>
      <c r="H802" s="29"/>
      <c r="I802" s="29"/>
    </row>
    <row r="803" customFormat="false" ht="15" hidden="false" customHeight="false" outlineLevel="0" collapsed="false">
      <c r="A803" s="26"/>
      <c r="B803" s="27"/>
      <c r="C803" s="27"/>
      <c r="D803" s="28"/>
      <c r="E803" s="29"/>
      <c r="F803" s="29"/>
      <c r="G803" s="29"/>
      <c r="H803" s="29"/>
      <c r="I803" s="29"/>
    </row>
    <row r="804" customFormat="false" ht="15" hidden="false" customHeight="false" outlineLevel="0" collapsed="false">
      <c r="A804" s="26"/>
      <c r="B804" s="27"/>
      <c r="C804" s="27"/>
      <c r="D804" s="28"/>
      <c r="E804" s="29"/>
      <c r="F804" s="29"/>
      <c r="G804" s="29"/>
      <c r="H804" s="29"/>
      <c r="I804" s="29"/>
    </row>
    <row r="805" customFormat="false" ht="15" hidden="false" customHeight="false" outlineLevel="0" collapsed="false">
      <c r="A805" s="26"/>
      <c r="B805" s="27"/>
      <c r="C805" s="27"/>
      <c r="D805" s="28"/>
      <c r="E805" s="29"/>
      <c r="F805" s="29"/>
      <c r="G805" s="29"/>
      <c r="H805" s="29"/>
      <c r="I805" s="29"/>
    </row>
    <row r="806" customFormat="false" ht="15" hidden="false" customHeight="false" outlineLevel="0" collapsed="false">
      <c r="A806" s="26"/>
      <c r="B806" s="27"/>
      <c r="C806" s="27"/>
      <c r="D806" s="28"/>
      <c r="E806" s="29"/>
      <c r="F806" s="29"/>
      <c r="G806" s="29"/>
      <c r="H806" s="29"/>
      <c r="I806" s="29"/>
    </row>
    <row r="807" customFormat="false" ht="15" hidden="false" customHeight="false" outlineLevel="0" collapsed="false">
      <c r="A807" s="26"/>
      <c r="B807" s="27"/>
      <c r="C807" s="27"/>
      <c r="D807" s="28"/>
      <c r="E807" s="29"/>
      <c r="F807" s="29"/>
      <c r="G807" s="29"/>
      <c r="H807" s="29"/>
      <c r="I807" s="29"/>
    </row>
    <row r="808" customFormat="false" ht="15" hidden="false" customHeight="false" outlineLevel="0" collapsed="false">
      <c r="A808" s="26"/>
      <c r="B808" s="27"/>
      <c r="C808" s="27"/>
      <c r="D808" s="28"/>
      <c r="E808" s="29"/>
      <c r="F808" s="29"/>
      <c r="G808" s="29"/>
      <c r="H808" s="29"/>
      <c r="I808" s="29"/>
    </row>
    <row r="809" customFormat="false" ht="15" hidden="false" customHeight="false" outlineLevel="0" collapsed="false">
      <c r="A809" s="26"/>
      <c r="B809" s="27"/>
      <c r="C809" s="27"/>
      <c r="D809" s="28"/>
      <c r="E809" s="29"/>
      <c r="F809" s="29"/>
      <c r="G809" s="29"/>
      <c r="H809" s="29"/>
      <c r="I809" s="29"/>
    </row>
    <row r="810" customFormat="false" ht="15" hidden="false" customHeight="false" outlineLevel="0" collapsed="false">
      <c r="A810" s="26"/>
      <c r="B810" s="27"/>
      <c r="C810" s="27"/>
      <c r="D810" s="28"/>
      <c r="E810" s="29"/>
      <c r="F810" s="29"/>
      <c r="G810" s="29"/>
      <c r="H810" s="29"/>
      <c r="I810" s="29"/>
    </row>
    <row r="811" customFormat="false" ht="15" hidden="false" customHeight="false" outlineLevel="0" collapsed="false">
      <c r="A811" s="26"/>
      <c r="B811" s="27"/>
      <c r="C811" s="27"/>
      <c r="D811" s="28"/>
      <c r="E811" s="29"/>
      <c r="F811" s="29"/>
      <c r="G811" s="29"/>
      <c r="H811" s="29"/>
      <c r="I811" s="29"/>
    </row>
    <row r="812" customFormat="false" ht="15" hidden="false" customHeight="false" outlineLevel="0" collapsed="false">
      <c r="A812" s="26"/>
      <c r="B812" s="27"/>
      <c r="C812" s="27"/>
      <c r="D812" s="28"/>
      <c r="E812" s="29"/>
      <c r="F812" s="29"/>
      <c r="G812" s="29"/>
      <c r="H812" s="29"/>
      <c r="I812" s="29"/>
    </row>
    <row r="813" customFormat="false" ht="15" hidden="false" customHeight="false" outlineLevel="0" collapsed="false">
      <c r="A813" s="26"/>
      <c r="B813" s="27"/>
      <c r="C813" s="27"/>
      <c r="D813" s="28"/>
      <c r="E813" s="29"/>
      <c r="F813" s="29"/>
      <c r="G813" s="29"/>
      <c r="H813" s="29"/>
      <c r="I813" s="29"/>
    </row>
    <row r="814" customFormat="false" ht="15" hidden="false" customHeight="false" outlineLevel="0" collapsed="false">
      <c r="A814" s="26"/>
      <c r="B814" s="27"/>
      <c r="C814" s="27"/>
      <c r="D814" s="28"/>
      <c r="E814" s="29"/>
      <c r="F814" s="29"/>
      <c r="G814" s="29"/>
      <c r="H814" s="29"/>
      <c r="I814" s="29"/>
    </row>
    <row r="815" customFormat="false" ht="15" hidden="false" customHeight="false" outlineLevel="0" collapsed="false">
      <c r="A815" s="26"/>
      <c r="B815" s="27"/>
      <c r="C815" s="27"/>
      <c r="D815" s="28"/>
      <c r="E815" s="29"/>
      <c r="F815" s="29"/>
      <c r="G815" s="29"/>
      <c r="H815" s="29"/>
      <c r="I815" s="29"/>
    </row>
    <row r="816" customFormat="false" ht="15" hidden="false" customHeight="false" outlineLevel="0" collapsed="false">
      <c r="A816" s="26"/>
      <c r="B816" s="27"/>
      <c r="C816" s="27"/>
      <c r="D816" s="28"/>
      <c r="E816" s="29"/>
      <c r="F816" s="29"/>
      <c r="G816" s="29"/>
      <c r="H816" s="29"/>
      <c r="I816" s="29"/>
    </row>
    <row r="817" customFormat="false" ht="15" hidden="false" customHeight="false" outlineLevel="0" collapsed="false">
      <c r="A817" s="26"/>
      <c r="B817" s="27"/>
      <c r="C817" s="27"/>
      <c r="D817" s="28"/>
      <c r="E817" s="29"/>
      <c r="F817" s="29"/>
      <c r="G817" s="29"/>
      <c r="H817" s="29"/>
      <c r="I817" s="29"/>
    </row>
    <row r="818" customFormat="false" ht="15" hidden="false" customHeight="false" outlineLevel="0" collapsed="false">
      <c r="A818" s="26"/>
      <c r="B818" s="27"/>
      <c r="C818" s="27"/>
      <c r="D818" s="28"/>
      <c r="E818" s="29"/>
      <c r="F818" s="29"/>
      <c r="G818" s="29"/>
      <c r="H818" s="29"/>
      <c r="I818" s="29"/>
    </row>
    <row r="819" customFormat="false" ht="15" hidden="false" customHeight="false" outlineLevel="0" collapsed="false">
      <c r="A819" s="26"/>
      <c r="B819" s="27"/>
      <c r="C819" s="27"/>
      <c r="D819" s="28"/>
      <c r="E819" s="29"/>
      <c r="F819" s="29"/>
      <c r="G819" s="29"/>
      <c r="H819" s="29"/>
      <c r="I819" s="29"/>
    </row>
    <row r="820" customFormat="false" ht="15" hidden="false" customHeight="false" outlineLevel="0" collapsed="false">
      <c r="A820" s="26"/>
      <c r="B820" s="27"/>
      <c r="C820" s="27"/>
      <c r="D820" s="28"/>
      <c r="E820" s="29"/>
      <c r="F820" s="29"/>
      <c r="G820" s="29"/>
      <c r="H820" s="29"/>
      <c r="I820" s="29"/>
    </row>
    <row r="821" customFormat="false" ht="15" hidden="false" customHeight="false" outlineLevel="0" collapsed="false">
      <c r="A821" s="26"/>
      <c r="B821" s="27"/>
      <c r="C821" s="27"/>
      <c r="D821" s="28"/>
      <c r="E821" s="29"/>
      <c r="F821" s="29"/>
      <c r="G821" s="29"/>
      <c r="H821" s="29"/>
      <c r="I821" s="29"/>
    </row>
    <row r="822" customFormat="false" ht="15" hidden="false" customHeight="false" outlineLevel="0" collapsed="false">
      <c r="A822" s="26"/>
      <c r="B822" s="27"/>
      <c r="C822" s="27"/>
      <c r="D822" s="28"/>
      <c r="E822" s="29"/>
      <c r="F822" s="29"/>
      <c r="G822" s="29"/>
      <c r="H822" s="29"/>
      <c r="I822" s="29"/>
    </row>
    <row r="823" customFormat="false" ht="15" hidden="false" customHeight="false" outlineLevel="0" collapsed="false">
      <c r="A823" s="26"/>
      <c r="B823" s="27"/>
      <c r="C823" s="27"/>
      <c r="D823" s="28"/>
      <c r="E823" s="29"/>
      <c r="F823" s="29"/>
      <c r="G823" s="29"/>
      <c r="H823" s="29"/>
      <c r="I823" s="29"/>
    </row>
    <row r="824" customFormat="false" ht="15" hidden="false" customHeight="false" outlineLevel="0" collapsed="false">
      <c r="A824" s="26"/>
      <c r="B824" s="27"/>
      <c r="C824" s="27"/>
      <c r="D824" s="28"/>
      <c r="E824" s="29"/>
      <c r="F824" s="29"/>
      <c r="G824" s="29"/>
      <c r="H824" s="29"/>
      <c r="I824" s="29"/>
    </row>
    <row r="825" customFormat="false" ht="15" hidden="false" customHeight="false" outlineLevel="0" collapsed="false">
      <c r="A825" s="26"/>
      <c r="B825" s="27"/>
      <c r="C825" s="27"/>
      <c r="D825" s="28"/>
      <c r="E825" s="29"/>
      <c r="F825" s="29"/>
      <c r="G825" s="29"/>
      <c r="H825" s="29"/>
      <c r="I825" s="29"/>
    </row>
    <row r="826" customFormat="false" ht="15" hidden="false" customHeight="false" outlineLevel="0" collapsed="false">
      <c r="A826" s="26"/>
      <c r="B826" s="27"/>
      <c r="C826" s="27"/>
      <c r="D826" s="28"/>
      <c r="E826" s="29"/>
      <c r="F826" s="29"/>
      <c r="G826" s="29"/>
      <c r="H826" s="29"/>
      <c r="I826" s="29"/>
    </row>
    <row r="827" customFormat="false" ht="15" hidden="false" customHeight="false" outlineLevel="0" collapsed="false">
      <c r="A827" s="26"/>
      <c r="B827" s="27"/>
      <c r="C827" s="27"/>
      <c r="D827" s="28"/>
      <c r="E827" s="29"/>
      <c r="F827" s="29"/>
      <c r="G827" s="29"/>
      <c r="H827" s="29"/>
      <c r="I827" s="29"/>
    </row>
    <row r="828" customFormat="false" ht="15" hidden="false" customHeight="false" outlineLevel="0" collapsed="false">
      <c r="A828" s="26"/>
      <c r="B828" s="27"/>
      <c r="C828" s="27"/>
      <c r="D828" s="28"/>
      <c r="E828" s="29"/>
      <c r="F828" s="29"/>
      <c r="G828" s="29"/>
      <c r="H828" s="29"/>
      <c r="I828" s="29"/>
    </row>
    <row r="829" customFormat="false" ht="15" hidden="false" customHeight="false" outlineLevel="0" collapsed="false">
      <c r="A829" s="26"/>
      <c r="B829" s="27"/>
      <c r="C829" s="27"/>
      <c r="D829" s="28"/>
      <c r="E829" s="29"/>
      <c r="F829" s="29"/>
      <c r="G829" s="29"/>
      <c r="H829" s="29"/>
      <c r="I829" s="29"/>
    </row>
    <row r="830" customFormat="false" ht="15" hidden="false" customHeight="false" outlineLevel="0" collapsed="false">
      <c r="A830" s="26"/>
      <c r="B830" s="27"/>
      <c r="C830" s="27"/>
      <c r="D830" s="28"/>
      <c r="E830" s="29"/>
      <c r="F830" s="29"/>
      <c r="G830" s="29"/>
      <c r="H830" s="29"/>
      <c r="I830" s="29"/>
    </row>
    <row r="831" customFormat="false" ht="15" hidden="false" customHeight="false" outlineLevel="0" collapsed="false">
      <c r="A831" s="26"/>
      <c r="B831" s="27"/>
      <c r="C831" s="27"/>
      <c r="D831" s="28"/>
      <c r="E831" s="29"/>
      <c r="F831" s="29"/>
      <c r="G831" s="29"/>
      <c r="H831" s="29"/>
      <c r="I831" s="29"/>
    </row>
    <row r="832" customFormat="false" ht="15" hidden="false" customHeight="false" outlineLevel="0" collapsed="false">
      <c r="A832" s="26"/>
      <c r="B832" s="27"/>
      <c r="C832" s="27"/>
      <c r="D832" s="28"/>
      <c r="E832" s="29"/>
      <c r="F832" s="29"/>
      <c r="G832" s="29"/>
      <c r="H832" s="29"/>
      <c r="I832" s="29"/>
    </row>
    <row r="833" customFormat="false" ht="15" hidden="false" customHeight="false" outlineLevel="0" collapsed="false">
      <c r="A833" s="26"/>
      <c r="B833" s="27"/>
      <c r="C833" s="27"/>
      <c r="D833" s="28"/>
      <c r="E833" s="29"/>
      <c r="F833" s="29"/>
      <c r="G833" s="29"/>
      <c r="H833" s="29"/>
      <c r="I833" s="29"/>
    </row>
    <row r="834" customFormat="false" ht="15" hidden="false" customHeight="false" outlineLevel="0" collapsed="false">
      <c r="A834" s="26"/>
      <c r="B834" s="27"/>
      <c r="C834" s="27"/>
      <c r="D834" s="28"/>
      <c r="E834" s="29"/>
      <c r="F834" s="29"/>
      <c r="G834" s="29"/>
      <c r="H834" s="29"/>
      <c r="I834" s="29"/>
    </row>
    <row r="835" customFormat="false" ht="15" hidden="false" customHeight="false" outlineLevel="0" collapsed="false">
      <c r="A835" s="26"/>
      <c r="B835" s="27"/>
      <c r="C835" s="27"/>
      <c r="D835" s="28"/>
      <c r="E835" s="29"/>
      <c r="F835" s="29"/>
      <c r="G835" s="29"/>
      <c r="H835" s="29"/>
      <c r="I835" s="29"/>
    </row>
    <row r="836" customFormat="false" ht="15" hidden="false" customHeight="false" outlineLevel="0" collapsed="false">
      <c r="A836" s="26"/>
      <c r="B836" s="27"/>
      <c r="C836" s="27"/>
      <c r="D836" s="28"/>
      <c r="E836" s="29"/>
      <c r="F836" s="29"/>
      <c r="G836" s="29"/>
      <c r="H836" s="29"/>
      <c r="I836" s="29"/>
    </row>
    <row r="837" customFormat="false" ht="15" hidden="false" customHeight="false" outlineLevel="0" collapsed="false">
      <c r="A837" s="26"/>
      <c r="B837" s="27"/>
      <c r="C837" s="27"/>
      <c r="D837" s="28"/>
      <c r="E837" s="29"/>
      <c r="F837" s="29"/>
      <c r="G837" s="29"/>
      <c r="H837" s="29"/>
      <c r="I837" s="29"/>
    </row>
    <row r="838" customFormat="false" ht="15" hidden="false" customHeight="false" outlineLevel="0" collapsed="false">
      <c r="A838" s="26"/>
      <c r="B838" s="27"/>
      <c r="C838" s="27"/>
      <c r="D838" s="28"/>
      <c r="E838" s="29"/>
      <c r="F838" s="29"/>
      <c r="G838" s="29"/>
      <c r="H838" s="29"/>
      <c r="I838" s="29"/>
    </row>
    <row r="839" customFormat="false" ht="15" hidden="false" customHeight="false" outlineLevel="0" collapsed="false">
      <c r="A839" s="26"/>
      <c r="B839" s="27"/>
      <c r="C839" s="27"/>
      <c r="D839" s="28"/>
      <c r="E839" s="29"/>
      <c r="F839" s="29"/>
      <c r="G839" s="29"/>
      <c r="H839" s="29"/>
      <c r="I839" s="29"/>
    </row>
    <row r="840" customFormat="false" ht="15" hidden="false" customHeight="false" outlineLevel="0" collapsed="false">
      <c r="A840" s="26"/>
      <c r="B840" s="27"/>
      <c r="C840" s="27"/>
      <c r="D840" s="28"/>
      <c r="E840" s="29"/>
      <c r="F840" s="29"/>
      <c r="G840" s="29"/>
      <c r="H840" s="29"/>
      <c r="I840" s="29"/>
    </row>
    <row r="841" customFormat="false" ht="15" hidden="false" customHeight="false" outlineLevel="0" collapsed="false">
      <c r="A841" s="26"/>
      <c r="B841" s="27"/>
      <c r="C841" s="27"/>
      <c r="D841" s="28"/>
      <c r="E841" s="29"/>
      <c r="F841" s="29"/>
      <c r="G841" s="29"/>
      <c r="H841" s="29"/>
      <c r="I841" s="29"/>
    </row>
    <row r="842" customFormat="false" ht="15" hidden="false" customHeight="false" outlineLevel="0" collapsed="false">
      <c r="A842" s="26"/>
      <c r="B842" s="27"/>
      <c r="C842" s="27"/>
      <c r="D842" s="28"/>
      <c r="E842" s="29"/>
      <c r="F842" s="29"/>
      <c r="G842" s="29"/>
      <c r="H842" s="29"/>
      <c r="I842" s="29"/>
    </row>
    <row r="843" customFormat="false" ht="15" hidden="false" customHeight="false" outlineLevel="0" collapsed="false">
      <c r="A843" s="26"/>
      <c r="B843" s="27"/>
      <c r="C843" s="27"/>
      <c r="D843" s="28"/>
      <c r="E843" s="29"/>
      <c r="F843" s="29"/>
      <c r="G843" s="29"/>
      <c r="H843" s="29"/>
      <c r="I843" s="29"/>
    </row>
    <row r="844" customFormat="false" ht="15" hidden="false" customHeight="false" outlineLevel="0" collapsed="false">
      <c r="A844" s="26"/>
      <c r="B844" s="27"/>
      <c r="C844" s="27"/>
      <c r="D844" s="28"/>
      <c r="E844" s="29"/>
      <c r="F844" s="29"/>
      <c r="G844" s="29"/>
      <c r="H844" s="29"/>
      <c r="I844" s="29"/>
    </row>
    <row r="845" customFormat="false" ht="15" hidden="false" customHeight="false" outlineLevel="0" collapsed="false">
      <c r="A845" s="26"/>
      <c r="B845" s="27"/>
      <c r="C845" s="27"/>
      <c r="D845" s="28"/>
      <c r="E845" s="29"/>
      <c r="F845" s="29"/>
      <c r="G845" s="29"/>
      <c r="H845" s="29"/>
      <c r="I845" s="29"/>
    </row>
    <row r="846" customFormat="false" ht="15" hidden="false" customHeight="false" outlineLevel="0" collapsed="false">
      <c r="A846" s="26"/>
      <c r="B846" s="27"/>
      <c r="C846" s="27"/>
      <c r="D846" s="28"/>
      <c r="E846" s="29"/>
      <c r="F846" s="29"/>
      <c r="G846" s="29"/>
      <c r="H846" s="29"/>
      <c r="I846" s="29"/>
    </row>
    <row r="847" customFormat="false" ht="15" hidden="false" customHeight="false" outlineLevel="0" collapsed="false">
      <c r="A847" s="26"/>
      <c r="B847" s="27"/>
      <c r="C847" s="27"/>
      <c r="D847" s="28"/>
      <c r="E847" s="29"/>
      <c r="F847" s="29"/>
      <c r="G847" s="29"/>
      <c r="H847" s="29"/>
      <c r="I847" s="29"/>
    </row>
    <row r="848" customFormat="false" ht="15" hidden="false" customHeight="false" outlineLevel="0" collapsed="false">
      <c r="A848" s="26"/>
      <c r="B848" s="27"/>
      <c r="C848" s="27"/>
      <c r="D848" s="28"/>
      <c r="E848" s="29"/>
      <c r="F848" s="29"/>
      <c r="G848" s="29"/>
      <c r="H848" s="29"/>
      <c r="I848" s="29"/>
    </row>
    <row r="849" customFormat="false" ht="15" hidden="false" customHeight="false" outlineLevel="0" collapsed="false">
      <c r="A849" s="26"/>
      <c r="B849" s="27"/>
      <c r="C849" s="27"/>
      <c r="D849" s="28"/>
      <c r="E849" s="29"/>
      <c r="F849" s="29"/>
      <c r="G849" s="29"/>
      <c r="H849" s="29"/>
      <c r="I849" s="29"/>
    </row>
    <row r="850" customFormat="false" ht="15" hidden="false" customHeight="false" outlineLevel="0" collapsed="false">
      <c r="A850" s="26"/>
      <c r="B850" s="27"/>
      <c r="C850" s="27"/>
      <c r="D850" s="28"/>
      <c r="E850" s="29"/>
      <c r="F850" s="29"/>
      <c r="G850" s="29"/>
      <c r="H850" s="29"/>
      <c r="I850" s="29"/>
    </row>
    <row r="851" customFormat="false" ht="15" hidden="false" customHeight="false" outlineLevel="0" collapsed="false">
      <c r="A851" s="26"/>
      <c r="B851" s="27"/>
      <c r="C851" s="27"/>
      <c r="D851" s="28"/>
      <c r="E851" s="29"/>
      <c r="F851" s="29"/>
      <c r="G851" s="29"/>
      <c r="H851" s="29"/>
      <c r="I851" s="29"/>
    </row>
    <row r="852" customFormat="false" ht="15" hidden="false" customHeight="false" outlineLevel="0" collapsed="false">
      <c r="A852" s="26"/>
      <c r="B852" s="27"/>
      <c r="C852" s="27"/>
      <c r="D852" s="28"/>
      <c r="E852" s="29"/>
      <c r="F852" s="29"/>
      <c r="G852" s="29"/>
      <c r="H852" s="29"/>
      <c r="I852" s="29"/>
    </row>
    <row r="853" customFormat="false" ht="15" hidden="false" customHeight="false" outlineLevel="0" collapsed="false">
      <c r="A853" s="26"/>
      <c r="B853" s="27"/>
      <c r="C853" s="27"/>
      <c r="D853" s="28"/>
      <c r="E853" s="29"/>
      <c r="F853" s="29"/>
      <c r="G853" s="29"/>
      <c r="H853" s="29"/>
      <c r="I853" s="29"/>
    </row>
    <row r="854" customFormat="false" ht="15" hidden="false" customHeight="false" outlineLevel="0" collapsed="false">
      <c r="A854" s="26"/>
      <c r="B854" s="27"/>
      <c r="C854" s="27"/>
      <c r="D854" s="28"/>
      <c r="E854" s="29"/>
      <c r="F854" s="29"/>
      <c r="G854" s="29"/>
      <c r="H854" s="29"/>
      <c r="I854" s="29"/>
    </row>
    <row r="855" customFormat="false" ht="15" hidden="false" customHeight="false" outlineLevel="0" collapsed="false">
      <c r="A855" s="26"/>
      <c r="B855" s="27"/>
      <c r="C855" s="27"/>
      <c r="D855" s="28"/>
      <c r="E855" s="29"/>
      <c r="F855" s="29"/>
      <c r="G855" s="29"/>
      <c r="H855" s="29"/>
      <c r="I855" s="29"/>
    </row>
    <row r="856" customFormat="false" ht="15" hidden="false" customHeight="false" outlineLevel="0" collapsed="false">
      <c r="A856" s="26"/>
      <c r="B856" s="27"/>
      <c r="C856" s="27"/>
      <c r="D856" s="28"/>
      <c r="E856" s="29"/>
      <c r="F856" s="29"/>
      <c r="G856" s="29"/>
      <c r="H856" s="29"/>
      <c r="I856" s="29"/>
    </row>
    <row r="857" customFormat="false" ht="15" hidden="false" customHeight="false" outlineLevel="0" collapsed="false">
      <c r="A857" s="26"/>
      <c r="B857" s="27"/>
      <c r="C857" s="27"/>
      <c r="D857" s="28"/>
      <c r="E857" s="29"/>
      <c r="F857" s="29"/>
      <c r="G857" s="29"/>
      <c r="H857" s="29"/>
      <c r="I857" s="29"/>
    </row>
    <row r="858" customFormat="false" ht="15" hidden="false" customHeight="false" outlineLevel="0" collapsed="false">
      <c r="A858" s="26"/>
      <c r="B858" s="27"/>
      <c r="C858" s="27"/>
      <c r="D858" s="28"/>
      <c r="E858" s="29"/>
      <c r="F858" s="29"/>
      <c r="G858" s="29"/>
      <c r="H858" s="29"/>
      <c r="I858" s="29"/>
    </row>
    <row r="859" customFormat="false" ht="15" hidden="false" customHeight="false" outlineLevel="0" collapsed="false">
      <c r="A859" s="26"/>
      <c r="B859" s="27"/>
      <c r="C859" s="27"/>
      <c r="D859" s="28"/>
      <c r="E859" s="29"/>
      <c r="F859" s="29"/>
      <c r="G859" s="29"/>
      <c r="H859" s="29"/>
      <c r="I859" s="29"/>
    </row>
    <row r="860" customFormat="false" ht="15" hidden="false" customHeight="false" outlineLevel="0" collapsed="false">
      <c r="A860" s="26"/>
      <c r="B860" s="27"/>
      <c r="C860" s="27"/>
      <c r="D860" s="28"/>
      <c r="E860" s="29"/>
      <c r="F860" s="29"/>
      <c r="G860" s="29"/>
      <c r="H860" s="29"/>
      <c r="I860" s="29"/>
    </row>
    <row r="861" customFormat="false" ht="15" hidden="false" customHeight="false" outlineLevel="0" collapsed="false">
      <c r="A861" s="26"/>
      <c r="B861" s="27"/>
      <c r="C861" s="27"/>
      <c r="D861" s="28"/>
      <c r="E861" s="29"/>
      <c r="F861" s="29"/>
      <c r="G861" s="29"/>
      <c r="H861" s="29"/>
      <c r="I861" s="29"/>
    </row>
    <row r="862" customFormat="false" ht="15" hidden="false" customHeight="false" outlineLevel="0" collapsed="false">
      <c r="A862" s="26"/>
      <c r="B862" s="27"/>
      <c r="C862" s="27"/>
      <c r="D862" s="28"/>
      <c r="E862" s="29"/>
      <c r="F862" s="29"/>
      <c r="G862" s="29"/>
      <c r="H862" s="29"/>
      <c r="I862" s="29"/>
    </row>
    <row r="863" customFormat="false" ht="15" hidden="false" customHeight="false" outlineLevel="0" collapsed="false">
      <c r="A863" s="26"/>
      <c r="B863" s="27"/>
      <c r="C863" s="27"/>
      <c r="D863" s="28"/>
      <c r="E863" s="29"/>
      <c r="F863" s="29"/>
      <c r="G863" s="29"/>
      <c r="H863" s="29"/>
      <c r="I863" s="29"/>
    </row>
    <row r="864" customFormat="false" ht="15" hidden="false" customHeight="false" outlineLevel="0" collapsed="false">
      <c r="A864" s="26"/>
      <c r="B864" s="27"/>
      <c r="C864" s="27"/>
      <c r="D864" s="28"/>
      <c r="E864" s="29"/>
      <c r="F864" s="29"/>
      <c r="G864" s="29"/>
      <c r="H864" s="29"/>
      <c r="I864" s="29"/>
    </row>
    <row r="865" customFormat="false" ht="15" hidden="false" customHeight="false" outlineLevel="0" collapsed="false">
      <c r="A865" s="26"/>
      <c r="B865" s="27"/>
      <c r="C865" s="27"/>
      <c r="D865" s="28"/>
      <c r="E865" s="29"/>
      <c r="F865" s="29"/>
      <c r="G865" s="29"/>
      <c r="H865" s="29"/>
      <c r="I865" s="29"/>
    </row>
    <row r="866" customFormat="false" ht="15" hidden="false" customHeight="false" outlineLevel="0" collapsed="false">
      <c r="A866" s="26"/>
      <c r="B866" s="27"/>
      <c r="C866" s="27"/>
      <c r="D866" s="28"/>
      <c r="E866" s="29"/>
      <c r="F866" s="29"/>
      <c r="G866" s="29"/>
      <c r="H866" s="29"/>
      <c r="I866" s="29"/>
    </row>
    <row r="867" customFormat="false" ht="15" hidden="false" customHeight="false" outlineLevel="0" collapsed="false">
      <c r="A867" s="26"/>
      <c r="B867" s="27"/>
      <c r="C867" s="27"/>
      <c r="D867" s="28"/>
      <c r="E867" s="29"/>
      <c r="F867" s="29"/>
      <c r="G867" s="29"/>
      <c r="H867" s="29"/>
      <c r="I867" s="29"/>
    </row>
    <row r="868" customFormat="false" ht="15" hidden="false" customHeight="false" outlineLevel="0" collapsed="false">
      <c r="A868" s="26"/>
      <c r="B868" s="27"/>
      <c r="C868" s="27"/>
      <c r="D868" s="28"/>
      <c r="E868" s="29"/>
      <c r="F868" s="29"/>
      <c r="G868" s="29"/>
      <c r="H868" s="29"/>
      <c r="I868" s="29"/>
    </row>
    <row r="869" customFormat="false" ht="15" hidden="false" customHeight="false" outlineLevel="0" collapsed="false">
      <c r="A869" s="26"/>
      <c r="B869" s="27"/>
      <c r="C869" s="27"/>
      <c r="D869" s="28"/>
      <c r="E869" s="29"/>
      <c r="F869" s="29"/>
      <c r="G869" s="29"/>
      <c r="H869" s="29"/>
      <c r="I869" s="29"/>
    </row>
    <row r="870" customFormat="false" ht="15" hidden="false" customHeight="false" outlineLevel="0" collapsed="false">
      <c r="A870" s="26"/>
      <c r="B870" s="27"/>
      <c r="C870" s="27"/>
      <c r="D870" s="28"/>
      <c r="E870" s="29"/>
      <c r="F870" s="29"/>
      <c r="G870" s="29"/>
      <c r="H870" s="29"/>
      <c r="I870" s="29"/>
    </row>
    <row r="871" customFormat="false" ht="15" hidden="false" customHeight="false" outlineLevel="0" collapsed="false">
      <c r="A871" s="26"/>
      <c r="B871" s="27"/>
      <c r="C871" s="27"/>
      <c r="D871" s="28"/>
      <c r="E871" s="29"/>
      <c r="F871" s="29"/>
      <c r="G871" s="29"/>
      <c r="H871" s="29"/>
      <c r="I871" s="29"/>
    </row>
    <row r="872" customFormat="false" ht="15" hidden="false" customHeight="false" outlineLevel="0" collapsed="false">
      <c r="A872" s="26"/>
      <c r="B872" s="27"/>
      <c r="C872" s="27"/>
      <c r="D872" s="28"/>
      <c r="E872" s="29"/>
      <c r="F872" s="29"/>
      <c r="G872" s="29"/>
      <c r="H872" s="29"/>
      <c r="I872" s="29"/>
    </row>
    <row r="873" customFormat="false" ht="15" hidden="false" customHeight="false" outlineLevel="0" collapsed="false">
      <c r="A873" s="26"/>
      <c r="B873" s="27"/>
      <c r="C873" s="27"/>
      <c r="D873" s="28"/>
      <c r="E873" s="29"/>
      <c r="F873" s="29"/>
      <c r="G873" s="29"/>
      <c r="H873" s="29"/>
      <c r="I873" s="29"/>
    </row>
    <row r="874" customFormat="false" ht="15" hidden="false" customHeight="false" outlineLevel="0" collapsed="false">
      <c r="A874" s="26"/>
      <c r="B874" s="27"/>
      <c r="C874" s="27"/>
      <c r="D874" s="28"/>
      <c r="E874" s="29"/>
      <c r="F874" s="29"/>
      <c r="G874" s="29"/>
      <c r="H874" s="29"/>
      <c r="I874" s="29"/>
    </row>
    <row r="875" customFormat="false" ht="15" hidden="false" customHeight="false" outlineLevel="0" collapsed="false">
      <c r="A875" s="26"/>
      <c r="B875" s="27"/>
      <c r="C875" s="27"/>
      <c r="D875" s="28"/>
      <c r="E875" s="29"/>
      <c r="F875" s="29"/>
      <c r="G875" s="29"/>
      <c r="H875" s="29"/>
      <c r="I875" s="29"/>
    </row>
    <row r="876" customFormat="false" ht="15" hidden="false" customHeight="false" outlineLevel="0" collapsed="false">
      <c r="A876" s="26"/>
      <c r="B876" s="27"/>
      <c r="C876" s="27"/>
      <c r="D876" s="28"/>
      <c r="E876" s="29"/>
      <c r="F876" s="29"/>
      <c r="G876" s="29"/>
      <c r="H876" s="29"/>
      <c r="I876" s="29"/>
    </row>
    <row r="877" customFormat="false" ht="15" hidden="false" customHeight="false" outlineLevel="0" collapsed="false">
      <c r="A877" s="26"/>
      <c r="B877" s="27"/>
      <c r="C877" s="27"/>
      <c r="D877" s="28"/>
      <c r="E877" s="29"/>
      <c r="F877" s="29"/>
      <c r="G877" s="29"/>
      <c r="H877" s="29"/>
      <c r="I877" s="29"/>
    </row>
    <row r="878" customFormat="false" ht="15" hidden="false" customHeight="false" outlineLevel="0" collapsed="false">
      <c r="A878" s="26"/>
      <c r="B878" s="27"/>
      <c r="C878" s="27"/>
      <c r="D878" s="28"/>
      <c r="E878" s="29"/>
      <c r="F878" s="29"/>
      <c r="G878" s="29"/>
      <c r="H878" s="29"/>
      <c r="I878" s="29"/>
    </row>
    <row r="879" customFormat="false" ht="15" hidden="false" customHeight="false" outlineLevel="0" collapsed="false">
      <c r="A879" s="26"/>
      <c r="B879" s="27"/>
      <c r="C879" s="27"/>
      <c r="D879" s="28"/>
      <c r="E879" s="29"/>
      <c r="F879" s="29"/>
      <c r="G879" s="29"/>
      <c r="H879" s="29"/>
      <c r="I879" s="29"/>
    </row>
    <row r="880" customFormat="false" ht="15" hidden="false" customHeight="false" outlineLevel="0" collapsed="false">
      <c r="A880" s="26"/>
      <c r="B880" s="27"/>
      <c r="C880" s="27"/>
      <c r="D880" s="28"/>
      <c r="E880" s="29"/>
      <c r="F880" s="29"/>
      <c r="G880" s="29"/>
      <c r="H880" s="29"/>
      <c r="I880" s="29"/>
    </row>
    <row r="881" customFormat="false" ht="15" hidden="false" customHeight="false" outlineLevel="0" collapsed="false">
      <c r="A881" s="26"/>
      <c r="B881" s="27"/>
      <c r="C881" s="27"/>
      <c r="D881" s="28"/>
      <c r="E881" s="29"/>
      <c r="F881" s="29"/>
      <c r="G881" s="29"/>
      <c r="H881" s="29"/>
      <c r="I881" s="29"/>
    </row>
    <row r="882" customFormat="false" ht="15" hidden="false" customHeight="false" outlineLevel="0" collapsed="false">
      <c r="A882" s="26"/>
      <c r="B882" s="27"/>
      <c r="C882" s="27"/>
      <c r="D882" s="28"/>
      <c r="E882" s="29"/>
      <c r="F882" s="29"/>
      <c r="G882" s="29"/>
      <c r="H882" s="29"/>
      <c r="I882" s="29"/>
    </row>
    <row r="883" customFormat="false" ht="15" hidden="false" customHeight="false" outlineLevel="0" collapsed="false">
      <c r="A883" s="26"/>
      <c r="B883" s="27"/>
      <c r="C883" s="27"/>
      <c r="D883" s="28"/>
      <c r="E883" s="29"/>
      <c r="F883" s="29"/>
      <c r="G883" s="29"/>
      <c r="H883" s="29"/>
      <c r="I883" s="29"/>
    </row>
    <row r="884" customFormat="false" ht="15" hidden="false" customHeight="false" outlineLevel="0" collapsed="false">
      <c r="A884" s="26"/>
      <c r="B884" s="27"/>
      <c r="C884" s="27"/>
      <c r="D884" s="28"/>
      <c r="E884" s="29"/>
      <c r="F884" s="29"/>
      <c r="G884" s="29"/>
      <c r="H884" s="29"/>
      <c r="I884" s="29"/>
    </row>
    <row r="885" customFormat="false" ht="15" hidden="false" customHeight="false" outlineLevel="0" collapsed="false">
      <c r="A885" s="26"/>
      <c r="B885" s="27"/>
      <c r="C885" s="27"/>
      <c r="D885" s="28"/>
      <c r="E885" s="29"/>
      <c r="F885" s="29"/>
      <c r="G885" s="29"/>
      <c r="H885" s="29"/>
      <c r="I885" s="29"/>
    </row>
    <row r="886" customFormat="false" ht="15" hidden="false" customHeight="false" outlineLevel="0" collapsed="false">
      <c r="A886" s="26"/>
      <c r="B886" s="27"/>
      <c r="C886" s="27"/>
      <c r="D886" s="28"/>
      <c r="E886" s="29"/>
      <c r="F886" s="29"/>
      <c r="G886" s="29"/>
      <c r="H886" s="29"/>
      <c r="I886" s="29"/>
    </row>
    <row r="887" customFormat="false" ht="15" hidden="false" customHeight="false" outlineLevel="0" collapsed="false">
      <c r="A887" s="26"/>
      <c r="B887" s="27"/>
      <c r="C887" s="27"/>
      <c r="D887" s="28"/>
      <c r="E887" s="29"/>
      <c r="F887" s="29"/>
      <c r="G887" s="29"/>
      <c r="H887" s="29"/>
      <c r="I887" s="29"/>
    </row>
    <row r="888" customFormat="false" ht="15" hidden="false" customHeight="false" outlineLevel="0" collapsed="false">
      <c r="A888" s="26"/>
      <c r="B888" s="27"/>
      <c r="C888" s="27"/>
      <c r="D888" s="28"/>
      <c r="E888" s="29"/>
      <c r="F888" s="29"/>
      <c r="G888" s="29"/>
      <c r="H888" s="29"/>
      <c r="I888" s="29"/>
    </row>
    <row r="889" customFormat="false" ht="15" hidden="false" customHeight="false" outlineLevel="0" collapsed="false">
      <c r="A889" s="26"/>
      <c r="B889" s="27"/>
      <c r="C889" s="27"/>
      <c r="D889" s="28"/>
      <c r="E889" s="29"/>
      <c r="F889" s="29"/>
      <c r="G889" s="29"/>
      <c r="H889" s="29"/>
      <c r="I889" s="29"/>
    </row>
    <row r="890" customFormat="false" ht="15" hidden="false" customHeight="false" outlineLevel="0" collapsed="false">
      <c r="A890" s="26"/>
      <c r="B890" s="27"/>
      <c r="C890" s="27"/>
      <c r="D890" s="28"/>
      <c r="E890" s="29"/>
      <c r="F890" s="29"/>
      <c r="G890" s="29"/>
      <c r="H890" s="29"/>
      <c r="I890" s="29"/>
    </row>
    <row r="891" customFormat="false" ht="15" hidden="false" customHeight="false" outlineLevel="0" collapsed="false">
      <c r="A891" s="26"/>
      <c r="B891" s="27"/>
      <c r="C891" s="27"/>
      <c r="D891" s="28"/>
      <c r="E891" s="29"/>
      <c r="F891" s="29"/>
      <c r="G891" s="29"/>
      <c r="H891" s="29"/>
      <c r="I891" s="29"/>
    </row>
    <row r="892" customFormat="false" ht="15" hidden="false" customHeight="false" outlineLevel="0" collapsed="false">
      <c r="A892" s="26"/>
      <c r="B892" s="27"/>
      <c r="C892" s="27"/>
      <c r="D892" s="28"/>
      <c r="E892" s="29"/>
      <c r="F892" s="29"/>
      <c r="G892" s="29"/>
      <c r="H892" s="29"/>
      <c r="I892" s="29"/>
    </row>
    <row r="893" customFormat="false" ht="15" hidden="false" customHeight="false" outlineLevel="0" collapsed="false">
      <c r="A893" s="26"/>
      <c r="B893" s="27"/>
      <c r="C893" s="27"/>
      <c r="D893" s="28"/>
      <c r="E893" s="29"/>
      <c r="F893" s="29"/>
      <c r="G893" s="29"/>
      <c r="H893" s="29"/>
      <c r="I893" s="29"/>
    </row>
    <row r="894" customFormat="false" ht="15" hidden="false" customHeight="false" outlineLevel="0" collapsed="false">
      <c r="A894" s="26"/>
      <c r="B894" s="27"/>
      <c r="C894" s="27"/>
      <c r="D894" s="28"/>
      <c r="E894" s="29"/>
      <c r="F894" s="29"/>
      <c r="G894" s="29"/>
      <c r="H894" s="29"/>
      <c r="I894" s="29"/>
    </row>
    <row r="895" customFormat="false" ht="15" hidden="false" customHeight="false" outlineLevel="0" collapsed="false">
      <c r="A895" s="26"/>
      <c r="B895" s="27"/>
      <c r="C895" s="27"/>
      <c r="D895" s="28"/>
      <c r="E895" s="29"/>
      <c r="F895" s="29"/>
      <c r="G895" s="29"/>
      <c r="H895" s="29"/>
      <c r="I895" s="29"/>
    </row>
    <row r="896" customFormat="false" ht="15" hidden="false" customHeight="false" outlineLevel="0" collapsed="false">
      <c r="A896" s="26"/>
      <c r="B896" s="27"/>
      <c r="C896" s="27"/>
      <c r="D896" s="28"/>
      <c r="E896" s="29"/>
      <c r="F896" s="29"/>
      <c r="G896" s="29"/>
      <c r="H896" s="29"/>
      <c r="I896" s="29"/>
    </row>
    <row r="897" customFormat="false" ht="15" hidden="false" customHeight="false" outlineLevel="0" collapsed="false">
      <c r="A897" s="26"/>
      <c r="B897" s="27"/>
      <c r="C897" s="27"/>
      <c r="D897" s="28"/>
      <c r="E897" s="29"/>
      <c r="F897" s="29"/>
      <c r="G897" s="29"/>
      <c r="H897" s="29"/>
      <c r="I897" s="29"/>
    </row>
    <row r="898" customFormat="false" ht="15" hidden="false" customHeight="false" outlineLevel="0" collapsed="false">
      <c r="A898" s="26"/>
      <c r="B898" s="27"/>
      <c r="C898" s="27"/>
      <c r="D898" s="28"/>
      <c r="E898" s="29"/>
      <c r="F898" s="29"/>
      <c r="G898" s="29"/>
      <c r="H898" s="29"/>
      <c r="I898" s="29"/>
    </row>
    <row r="899" customFormat="false" ht="15" hidden="false" customHeight="false" outlineLevel="0" collapsed="false">
      <c r="A899" s="26"/>
      <c r="B899" s="27"/>
      <c r="C899" s="27"/>
      <c r="D899" s="28"/>
      <c r="E899" s="29"/>
      <c r="F899" s="29"/>
      <c r="G899" s="29"/>
      <c r="H899" s="29"/>
      <c r="I899" s="29"/>
    </row>
    <row r="900" customFormat="false" ht="15" hidden="false" customHeight="false" outlineLevel="0" collapsed="false">
      <c r="A900" s="26"/>
      <c r="B900" s="27"/>
      <c r="C900" s="27"/>
      <c r="D900" s="28"/>
      <c r="E900" s="29"/>
      <c r="F900" s="29"/>
      <c r="G900" s="29"/>
      <c r="H900" s="29"/>
      <c r="I900" s="29"/>
    </row>
    <row r="901" customFormat="false" ht="15" hidden="false" customHeight="false" outlineLevel="0" collapsed="false">
      <c r="A901" s="26"/>
      <c r="B901" s="27"/>
      <c r="C901" s="27"/>
      <c r="D901" s="28"/>
      <c r="E901" s="29"/>
      <c r="F901" s="29"/>
      <c r="G901" s="29"/>
      <c r="H901" s="29"/>
      <c r="I901" s="29"/>
    </row>
    <row r="902" customFormat="false" ht="15" hidden="false" customHeight="false" outlineLevel="0" collapsed="false">
      <c r="A902" s="26"/>
      <c r="B902" s="27"/>
      <c r="C902" s="27"/>
      <c r="D902" s="28"/>
      <c r="E902" s="29"/>
      <c r="F902" s="29"/>
      <c r="G902" s="29"/>
      <c r="H902" s="29"/>
      <c r="I902" s="29"/>
    </row>
    <row r="903" customFormat="false" ht="15" hidden="false" customHeight="false" outlineLevel="0" collapsed="false">
      <c r="A903" s="26"/>
      <c r="B903" s="27"/>
      <c r="C903" s="27"/>
      <c r="D903" s="28"/>
      <c r="E903" s="29"/>
      <c r="F903" s="29"/>
      <c r="G903" s="29"/>
      <c r="H903" s="29"/>
      <c r="I903" s="29"/>
    </row>
    <row r="904" customFormat="false" ht="15" hidden="false" customHeight="false" outlineLevel="0" collapsed="false">
      <c r="A904" s="26"/>
      <c r="B904" s="27"/>
      <c r="C904" s="27"/>
      <c r="D904" s="28"/>
      <c r="E904" s="29"/>
      <c r="F904" s="29"/>
      <c r="G904" s="29"/>
      <c r="H904" s="29"/>
      <c r="I904" s="29"/>
    </row>
    <row r="905" customFormat="false" ht="15" hidden="false" customHeight="false" outlineLevel="0" collapsed="false">
      <c r="A905" s="26"/>
      <c r="B905" s="27"/>
      <c r="C905" s="27"/>
      <c r="D905" s="28"/>
      <c r="E905" s="29"/>
      <c r="F905" s="29"/>
      <c r="G905" s="29"/>
      <c r="H905" s="29"/>
      <c r="I905" s="29"/>
    </row>
    <row r="906" customFormat="false" ht="15" hidden="false" customHeight="false" outlineLevel="0" collapsed="false">
      <c r="A906" s="26"/>
      <c r="B906" s="27"/>
      <c r="C906" s="27"/>
      <c r="D906" s="28"/>
      <c r="E906" s="29"/>
      <c r="F906" s="29"/>
      <c r="G906" s="29"/>
      <c r="H906" s="29"/>
      <c r="I906" s="29"/>
    </row>
    <row r="907" customFormat="false" ht="15" hidden="false" customHeight="false" outlineLevel="0" collapsed="false">
      <c r="A907" s="26"/>
      <c r="B907" s="27"/>
      <c r="C907" s="27"/>
      <c r="D907" s="28"/>
      <c r="E907" s="29"/>
      <c r="F907" s="29"/>
      <c r="G907" s="29"/>
      <c r="H907" s="29"/>
      <c r="I907" s="29"/>
    </row>
    <row r="908" customFormat="false" ht="15" hidden="false" customHeight="false" outlineLevel="0" collapsed="false">
      <c r="A908" s="26"/>
      <c r="B908" s="27"/>
      <c r="C908" s="27"/>
      <c r="D908" s="28"/>
      <c r="E908" s="29"/>
      <c r="F908" s="29"/>
      <c r="G908" s="29"/>
      <c r="H908" s="29"/>
      <c r="I908" s="29"/>
    </row>
    <row r="909" customFormat="false" ht="15" hidden="false" customHeight="false" outlineLevel="0" collapsed="false">
      <c r="A909" s="26"/>
      <c r="B909" s="27"/>
      <c r="C909" s="27"/>
      <c r="D909" s="28"/>
      <c r="E909" s="29"/>
      <c r="F909" s="29"/>
      <c r="G909" s="29"/>
      <c r="H909" s="29"/>
      <c r="I909" s="29"/>
    </row>
    <row r="910" customFormat="false" ht="15" hidden="false" customHeight="false" outlineLevel="0" collapsed="false">
      <c r="A910" s="26"/>
      <c r="B910" s="27"/>
      <c r="C910" s="27"/>
      <c r="D910" s="28"/>
      <c r="E910" s="29"/>
      <c r="F910" s="29"/>
      <c r="G910" s="29"/>
      <c r="H910" s="29"/>
      <c r="I910" s="29"/>
    </row>
    <row r="911" customFormat="false" ht="15" hidden="false" customHeight="false" outlineLevel="0" collapsed="false">
      <c r="A911" s="26"/>
      <c r="B911" s="27"/>
      <c r="C911" s="27"/>
      <c r="D911" s="28"/>
      <c r="E911" s="29"/>
      <c r="F911" s="29"/>
      <c r="G911" s="29"/>
      <c r="H911" s="29"/>
      <c r="I911" s="29"/>
    </row>
    <row r="912" customFormat="false" ht="15" hidden="false" customHeight="false" outlineLevel="0" collapsed="false">
      <c r="A912" s="26"/>
      <c r="B912" s="27"/>
      <c r="C912" s="27"/>
      <c r="D912" s="28"/>
      <c r="E912" s="29"/>
      <c r="F912" s="29"/>
      <c r="G912" s="29"/>
      <c r="H912" s="29"/>
      <c r="I912" s="29"/>
    </row>
    <row r="913" customFormat="false" ht="15" hidden="false" customHeight="false" outlineLevel="0" collapsed="false">
      <c r="A913" s="26"/>
      <c r="B913" s="27"/>
      <c r="C913" s="27"/>
      <c r="D913" s="28"/>
      <c r="E913" s="29"/>
      <c r="F913" s="29"/>
      <c r="G913" s="29"/>
      <c r="H913" s="29"/>
      <c r="I913" s="29"/>
    </row>
    <row r="914" customFormat="false" ht="15" hidden="false" customHeight="false" outlineLevel="0" collapsed="false">
      <c r="A914" s="26"/>
      <c r="B914" s="27"/>
      <c r="C914" s="27"/>
      <c r="D914" s="28"/>
      <c r="E914" s="29"/>
      <c r="F914" s="29"/>
      <c r="G914" s="29"/>
      <c r="H914" s="29"/>
      <c r="I914" s="29"/>
    </row>
    <row r="915" customFormat="false" ht="15" hidden="false" customHeight="false" outlineLevel="0" collapsed="false">
      <c r="A915" s="26"/>
      <c r="B915" s="27"/>
      <c r="C915" s="27"/>
      <c r="D915" s="28"/>
      <c r="E915" s="29"/>
      <c r="F915" s="29"/>
      <c r="G915" s="29"/>
      <c r="H915" s="29"/>
      <c r="I915" s="29"/>
    </row>
    <row r="916" customFormat="false" ht="15" hidden="false" customHeight="false" outlineLevel="0" collapsed="false">
      <c r="A916" s="26"/>
      <c r="B916" s="27"/>
      <c r="C916" s="27"/>
      <c r="D916" s="28"/>
      <c r="E916" s="29"/>
      <c r="F916" s="29"/>
      <c r="G916" s="29"/>
      <c r="H916" s="29"/>
      <c r="I916" s="29"/>
    </row>
    <row r="917" customFormat="false" ht="15" hidden="false" customHeight="false" outlineLevel="0" collapsed="false">
      <c r="A917" s="26"/>
      <c r="B917" s="27"/>
      <c r="C917" s="27"/>
      <c r="D917" s="28"/>
      <c r="E917" s="29"/>
      <c r="F917" s="29"/>
      <c r="G917" s="29"/>
      <c r="H917" s="29"/>
      <c r="I917" s="29"/>
    </row>
    <row r="918" customFormat="false" ht="15" hidden="false" customHeight="false" outlineLevel="0" collapsed="false">
      <c r="A918" s="26"/>
      <c r="B918" s="27"/>
      <c r="C918" s="27"/>
      <c r="D918" s="28"/>
      <c r="E918" s="29"/>
      <c r="F918" s="29"/>
      <c r="G918" s="29"/>
      <c r="H918" s="29"/>
      <c r="I918" s="29"/>
    </row>
    <row r="919" customFormat="false" ht="15" hidden="false" customHeight="false" outlineLevel="0" collapsed="false">
      <c r="A919" s="26"/>
      <c r="B919" s="27"/>
      <c r="C919" s="27"/>
      <c r="D919" s="28"/>
      <c r="E919" s="29"/>
      <c r="F919" s="29"/>
      <c r="G919" s="29"/>
      <c r="H919" s="29"/>
      <c r="I919" s="29"/>
    </row>
    <row r="920" customFormat="false" ht="15" hidden="false" customHeight="false" outlineLevel="0" collapsed="false">
      <c r="A920" s="26"/>
      <c r="B920" s="27"/>
      <c r="C920" s="27"/>
      <c r="D920" s="28"/>
      <c r="E920" s="29"/>
      <c r="F920" s="29"/>
      <c r="G920" s="29"/>
      <c r="H920" s="29"/>
      <c r="I920" s="29"/>
    </row>
    <row r="921" customFormat="false" ht="15" hidden="false" customHeight="false" outlineLevel="0" collapsed="false">
      <c r="A921" s="26"/>
      <c r="B921" s="27"/>
      <c r="C921" s="27"/>
      <c r="D921" s="28"/>
      <c r="E921" s="29"/>
      <c r="F921" s="29"/>
      <c r="G921" s="29"/>
      <c r="H921" s="29"/>
      <c r="I921" s="29"/>
    </row>
    <row r="922" customFormat="false" ht="15" hidden="false" customHeight="false" outlineLevel="0" collapsed="false">
      <c r="A922" s="26"/>
      <c r="B922" s="27"/>
      <c r="C922" s="27"/>
      <c r="D922" s="28"/>
      <c r="E922" s="29"/>
      <c r="F922" s="29"/>
      <c r="G922" s="29"/>
      <c r="H922" s="29"/>
      <c r="I922" s="29"/>
    </row>
    <row r="923" customFormat="false" ht="15" hidden="false" customHeight="false" outlineLevel="0" collapsed="false">
      <c r="A923" s="26"/>
      <c r="B923" s="27"/>
      <c r="C923" s="27"/>
      <c r="D923" s="28"/>
      <c r="E923" s="29"/>
      <c r="F923" s="29"/>
      <c r="G923" s="29"/>
      <c r="H923" s="29"/>
      <c r="I923" s="29"/>
    </row>
    <row r="924" customFormat="false" ht="15" hidden="false" customHeight="false" outlineLevel="0" collapsed="false">
      <c r="A924" s="26"/>
      <c r="B924" s="27"/>
      <c r="C924" s="27"/>
      <c r="D924" s="28"/>
      <c r="E924" s="29"/>
      <c r="F924" s="29"/>
      <c r="G924" s="29"/>
      <c r="H924" s="29"/>
      <c r="I924" s="29"/>
    </row>
    <row r="925" customFormat="false" ht="15" hidden="false" customHeight="false" outlineLevel="0" collapsed="false">
      <c r="A925" s="26"/>
      <c r="B925" s="27"/>
      <c r="C925" s="27"/>
      <c r="D925" s="28"/>
      <c r="E925" s="29"/>
      <c r="F925" s="29"/>
      <c r="G925" s="29"/>
      <c r="H925" s="29"/>
      <c r="I925" s="29"/>
    </row>
    <row r="926" customFormat="false" ht="15" hidden="false" customHeight="false" outlineLevel="0" collapsed="false">
      <c r="A926" s="26"/>
      <c r="B926" s="27"/>
      <c r="C926" s="27"/>
      <c r="D926" s="28"/>
      <c r="E926" s="29"/>
      <c r="F926" s="29"/>
      <c r="G926" s="29"/>
      <c r="H926" s="29"/>
      <c r="I926" s="29"/>
    </row>
    <row r="927" customFormat="false" ht="15" hidden="false" customHeight="false" outlineLevel="0" collapsed="false">
      <c r="A927" s="26"/>
      <c r="B927" s="27"/>
      <c r="C927" s="27"/>
      <c r="D927" s="28"/>
      <c r="E927" s="29"/>
      <c r="F927" s="29"/>
      <c r="G927" s="29"/>
      <c r="H927" s="29"/>
      <c r="I927" s="29"/>
    </row>
    <row r="928" customFormat="false" ht="15" hidden="false" customHeight="false" outlineLevel="0" collapsed="false">
      <c r="A928" s="26"/>
      <c r="B928" s="27"/>
      <c r="C928" s="27"/>
      <c r="D928" s="28"/>
      <c r="E928" s="29"/>
      <c r="F928" s="29"/>
      <c r="G928" s="29"/>
      <c r="H928" s="29"/>
      <c r="I928" s="29"/>
    </row>
    <row r="929" customFormat="false" ht="15" hidden="false" customHeight="false" outlineLevel="0" collapsed="false">
      <c r="A929" s="26"/>
      <c r="B929" s="27"/>
      <c r="C929" s="27"/>
      <c r="D929" s="28"/>
      <c r="E929" s="29"/>
      <c r="F929" s="29"/>
      <c r="G929" s="29"/>
      <c r="H929" s="29"/>
      <c r="I929" s="29"/>
    </row>
    <row r="930" customFormat="false" ht="15" hidden="false" customHeight="false" outlineLevel="0" collapsed="false">
      <c r="A930" s="26"/>
      <c r="B930" s="27"/>
      <c r="C930" s="27"/>
      <c r="D930" s="28"/>
      <c r="E930" s="29"/>
      <c r="F930" s="29"/>
      <c r="G930" s="29"/>
      <c r="H930" s="29"/>
      <c r="I930" s="29"/>
    </row>
    <row r="931" customFormat="false" ht="15" hidden="false" customHeight="false" outlineLevel="0" collapsed="false">
      <c r="A931" s="26"/>
      <c r="B931" s="27"/>
      <c r="C931" s="27"/>
      <c r="D931" s="28"/>
      <c r="E931" s="29"/>
      <c r="F931" s="29"/>
      <c r="G931" s="29"/>
      <c r="H931" s="29"/>
      <c r="I931" s="29"/>
    </row>
    <row r="932" customFormat="false" ht="15" hidden="false" customHeight="false" outlineLevel="0" collapsed="false">
      <c r="A932" s="26"/>
      <c r="B932" s="27"/>
      <c r="C932" s="27"/>
      <c r="D932" s="28"/>
      <c r="E932" s="29"/>
      <c r="F932" s="29"/>
      <c r="G932" s="29"/>
      <c r="H932" s="29"/>
      <c r="I932" s="29"/>
    </row>
    <row r="933" customFormat="false" ht="15" hidden="false" customHeight="false" outlineLevel="0" collapsed="false">
      <c r="A933" s="26"/>
      <c r="B933" s="27"/>
      <c r="C933" s="27"/>
      <c r="D933" s="28"/>
      <c r="E933" s="29"/>
      <c r="F933" s="29"/>
      <c r="G933" s="29"/>
      <c r="H933" s="29"/>
      <c r="I933" s="29"/>
    </row>
    <row r="934" customFormat="false" ht="15" hidden="false" customHeight="false" outlineLevel="0" collapsed="false">
      <c r="A934" s="26"/>
      <c r="B934" s="27"/>
      <c r="C934" s="27"/>
      <c r="D934" s="28"/>
      <c r="E934" s="29"/>
      <c r="F934" s="29"/>
      <c r="G934" s="29"/>
      <c r="H934" s="29"/>
      <c r="I934" s="29"/>
    </row>
    <row r="935" customFormat="false" ht="15" hidden="false" customHeight="false" outlineLevel="0" collapsed="false">
      <c r="A935" s="26"/>
      <c r="B935" s="27"/>
      <c r="C935" s="27"/>
      <c r="D935" s="28"/>
      <c r="E935" s="29"/>
      <c r="F935" s="29"/>
      <c r="G935" s="29"/>
      <c r="H935" s="29"/>
      <c r="I935" s="29"/>
    </row>
    <row r="936" customFormat="false" ht="15" hidden="false" customHeight="false" outlineLevel="0" collapsed="false">
      <c r="A936" s="26"/>
      <c r="B936" s="27"/>
      <c r="C936" s="27"/>
      <c r="D936" s="28"/>
      <c r="E936" s="29"/>
      <c r="F936" s="29"/>
      <c r="G936" s="29"/>
      <c r="H936" s="29"/>
      <c r="I936" s="29"/>
    </row>
    <row r="937" customFormat="false" ht="15" hidden="false" customHeight="false" outlineLevel="0" collapsed="false">
      <c r="A937" s="26"/>
      <c r="B937" s="27"/>
      <c r="C937" s="27"/>
      <c r="D937" s="28"/>
      <c r="E937" s="29"/>
      <c r="F937" s="29"/>
      <c r="G937" s="29"/>
      <c r="H937" s="29"/>
      <c r="I937" s="29"/>
    </row>
    <row r="938" customFormat="false" ht="15" hidden="false" customHeight="false" outlineLevel="0" collapsed="false">
      <c r="A938" s="26"/>
      <c r="B938" s="27"/>
      <c r="C938" s="27"/>
      <c r="D938" s="28"/>
      <c r="E938" s="29"/>
      <c r="F938" s="29"/>
      <c r="G938" s="29"/>
      <c r="H938" s="29"/>
      <c r="I938" s="29"/>
    </row>
    <row r="939" customFormat="false" ht="15" hidden="false" customHeight="false" outlineLevel="0" collapsed="false">
      <c r="A939" s="26"/>
      <c r="B939" s="27"/>
      <c r="C939" s="27"/>
      <c r="D939" s="28"/>
      <c r="E939" s="29"/>
      <c r="F939" s="29"/>
      <c r="G939" s="29"/>
      <c r="H939" s="29"/>
      <c r="I939" s="29"/>
    </row>
    <row r="940" customFormat="false" ht="15" hidden="false" customHeight="false" outlineLevel="0" collapsed="false">
      <c r="A940" s="26"/>
      <c r="B940" s="27"/>
      <c r="C940" s="27"/>
      <c r="D940" s="28"/>
      <c r="E940" s="29"/>
      <c r="F940" s="29"/>
      <c r="G940" s="29"/>
      <c r="H940" s="29"/>
      <c r="I940" s="29"/>
    </row>
    <row r="941" customFormat="false" ht="15" hidden="false" customHeight="false" outlineLevel="0" collapsed="false">
      <c r="A941" s="26"/>
      <c r="B941" s="27"/>
      <c r="C941" s="27"/>
      <c r="D941" s="28"/>
      <c r="E941" s="29"/>
      <c r="F941" s="29"/>
      <c r="G941" s="29"/>
      <c r="H941" s="29"/>
      <c r="I941" s="29"/>
    </row>
    <row r="942" customFormat="false" ht="15" hidden="false" customHeight="false" outlineLevel="0" collapsed="false">
      <c r="A942" s="26"/>
      <c r="B942" s="27"/>
      <c r="C942" s="27"/>
      <c r="D942" s="28"/>
      <c r="E942" s="29"/>
      <c r="F942" s="29"/>
      <c r="G942" s="29"/>
      <c r="H942" s="29"/>
      <c r="I942" s="29"/>
    </row>
    <row r="943" customFormat="false" ht="15" hidden="false" customHeight="false" outlineLevel="0" collapsed="false">
      <c r="A943" s="26"/>
      <c r="B943" s="27"/>
      <c r="C943" s="27"/>
      <c r="D943" s="28"/>
      <c r="E943" s="29"/>
      <c r="F943" s="29"/>
      <c r="G943" s="29"/>
      <c r="H943" s="29"/>
      <c r="I943" s="29"/>
    </row>
    <row r="944" customFormat="false" ht="15" hidden="false" customHeight="false" outlineLevel="0" collapsed="false">
      <c r="A944" s="26"/>
      <c r="B944" s="27"/>
      <c r="C944" s="27"/>
      <c r="D944" s="28"/>
      <c r="E944" s="29"/>
      <c r="F944" s="29"/>
      <c r="G944" s="29"/>
      <c r="H944" s="29"/>
      <c r="I944" s="29"/>
    </row>
    <row r="945" customFormat="false" ht="15" hidden="false" customHeight="false" outlineLevel="0" collapsed="false">
      <c r="A945" s="26"/>
      <c r="B945" s="27"/>
      <c r="C945" s="27"/>
      <c r="D945" s="28"/>
      <c r="E945" s="29"/>
      <c r="F945" s="29"/>
      <c r="G945" s="29"/>
      <c r="H945" s="29"/>
      <c r="I945" s="29"/>
    </row>
    <row r="946" customFormat="false" ht="15" hidden="false" customHeight="false" outlineLevel="0" collapsed="false">
      <c r="A946" s="26"/>
      <c r="B946" s="27"/>
      <c r="C946" s="27"/>
      <c r="D946" s="28"/>
      <c r="E946" s="29"/>
      <c r="F946" s="29"/>
      <c r="G946" s="29"/>
      <c r="H946" s="29"/>
      <c r="I946" s="29"/>
    </row>
    <row r="947" customFormat="false" ht="15" hidden="false" customHeight="false" outlineLevel="0" collapsed="false">
      <c r="A947" s="26"/>
      <c r="B947" s="27"/>
      <c r="C947" s="27"/>
      <c r="D947" s="28"/>
      <c r="E947" s="29"/>
      <c r="F947" s="29"/>
      <c r="G947" s="29"/>
      <c r="H947" s="29"/>
      <c r="I947" s="29"/>
    </row>
    <row r="948" customFormat="false" ht="15" hidden="false" customHeight="false" outlineLevel="0" collapsed="false">
      <c r="A948" s="26"/>
      <c r="B948" s="27"/>
      <c r="C948" s="27"/>
      <c r="D948" s="28"/>
      <c r="E948" s="29"/>
      <c r="F948" s="29"/>
      <c r="G948" s="29"/>
      <c r="H948" s="29"/>
      <c r="I948" s="29"/>
    </row>
    <row r="949" customFormat="false" ht="15" hidden="false" customHeight="false" outlineLevel="0" collapsed="false">
      <c r="A949" s="26"/>
      <c r="B949" s="27"/>
      <c r="C949" s="27"/>
      <c r="D949" s="28"/>
      <c r="E949" s="29"/>
      <c r="F949" s="29"/>
      <c r="G949" s="29"/>
      <c r="H949" s="29"/>
      <c r="I949" s="29"/>
    </row>
    <row r="950" customFormat="false" ht="15" hidden="false" customHeight="false" outlineLevel="0" collapsed="false">
      <c r="A950" s="26"/>
      <c r="B950" s="27"/>
      <c r="C950" s="27"/>
      <c r="D950" s="28"/>
      <c r="E950" s="29"/>
      <c r="F950" s="29"/>
      <c r="G950" s="29"/>
      <c r="H950" s="29"/>
      <c r="I950" s="29"/>
    </row>
    <row r="951" customFormat="false" ht="15" hidden="false" customHeight="false" outlineLevel="0" collapsed="false">
      <c r="A951" s="26"/>
      <c r="B951" s="27"/>
      <c r="C951" s="27"/>
      <c r="D951" s="28"/>
      <c r="E951" s="29"/>
      <c r="F951" s="29"/>
      <c r="G951" s="29"/>
      <c r="H951" s="29"/>
      <c r="I951" s="29"/>
    </row>
    <row r="952" customFormat="false" ht="15" hidden="false" customHeight="false" outlineLevel="0" collapsed="false">
      <c r="A952" s="26"/>
      <c r="B952" s="27"/>
      <c r="C952" s="27"/>
      <c r="D952" s="28"/>
      <c r="E952" s="29"/>
      <c r="F952" s="29"/>
      <c r="G952" s="29"/>
      <c r="H952" s="29"/>
      <c r="I952" s="29"/>
    </row>
    <row r="953" customFormat="false" ht="15" hidden="false" customHeight="false" outlineLevel="0" collapsed="false">
      <c r="A953" s="26"/>
      <c r="B953" s="27"/>
      <c r="C953" s="27"/>
      <c r="D953" s="28"/>
      <c r="E953" s="29"/>
      <c r="F953" s="29"/>
      <c r="G953" s="29"/>
      <c r="H953" s="29"/>
      <c r="I953" s="29"/>
    </row>
    <row r="954" customFormat="false" ht="15" hidden="false" customHeight="false" outlineLevel="0" collapsed="false">
      <c r="A954" s="26"/>
      <c r="B954" s="27"/>
      <c r="C954" s="27"/>
      <c r="D954" s="28"/>
      <c r="E954" s="29"/>
      <c r="F954" s="29"/>
      <c r="G954" s="29"/>
      <c r="H954" s="29"/>
      <c r="I954" s="29"/>
    </row>
    <row r="955" customFormat="false" ht="15" hidden="false" customHeight="false" outlineLevel="0" collapsed="false">
      <c r="A955" s="26"/>
      <c r="B955" s="27"/>
      <c r="C955" s="27"/>
      <c r="D955" s="28"/>
      <c r="E955" s="29"/>
      <c r="F955" s="29"/>
      <c r="G955" s="29"/>
      <c r="H955" s="29"/>
      <c r="I955" s="29"/>
    </row>
    <row r="956" customFormat="false" ht="15" hidden="false" customHeight="false" outlineLevel="0" collapsed="false">
      <c r="A956" s="26"/>
      <c r="B956" s="27"/>
      <c r="C956" s="27"/>
      <c r="D956" s="28"/>
      <c r="E956" s="29"/>
      <c r="F956" s="29"/>
      <c r="G956" s="29"/>
      <c r="H956" s="29"/>
      <c r="I956" s="29"/>
    </row>
    <row r="957" customFormat="false" ht="15" hidden="false" customHeight="false" outlineLevel="0" collapsed="false">
      <c r="A957" s="26"/>
      <c r="B957" s="27"/>
      <c r="C957" s="27"/>
      <c r="D957" s="28"/>
      <c r="E957" s="29"/>
      <c r="F957" s="29"/>
      <c r="G957" s="29"/>
      <c r="H957" s="29"/>
      <c r="I957" s="29"/>
    </row>
    <row r="958" customFormat="false" ht="15" hidden="false" customHeight="false" outlineLevel="0" collapsed="false">
      <c r="A958" s="26"/>
      <c r="B958" s="27"/>
      <c r="C958" s="27"/>
      <c r="D958" s="28"/>
      <c r="E958" s="29"/>
      <c r="F958" s="29"/>
      <c r="G958" s="29"/>
      <c r="H958" s="29"/>
      <c r="I958" s="29"/>
    </row>
    <row r="959" customFormat="false" ht="15" hidden="false" customHeight="false" outlineLevel="0" collapsed="false">
      <c r="A959" s="26"/>
      <c r="B959" s="27"/>
      <c r="C959" s="27"/>
      <c r="D959" s="28"/>
      <c r="E959" s="29"/>
      <c r="F959" s="29"/>
      <c r="G959" s="29"/>
      <c r="H959" s="29"/>
      <c r="I959" s="29"/>
    </row>
    <row r="960" customFormat="false" ht="15" hidden="false" customHeight="false" outlineLevel="0" collapsed="false">
      <c r="A960" s="26"/>
      <c r="B960" s="27"/>
      <c r="C960" s="27"/>
      <c r="D960" s="28"/>
      <c r="E960" s="29"/>
      <c r="F960" s="29"/>
      <c r="G960" s="29"/>
      <c r="H960" s="29"/>
      <c r="I960" s="29"/>
    </row>
    <row r="961" customFormat="false" ht="15" hidden="false" customHeight="false" outlineLevel="0" collapsed="false">
      <c r="A961" s="26"/>
      <c r="B961" s="27"/>
      <c r="C961" s="27"/>
      <c r="D961" s="28"/>
      <c r="E961" s="29"/>
      <c r="F961" s="29"/>
      <c r="G961" s="29"/>
      <c r="H961" s="29"/>
      <c r="I961" s="29"/>
    </row>
    <row r="962" customFormat="false" ht="15" hidden="false" customHeight="false" outlineLevel="0" collapsed="false">
      <c r="A962" s="26"/>
      <c r="B962" s="27"/>
      <c r="C962" s="27"/>
      <c r="D962" s="28"/>
      <c r="E962" s="29"/>
      <c r="F962" s="29"/>
      <c r="G962" s="29"/>
      <c r="H962" s="29"/>
      <c r="I962" s="29"/>
    </row>
    <row r="963" customFormat="false" ht="15" hidden="false" customHeight="false" outlineLevel="0" collapsed="false">
      <c r="A963" s="26"/>
      <c r="B963" s="27"/>
      <c r="C963" s="27"/>
      <c r="D963" s="28"/>
      <c r="E963" s="29"/>
      <c r="F963" s="29"/>
      <c r="G963" s="29"/>
      <c r="H963" s="29"/>
      <c r="I963" s="29"/>
    </row>
    <row r="964" customFormat="false" ht="15" hidden="false" customHeight="false" outlineLevel="0" collapsed="false">
      <c r="A964" s="26"/>
      <c r="B964" s="27"/>
      <c r="C964" s="27"/>
      <c r="D964" s="28"/>
      <c r="E964" s="29"/>
      <c r="F964" s="29"/>
      <c r="G964" s="29"/>
      <c r="H964" s="29"/>
      <c r="I964" s="29"/>
    </row>
    <row r="965" customFormat="false" ht="15" hidden="false" customHeight="false" outlineLevel="0" collapsed="false">
      <c r="A965" s="26"/>
      <c r="B965" s="27"/>
      <c r="C965" s="27"/>
      <c r="D965" s="28"/>
      <c r="E965" s="29"/>
      <c r="F965" s="29"/>
      <c r="G965" s="29"/>
      <c r="H965" s="29"/>
      <c r="I965" s="29"/>
    </row>
    <row r="966" customFormat="false" ht="15" hidden="false" customHeight="false" outlineLevel="0" collapsed="false">
      <c r="A966" s="26"/>
      <c r="B966" s="27"/>
      <c r="C966" s="27"/>
      <c r="D966" s="28"/>
      <c r="E966" s="29"/>
      <c r="F966" s="29"/>
      <c r="G966" s="29"/>
      <c r="H966" s="29"/>
      <c r="I966" s="29"/>
    </row>
    <row r="967" customFormat="false" ht="15" hidden="false" customHeight="false" outlineLevel="0" collapsed="false">
      <c r="A967" s="26"/>
      <c r="B967" s="27"/>
      <c r="C967" s="27"/>
      <c r="D967" s="28"/>
      <c r="E967" s="29"/>
      <c r="F967" s="29"/>
      <c r="G967" s="29"/>
      <c r="H967" s="29"/>
      <c r="I967" s="29"/>
    </row>
    <row r="968" customFormat="false" ht="15" hidden="false" customHeight="false" outlineLevel="0" collapsed="false">
      <c r="A968" s="26"/>
      <c r="B968" s="27"/>
      <c r="C968" s="27"/>
      <c r="D968" s="28"/>
      <c r="E968" s="29"/>
      <c r="F968" s="29"/>
      <c r="G968" s="29"/>
      <c r="H968" s="29"/>
      <c r="I968" s="29"/>
    </row>
    <row r="969" customFormat="false" ht="15" hidden="false" customHeight="false" outlineLevel="0" collapsed="false">
      <c r="A969" s="26"/>
      <c r="B969" s="27"/>
      <c r="C969" s="27"/>
      <c r="D969" s="28"/>
      <c r="E969" s="29"/>
      <c r="F969" s="29"/>
      <c r="G969" s="29"/>
      <c r="H969" s="29"/>
      <c r="I969" s="29"/>
    </row>
    <row r="970" customFormat="false" ht="15" hidden="false" customHeight="false" outlineLevel="0" collapsed="false">
      <c r="A970" s="26"/>
      <c r="B970" s="27"/>
      <c r="C970" s="27"/>
      <c r="D970" s="28"/>
      <c r="E970" s="29"/>
      <c r="F970" s="29"/>
      <c r="G970" s="29"/>
      <c r="H970" s="29"/>
      <c r="I970" s="29"/>
    </row>
    <row r="971" customFormat="false" ht="15" hidden="false" customHeight="false" outlineLevel="0" collapsed="false">
      <c r="A971" s="26"/>
      <c r="B971" s="27"/>
      <c r="C971" s="27"/>
      <c r="D971" s="28"/>
      <c r="E971" s="29"/>
      <c r="F971" s="29"/>
      <c r="G971" s="29"/>
      <c r="H971" s="29"/>
      <c r="I971" s="29"/>
    </row>
    <row r="972" customFormat="false" ht="15" hidden="false" customHeight="false" outlineLevel="0" collapsed="false">
      <c r="A972" s="26"/>
      <c r="B972" s="27"/>
      <c r="C972" s="27"/>
      <c r="D972" s="28"/>
      <c r="E972" s="29"/>
      <c r="F972" s="29"/>
      <c r="G972" s="29"/>
      <c r="H972" s="29"/>
      <c r="I972" s="29"/>
    </row>
    <row r="973" customFormat="false" ht="15" hidden="false" customHeight="false" outlineLevel="0" collapsed="false">
      <c r="A973" s="26"/>
      <c r="B973" s="27"/>
      <c r="C973" s="27"/>
      <c r="D973" s="28"/>
      <c r="E973" s="29"/>
      <c r="F973" s="29"/>
      <c r="G973" s="29"/>
      <c r="H973" s="29"/>
      <c r="I973" s="29"/>
    </row>
    <row r="974" customFormat="false" ht="15" hidden="false" customHeight="false" outlineLevel="0" collapsed="false">
      <c r="A974" s="26"/>
      <c r="B974" s="27"/>
      <c r="C974" s="27"/>
      <c r="D974" s="28"/>
      <c r="E974" s="29"/>
      <c r="F974" s="29"/>
      <c r="G974" s="29"/>
      <c r="H974" s="29"/>
      <c r="I974" s="29"/>
    </row>
    <row r="975" customFormat="false" ht="15" hidden="false" customHeight="false" outlineLevel="0" collapsed="false">
      <c r="A975" s="26"/>
      <c r="B975" s="27"/>
      <c r="C975" s="27"/>
      <c r="D975" s="28"/>
      <c r="E975" s="29"/>
      <c r="F975" s="29"/>
      <c r="G975" s="29"/>
      <c r="H975" s="29"/>
      <c r="I975" s="29"/>
    </row>
    <row r="976" customFormat="false" ht="15" hidden="false" customHeight="false" outlineLevel="0" collapsed="false">
      <c r="A976" s="26"/>
      <c r="B976" s="27"/>
      <c r="C976" s="27"/>
      <c r="D976" s="28"/>
      <c r="E976" s="29"/>
      <c r="F976" s="29"/>
      <c r="G976" s="29"/>
      <c r="H976" s="29"/>
      <c r="I976" s="29"/>
    </row>
    <row r="977" customFormat="false" ht="15" hidden="false" customHeight="false" outlineLevel="0" collapsed="false">
      <c r="A977" s="26"/>
      <c r="B977" s="27"/>
      <c r="C977" s="27"/>
      <c r="D977" s="28"/>
      <c r="E977" s="29"/>
      <c r="F977" s="29"/>
      <c r="G977" s="29"/>
      <c r="H977" s="29"/>
      <c r="I977" s="29"/>
    </row>
    <row r="978" customFormat="false" ht="15" hidden="false" customHeight="false" outlineLevel="0" collapsed="false">
      <c r="A978" s="26"/>
      <c r="B978" s="27"/>
      <c r="C978" s="27"/>
      <c r="D978" s="28"/>
      <c r="E978" s="29"/>
      <c r="F978" s="29"/>
      <c r="G978" s="29"/>
      <c r="H978" s="29"/>
      <c r="I978" s="29"/>
    </row>
    <row r="979" customFormat="false" ht="15" hidden="false" customHeight="false" outlineLevel="0" collapsed="false">
      <c r="A979" s="26"/>
      <c r="B979" s="27"/>
      <c r="C979" s="27"/>
      <c r="D979" s="28"/>
      <c r="E979" s="29"/>
      <c r="F979" s="29"/>
      <c r="G979" s="29"/>
      <c r="H979" s="29"/>
      <c r="I979" s="29"/>
    </row>
    <row r="980" customFormat="false" ht="15" hidden="false" customHeight="false" outlineLevel="0" collapsed="false">
      <c r="A980" s="26"/>
      <c r="B980" s="27"/>
      <c r="C980" s="27"/>
      <c r="D980" s="28"/>
      <c r="E980" s="29"/>
      <c r="F980" s="29"/>
      <c r="G980" s="29"/>
      <c r="H980" s="29"/>
      <c r="I980" s="29"/>
    </row>
    <row r="981" customFormat="false" ht="15" hidden="false" customHeight="false" outlineLevel="0" collapsed="false">
      <c r="A981" s="26"/>
      <c r="B981" s="27"/>
      <c r="C981" s="27"/>
      <c r="D981" s="28"/>
      <c r="E981" s="29"/>
      <c r="F981" s="29"/>
      <c r="G981" s="29"/>
      <c r="H981" s="29"/>
      <c r="I981" s="29"/>
    </row>
    <row r="982" customFormat="false" ht="15" hidden="false" customHeight="false" outlineLevel="0" collapsed="false">
      <c r="A982" s="26"/>
      <c r="B982" s="27"/>
      <c r="C982" s="27"/>
      <c r="D982" s="28"/>
      <c r="E982" s="29"/>
      <c r="F982" s="29"/>
      <c r="G982" s="29"/>
      <c r="H982" s="29"/>
      <c r="I982" s="29"/>
    </row>
    <row r="983" customFormat="false" ht="15" hidden="false" customHeight="false" outlineLevel="0" collapsed="false">
      <c r="A983" s="26"/>
      <c r="B983" s="27"/>
      <c r="C983" s="27"/>
      <c r="D983" s="28"/>
      <c r="E983" s="29"/>
      <c r="F983" s="29"/>
      <c r="G983" s="29"/>
      <c r="H983" s="29"/>
      <c r="I983" s="29"/>
    </row>
    <row r="984" customFormat="false" ht="15" hidden="false" customHeight="false" outlineLevel="0" collapsed="false">
      <c r="A984" s="26"/>
      <c r="B984" s="27"/>
      <c r="C984" s="27"/>
      <c r="D984" s="28"/>
      <c r="E984" s="29"/>
      <c r="F984" s="29"/>
      <c r="G984" s="29"/>
      <c r="H984" s="29"/>
      <c r="I984" s="29"/>
    </row>
    <row r="985" customFormat="false" ht="15" hidden="false" customHeight="false" outlineLevel="0" collapsed="false">
      <c r="A985" s="26"/>
      <c r="B985" s="27"/>
      <c r="C985" s="27"/>
      <c r="D985" s="28"/>
      <c r="E985" s="29"/>
      <c r="F985" s="29"/>
      <c r="G985" s="29"/>
      <c r="H985" s="29"/>
      <c r="I985" s="29"/>
    </row>
    <row r="986" customFormat="false" ht="15" hidden="false" customHeight="false" outlineLevel="0" collapsed="false">
      <c r="A986" s="26"/>
      <c r="B986" s="27"/>
      <c r="C986" s="27"/>
      <c r="D986" s="28"/>
      <c r="E986" s="29"/>
      <c r="F986" s="29"/>
      <c r="G986" s="29"/>
      <c r="H986" s="29"/>
      <c r="I986" s="29"/>
    </row>
    <row r="987" customFormat="false" ht="15" hidden="false" customHeight="false" outlineLevel="0" collapsed="false">
      <c r="A987" s="26"/>
      <c r="B987" s="27"/>
      <c r="C987" s="27"/>
      <c r="D987" s="28"/>
      <c r="E987" s="29"/>
      <c r="F987" s="29"/>
      <c r="G987" s="29"/>
      <c r="H987" s="29"/>
      <c r="I987" s="29"/>
    </row>
    <row r="988" customFormat="false" ht="15" hidden="false" customHeight="false" outlineLevel="0" collapsed="false">
      <c r="A988" s="26"/>
      <c r="B988" s="27"/>
      <c r="C988" s="27"/>
      <c r="D988" s="28"/>
      <c r="E988" s="29"/>
      <c r="F988" s="29"/>
      <c r="G988" s="29"/>
      <c r="H988" s="29"/>
      <c r="I988" s="29"/>
    </row>
    <row r="989" customFormat="false" ht="15" hidden="false" customHeight="false" outlineLevel="0" collapsed="false">
      <c r="A989" s="26"/>
      <c r="B989" s="27"/>
      <c r="C989" s="27"/>
      <c r="D989" s="28"/>
      <c r="E989" s="29"/>
      <c r="F989" s="29"/>
      <c r="G989" s="29"/>
      <c r="H989" s="29"/>
      <c r="I989" s="29"/>
    </row>
    <row r="990" customFormat="false" ht="15" hidden="false" customHeight="false" outlineLevel="0" collapsed="false">
      <c r="A990" s="26"/>
      <c r="B990" s="27"/>
      <c r="C990" s="27"/>
      <c r="D990" s="28"/>
      <c r="E990" s="29"/>
      <c r="F990" s="29"/>
      <c r="G990" s="29"/>
      <c r="H990" s="29"/>
      <c r="I990" s="29"/>
    </row>
    <row r="991" customFormat="false" ht="15" hidden="false" customHeight="false" outlineLevel="0" collapsed="false">
      <c r="A991" s="26"/>
      <c r="B991" s="27"/>
      <c r="C991" s="27"/>
      <c r="D991" s="28"/>
      <c r="E991" s="29"/>
      <c r="F991" s="29"/>
      <c r="G991" s="29"/>
      <c r="H991" s="29"/>
      <c r="I991" s="29"/>
    </row>
    <row r="992" customFormat="false" ht="15" hidden="false" customHeight="false" outlineLevel="0" collapsed="false">
      <c r="A992" s="26"/>
      <c r="B992" s="27"/>
      <c r="C992" s="27"/>
      <c r="D992" s="28"/>
      <c r="E992" s="29"/>
      <c r="F992" s="29"/>
      <c r="G992" s="29"/>
      <c r="H992" s="29"/>
      <c r="I992" s="29"/>
    </row>
    <row r="993" customFormat="false" ht="15" hidden="false" customHeight="false" outlineLevel="0" collapsed="false">
      <c r="A993" s="26"/>
      <c r="B993" s="27"/>
      <c r="C993" s="27"/>
      <c r="D993" s="28"/>
      <c r="E993" s="29"/>
      <c r="F993" s="29"/>
      <c r="G993" s="29"/>
      <c r="H993" s="29"/>
      <c r="I993" s="29"/>
    </row>
    <row r="994" customFormat="false" ht="15" hidden="false" customHeight="false" outlineLevel="0" collapsed="false">
      <c r="A994" s="26"/>
      <c r="B994" s="27"/>
      <c r="C994" s="27"/>
      <c r="D994" s="28"/>
      <c r="E994" s="29"/>
      <c r="F994" s="29"/>
      <c r="G994" s="29"/>
      <c r="H994" s="29"/>
      <c r="I994" s="29"/>
    </row>
    <row r="995" customFormat="false" ht="15" hidden="false" customHeight="false" outlineLevel="0" collapsed="false">
      <c r="A995" s="26"/>
      <c r="B995" s="27"/>
      <c r="C995" s="27"/>
      <c r="D995" s="28"/>
      <c r="E995" s="29"/>
      <c r="F995" s="29"/>
      <c r="G995" s="29"/>
      <c r="H995" s="29"/>
      <c r="I995" s="29"/>
    </row>
    <row r="996" customFormat="false" ht="15" hidden="false" customHeight="false" outlineLevel="0" collapsed="false">
      <c r="A996" s="26"/>
      <c r="B996" s="27"/>
      <c r="C996" s="27"/>
      <c r="D996" s="28"/>
      <c r="E996" s="29"/>
      <c r="F996" s="29"/>
      <c r="G996" s="29"/>
      <c r="H996" s="29"/>
      <c r="I996" s="29"/>
    </row>
    <row r="997" customFormat="false" ht="15" hidden="false" customHeight="false" outlineLevel="0" collapsed="false">
      <c r="A997" s="26"/>
      <c r="B997" s="27"/>
      <c r="C997" s="27"/>
      <c r="D997" s="28"/>
      <c r="E997" s="29"/>
      <c r="F997" s="29"/>
      <c r="G997" s="29"/>
      <c r="H997" s="29"/>
      <c r="I997" s="29"/>
    </row>
    <row r="998" customFormat="false" ht="15" hidden="false" customHeight="false" outlineLevel="0" collapsed="false">
      <c r="A998" s="26"/>
      <c r="B998" s="27"/>
      <c r="C998" s="27"/>
      <c r="D998" s="28"/>
      <c r="E998" s="29"/>
      <c r="F998" s="29"/>
      <c r="G998" s="29"/>
      <c r="H998" s="29"/>
      <c r="I998" s="29"/>
    </row>
    <row r="999" customFormat="false" ht="15" hidden="false" customHeight="false" outlineLevel="0" collapsed="false">
      <c r="A999" s="26"/>
      <c r="B999" s="27"/>
      <c r="C999" s="27"/>
      <c r="D999" s="28"/>
      <c r="E999" s="29"/>
      <c r="F999" s="29"/>
      <c r="G999" s="29"/>
      <c r="H999" s="29"/>
      <c r="I999" s="29"/>
    </row>
    <row r="1000" customFormat="false" ht="15" hidden="false" customHeight="false" outlineLevel="0" collapsed="false">
      <c r="A1000" s="26"/>
      <c r="B1000" s="27"/>
      <c r="C1000" s="27"/>
      <c r="D1000" s="28"/>
      <c r="E1000" s="29"/>
      <c r="F1000" s="29"/>
      <c r="G1000" s="29"/>
      <c r="H1000" s="29"/>
      <c r="I1000" s="29"/>
    </row>
    <row r="1001" customFormat="false" ht="15" hidden="false" customHeight="false" outlineLevel="0" collapsed="false">
      <c r="A1001" s="26"/>
      <c r="B1001" s="27"/>
      <c r="C1001" s="27"/>
      <c r="D1001" s="28"/>
      <c r="E1001" s="29"/>
      <c r="F1001" s="29"/>
      <c r="G1001" s="29"/>
      <c r="H1001" s="29"/>
      <c r="I1001" s="29"/>
    </row>
    <row r="1002" customFormat="false" ht="15" hidden="false" customHeight="false" outlineLevel="0" collapsed="false">
      <c r="A1002" s="26"/>
      <c r="B1002" s="27"/>
      <c r="C1002" s="27"/>
      <c r="D1002" s="28"/>
      <c r="E1002" s="29"/>
      <c r="F1002" s="29"/>
      <c r="G1002" s="29"/>
      <c r="H1002" s="29"/>
      <c r="I1002" s="29"/>
    </row>
    <row r="1003" customFormat="false" ht="15" hidden="false" customHeight="false" outlineLevel="0" collapsed="false">
      <c r="A1003" s="26"/>
      <c r="B1003" s="27"/>
      <c r="C1003" s="27"/>
      <c r="D1003" s="28"/>
      <c r="E1003" s="29"/>
      <c r="F1003" s="29"/>
      <c r="G1003" s="29"/>
      <c r="H1003" s="29"/>
      <c r="I1003" s="29"/>
    </row>
    <row r="1004" customFormat="false" ht="15" hidden="false" customHeight="false" outlineLevel="0" collapsed="false">
      <c r="A1004" s="26"/>
      <c r="B1004" s="27"/>
      <c r="C1004" s="27"/>
      <c r="D1004" s="28"/>
      <c r="E1004" s="29"/>
      <c r="F1004" s="29"/>
      <c r="G1004" s="29"/>
      <c r="H1004" s="29"/>
      <c r="I1004" s="29"/>
    </row>
    <row r="1005" customFormat="false" ht="15" hidden="false" customHeight="false" outlineLevel="0" collapsed="false">
      <c r="A1005" s="26"/>
      <c r="B1005" s="27"/>
      <c r="C1005" s="27"/>
      <c r="D1005" s="28"/>
      <c r="E1005" s="29"/>
      <c r="F1005" s="29"/>
      <c r="G1005" s="29"/>
      <c r="H1005" s="29"/>
      <c r="I1005" s="29"/>
    </row>
    <row r="1006" customFormat="false" ht="15" hidden="false" customHeight="false" outlineLevel="0" collapsed="false">
      <c r="A1006" s="26"/>
      <c r="B1006" s="27"/>
      <c r="C1006" s="27"/>
      <c r="D1006" s="28"/>
      <c r="E1006" s="29"/>
      <c r="F1006" s="29"/>
      <c r="G1006" s="29"/>
      <c r="H1006" s="29"/>
      <c r="I1006" s="29"/>
    </row>
    <row r="1007" customFormat="false" ht="15" hidden="false" customHeight="false" outlineLevel="0" collapsed="false">
      <c r="A1007" s="26"/>
      <c r="B1007" s="27"/>
      <c r="C1007" s="27"/>
      <c r="D1007" s="28"/>
      <c r="E1007" s="29"/>
      <c r="F1007" s="29"/>
      <c r="G1007" s="29"/>
      <c r="H1007" s="29"/>
      <c r="I1007" s="29"/>
    </row>
    <row r="1008" customFormat="false" ht="15" hidden="false" customHeight="false" outlineLevel="0" collapsed="false">
      <c r="A1008" s="26"/>
      <c r="B1008" s="27"/>
      <c r="C1008" s="27"/>
      <c r="D1008" s="28"/>
      <c r="E1008" s="29"/>
      <c r="F1008" s="29"/>
      <c r="G1008" s="29"/>
      <c r="H1008" s="29"/>
      <c r="I1008" s="29"/>
    </row>
    <row r="1009" customFormat="false" ht="15" hidden="false" customHeight="false" outlineLevel="0" collapsed="false">
      <c r="A1009" s="26"/>
      <c r="B1009" s="27"/>
      <c r="C1009" s="27"/>
      <c r="D1009" s="28"/>
      <c r="E1009" s="29"/>
      <c r="F1009" s="29"/>
      <c r="G1009" s="29"/>
      <c r="H1009" s="29"/>
      <c r="I1009" s="29"/>
    </row>
    <row r="1010" customFormat="false" ht="15" hidden="false" customHeight="false" outlineLevel="0" collapsed="false">
      <c r="A1010" s="26"/>
      <c r="B1010" s="27"/>
      <c r="C1010" s="27"/>
      <c r="D1010" s="28"/>
      <c r="E1010" s="29"/>
      <c r="F1010" s="29"/>
      <c r="G1010" s="29"/>
      <c r="H1010" s="29"/>
      <c r="I1010" s="29"/>
    </row>
    <row r="1011" customFormat="false" ht="15" hidden="false" customHeight="false" outlineLevel="0" collapsed="false">
      <c r="A1011" s="26"/>
      <c r="B1011" s="27"/>
      <c r="C1011" s="27"/>
      <c r="D1011" s="28"/>
      <c r="E1011" s="29"/>
      <c r="F1011" s="29"/>
      <c r="G1011" s="29"/>
      <c r="H1011" s="29"/>
      <c r="I1011" s="29"/>
    </row>
    <row r="1012" customFormat="false" ht="15" hidden="false" customHeight="false" outlineLevel="0" collapsed="false">
      <c r="A1012" s="26"/>
      <c r="B1012" s="27"/>
      <c r="C1012" s="27"/>
      <c r="D1012" s="28"/>
      <c r="E1012" s="29"/>
      <c r="F1012" s="29"/>
      <c r="G1012" s="29"/>
      <c r="H1012" s="29"/>
      <c r="I1012" s="29"/>
    </row>
    <row r="1013" customFormat="false" ht="15" hidden="false" customHeight="false" outlineLevel="0" collapsed="false">
      <c r="A1013" s="26"/>
      <c r="B1013" s="27"/>
      <c r="C1013" s="27"/>
      <c r="D1013" s="28"/>
      <c r="E1013" s="29"/>
      <c r="F1013" s="29"/>
      <c r="G1013" s="29"/>
      <c r="H1013" s="29"/>
      <c r="I1013" s="29"/>
    </row>
    <row r="1014" customFormat="false" ht="15" hidden="false" customHeight="false" outlineLevel="0" collapsed="false">
      <c r="A1014" s="26"/>
      <c r="B1014" s="27"/>
      <c r="C1014" s="27"/>
      <c r="D1014" s="28"/>
      <c r="E1014" s="29"/>
      <c r="F1014" s="29"/>
      <c r="G1014" s="29"/>
      <c r="H1014" s="29"/>
      <c r="I1014" s="29"/>
    </row>
    <row r="1015" customFormat="false" ht="15" hidden="false" customHeight="false" outlineLevel="0" collapsed="false">
      <c r="A1015" s="26"/>
      <c r="B1015" s="27"/>
      <c r="C1015" s="27"/>
      <c r="D1015" s="28"/>
      <c r="E1015" s="29"/>
      <c r="F1015" s="29"/>
      <c r="G1015" s="29"/>
      <c r="H1015" s="29"/>
      <c r="I1015" s="29"/>
    </row>
    <row r="1016" customFormat="false" ht="15" hidden="false" customHeight="false" outlineLevel="0" collapsed="false">
      <c r="A1016" s="26"/>
      <c r="B1016" s="27"/>
      <c r="C1016" s="27"/>
      <c r="D1016" s="28"/>
      <c r="E1016" s="29"/>
      <c r="F1016" s="29"/>
      <c r="G1016" s="29"/>
      <c r="H1016" s="29"/>
      <c r="I1016" s="29"/>
    </row>
    <row r="1017" customFormat="false" ht="15" hidden="false" customHeight="false" outlineLevel="0" collapsed="false">
      <c r="A1017" s="26"/>
      <c r="B1017" s="27"/>
      <c r="C1017" s="27"/>
      <c r="D1017" s="28"/>
      <c r="E1017" s="29"/>
      <c r="F1017" s="29"/>
      <c r="G1017" s="29"/>
      <c r="H1017" s="29"/>
      <c r="I1017" s="29"/>
    </row>
    <row r="1018" customFormat="false" ht="15" hidden="false" customHeight="false" outlineLevel="0" collapsed="false">
      <c r="A1018" s="26"/>
      <c r="B1018" s="27"/>
      <c r="C1018" s="27"/>
      <c r="D1018" s="28"/>
      <c r="E1018" s="29"/>
      <c r="F1018" s="29"/>
      <c r="G1018" s="29"/>
      <c r="H1018" s="29"/>
      <c r="I1018" s="29"/>
    </row>
    <row r="1019" customFormat="false" ht="15" hidden="false" customHeight="false" outlineLevel="0" collapsed="false">
      <c r="A1019" s="26"/>
      <c r="B1019" s="27"/>
      <c r="C1019" s="27"/>
      <c r="D1019" s="28"/>
      <c r="E1019" s="29"/>
      <c r="F1019" s="29"/>
      <c r="G1019" s="29"/>
      <c r="H1019" s="29"/>
      <c r="I1019" s="29"/>
    </row>
    <row r="1020" customFormat="false" ht="15" hidden="false" customHeight="false" outlineLevel="0" collapsed="false">
      <c r="A1020" s="26"/>
      <c r="B1020" s="27"/>
      <c r="C1020" s="27"/>
      <c r="D1020" s="28"/>
      <c r="E1020" s="29"/>
      <c r="F1020" s="29"/>
      <c r="G1020" s="29"/>
      <c r="H1020" s="29"/>
      <c r="I1020" s="29"/>
    </row>
    <row r="1021" customFormat="false" ht="15" hidden="false" customHeight="false" outlineLevel="0" collapsed="false">
      <c r="A1021" s="26"/>
      <c r="B1021" s="27"/>
      <c r="C1021" s="27"/>
      <c r="D1021" s="28"/>
      <c r="E1021" s="29"/>
      <c r="F1021" s="29"/>
      <c r="G1021" s="29"/>
      <c r="H1021" s="29"/>
      <c r="I1021" s="29"/>
    </row>
    <row r="1022" customFormat="false" ht="15" hidden="false" customHeight="false" outlineLevel="0" collapsed="false">
      <c r="A1022" s="26"/>
      <c r="B1022" s="27"/>
      <c r="C1022" s="27"/>
      <c r="D1022" s="28"/>
      <c r="E1022" s="29"/>
      <c r="F1022" s="29"/>
      <c r="G1022" s="29"/>
      <c r="H1022" s="29"/>
      <c r="I1022" s="29"/>
    </row>
    <row r="1023" customFormat="false" ht="15" hidden="false" customHeight="false" outlineLevel="0" collapsed="false">
      <c r="A1023" s="26"/>
      <c r="B1023" s="27"/>
      <c r="C1023" s="27"/>
      <c r="D1023" s="28"/>
      <c r="E1023" s="29"/>
      <c r="F1023" s="29"/>
      <c r="G1023" s="29"/>
      <c r="H1023" s="29"/>
      <c r="I1023" s="29"/>
    </row>
    <row r="1024" customFormat="false" ht="15" hidden="false" customHeight="false" outlineLevel="0" collapsed="false">
      <c r="A1024" s="26"/>
      <c r="B1024" s="27"/>
      <c r="C1024" s="27"/>
      <c r="D1024" s="28"/>
      <c r="E1024" s="29"/>
      <c r="F1024" s="29"/>
      <c r="G1024" s="29"/>
      <c r="H1024" s="29"/>
      <c r="I1024" s="29"/>
    </row>
    <row r="1025" customFormat="false" ht="15" hidden="false" customHeight="false" outlineLevel="0" collapsed="false">
      <c r="A1025" s="26"/>
      <c r="B1025" s="27"/>
      <c r="C1025" s="27"/>
      <c r="D1025" s="28"/>
      <c r="E1025" s="29"/>
      <c r="F1025" s="29"/>
      <c r="G1025" s="29"/>
      <c r="H1025" s="29"/>
      <c r="I1025" s="29"/>
    </row>
    <row r="1026" customFormat="false" ht="15" hidden="false" customHeight="false" outlineLevel="0" collapsed="false">
      <c r="A1026" s="26"/>
      <c r="B1026" s="27"/>
      <c r="C1026" s="27"/>
      <c r="D1026" s="28"/>
      <c r="E1026" s="29"/>
      <c r="F1026" s="29"/>
      <c r="G1026" s="29"/>
      <c r="H1026" s="29"/>
      <c r="I1026" s="29"/>
    </row>
    <row r="1027" customFormat="false" ht="15" hidden="false" customHeight="false" outlineLevel="0" collapsed="false">
      <c r="A1027" s="26"/>
      <c r="B1027" s="27"/>
      <c r="C1027" s="27"/>
      <c r="D1027" s="28"/>
      <c r="E1027" s="29"/>
      <c r="F1027" s="29"/>
      <c r="G1027" s="29"/>
      <c r="H1027" s="29"/>
      <c r="I1027" s="29"/>
    </row>
    <row r="1028" customFormat="false" ht="15" hidden="false" customHeight="false" outlineLevel="0" collapsed="false">
      <c r="A1028" s="26"/>
      <c r="B1028" s="27"/>
      <c r="C1028" s="27"/>
      <c r="D1028" s="28"/>
      <c r="E1028" s="29"/>
      <c r="F1028" s="29"/>
      <c r="G1028" s="29"/>
      <c r="H1028" s="29"/>
      <c r="I1028" s="29"/>
    </row>
    <row r="1029" customFormat="false" ht="15" hidden="false" customHeight="false" outlineLevel="0" collapsed="false">
      <c r="A1029" s="26"/>
      <c r="B1029" s="27"/>
      <c r="C1029" s="27"/>
      <c r="D1029" s="28"/>
      <c r="E1029" s="29"/>
      <c r="F1029" s="29"/>
      <c r="G1029" s="29"/>
      <c r="H1029" s="29"/>
      <c r="I1029" s="29"/>
    </row>
    <row r="1030" customFormat="false" ht="15" hidden="false" customHeight="false" outlineLevel="0" collapsed="false">
      <c r="A1030" s="26"/>
      <c r="B1030" s="27"/>
      <c r="C1030" s="27"/>
      <c r="D1030" s="28"/>
      <c r="E1030" s="29"/>
      <c r="F1030" s="29"/>
      <c r="G1030" s="29"/>
      <c r="H1030" s="29"/>
      <c r="I1030" s="29"/>
    </row>
    <row r="1031" customFormat="false" ht="15" hidden="false" customHeight="false" outlineLevel="0" collapsed="false">
      <c r="A1031" s="26"/>
      <c r="B1031" s="27"/>
      <c r="C1031" s="27"/>
      <c r="D1031" s="28"/>
      <c r="E1031" s="29"/>
      <c r="F1031" s="29"/>
      <c r="G1031" s="29"/>
      <c r="H1031" s="29"/>
      <c r="I1031" s="29"/>
    </row>
    <row r="1032" customFormat="false" ht="15" hidden="false" customHeight="false" outlineLevel="0" collapsed="false">
      <c r="A1032" s="26"/>
      <c r="B1032" s="27"/>
      <c r="C1032" s="27"/>
      <c r="D1032" s="28"/>
      <c r="E1032" s="29"/>
      <c r="F1032" s="29"/>
      <c r="G1032" s="29"/>
      <c r="H1032" s="29"/>
      <c r="I1032" s="29"/>
    </row>
    <row r="1033" customFormat="false" ht="15" hidden="false" customHeight="false" outlineLevel="0" collapsed="false">
      <c r="A1033" s="26"/>
      <c r="B1033" s="27"/>
      <c r="C1033" s="27"/>
      <c r="D1033" s="28"/>
      <c r="E1033" s="29"/>
      <c r="F1033" s="29"/>
      <c r="G1033" s="29"/>
      <c r="H1033" s="29"/>
      <c r="I1033" s="29"/>
    </row>
    <row r="1034" customFormat="false" ht="15" hidden="false" customHeight="false" outlineLevel="0" collapsed="false">
      <c r="A1034" s="26"/>
      <c r="B1034" s="27"/>
      <c r="C1034" s="27"/>
      <c r="D1034" s="28"/>
      <c r="E1034" s="29"/>
      <c r="F1034" s="29"/>
      <c r="G1034" s="29"/>
      <c r="H1034" s="29"/>
      <c r="I1034" s="29"/>
    </row>
    <row r="1035" customFormat="false" ht="15" hidden="false" customHeight="false" outlineLevel="0" collapsed="false">
      <c r="A1035" s="26"/>
      <c r="B1035" s="27"/>
      <c r="C1035" s="27"/>
      <c r="D1035" s="28"/>
      <c r="E1035" s="29"/>
      <c r="F1035" s="29"/>
      <c r="G1035" s="29"/>
      <c r="H1035" s="29"/>
      <c r="I1035" s="29"/>
    </row>
    <row r="1036" customFormat="false" ht="15" hidden="false" customHeight="false" outlineLevel="0" collapsed="false">
      <c r="A1036" s="26"/>
      <c r="B1036" s="27"/>
      <c r="C1036" s="27"/>
      <c r="D1036" s="28"/>
      <c r="E1036" s="29"/>
      <c r="F1036" s="29"/>
      <c r="G1036" s="29"/>
      <c r="H1036" s="29"/>
      <c r="I1036" s="29"/>
    </row>
    <row r="1037" customFormat="false" ht="15" hidden="false" customHeight="false" outlineLevel="0" collapsed="false">
      <c r="A1037" s="26"/>
      <c r="B1037" s="27"/>
      <c r="C1037" s="27"/>
      <c r="D1037" s="28"/>
      <c r="E1037" s="29"/>
      <c r="F1037" s="29"/>
      <c r="G1037" s="29"/>
      <c r="H1037" s="29"/>
      <c r="I1037" s="29"/>
    </row>
    <row r="1038" customFormat="false" ht="15" hidden="false" customHeight="false" outlineLevel="0" collapsed="false">
      <c r="A1038" s="26"/>
      <c r="B1038" s="27"/>
      <c r="C1038" s="27"/>
      <c r="D1038" s="28"/>
      <c r="E1038" s="29"/>
      <c r="F1038" s="29"/>
      <c r="G1038" s="29"/>
      <c r="H1038" s="29"/>
      <c r="I1038" s="29"/>
    </row>
    <row r="1039" customFormat="false" ht="15" hidden="false" customHeight="false" outlineLevel="0" collapsed="false">
      <c r="A1039" s="26"/>
      <c r="B1039" s="27"/>
      <c r="C1039" s="27"/>
      <c r="D1039" s="28"/>
      <c r="E1039" s="29"/>
      <c r="F1039" s="29"/>
      <c r="G1039" s="29"/>
      <c r="H1039" s="29"/>
      <c r="I1039" s="29"/>
    </row>
    <row r="1040" customFormat="false" ht="15" hidden="false" customHeight="false" outlineLevel="0" collapsed="false">
      <c r="A1040" s="26"/>
      <c r="B1040" s="27"/>
      <c r="C1040" s="27"/>
      <c r="D1040" s="28"/>
      <c r="E1040" s="29"/>
      <c r="F1040" s="29"/>
      <c r="G1040" s="29"/>
      <c r="H1040" s="29"/>
      <c r="I1040" s="29"/>
    </row>
    <row r="1041" customFormat="false" ht="15" hidden="false" customHeight="false" outlineLevel="0" collapsed="false">
      <c r="A1041" s="26"/>
      <c r="B1041" s="27"/>
      <c r="C1041" s="27"/>
      <c r="D1041" s="28"/>
      <c r="E1041" s="29"/>
      <c r="F1041" s="29"/>
      <c r="G1041" s="29"/>
      <c r="H1041" s="29"/>
      <c r="I1041" s="29"/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C4:C1500" type="list">
      <formula1>"Metaウェビナー,Meta介護校,MetaClaude,Googleウェビナー,Google常設,LINEウェビナー,LINE常設,広告外"</formula1>
      <formula2>0</formula2>
    </dataValidation>
    <dataValidation allowBlank="true" errorStyle="stop" operator="between" showDropDown="false" showErrorMessage="false" showInputMessage="false" sqref="B4:B1500" type="list">
      <formula1>"Meta,Google,LINE,広告外"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10" min="7" style="0" width="8"/>
    <col collapsed="false" customWidth="true" hidden="false" outlineLevel="0" max="11" min="11" style="0" width="9"/>
    <col collapsed="false" customWidth="true" hidden="false" outlineLevel="0" max="12" min="12" style="0" width="7"/>
    <col collapsed="false" customWidth="true" hidden="false" outlineLevel="0" max="13" min="13" style="0" width="9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8" min="17" style="0" width="10"/>
  </cols>
  <sheetData>
    <row r="1" customFormat="false" ht="21.6" hidden="false" customHeight="false" outlineLevel="0" collapsed="false">
      <c r="A1" s="22" t="s">
        <v>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14.15" hidden="false" customHeight="false" outlineLevel="0" collapsed="false">
      <c r="A2" s="30" t="s">
        <v>46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4" customFormat="false" ht="17.15" hidden="false" customHeight="false" outlineLevel="0" collapsed="false">
      <c r="A4" s="31" t="s">
        <v>47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customFormat="false" ht="25.5" hidden="false" customHeight="true" outlineLevel="0" collapsed="false">
      <c r="A5" s="32" t="s">
        <v>48</v>
      </c>
      <c r="B5" s="32" t="s">
        <v>49</v>
      </c>
      <c r="C5" s="32" t="s">
        <v>35</v>
      </c>
      <c r="D5" s="33" t="s">
        <v>36</v>
      </c>
      <c r="E5" s="32" t="s">
        <v>37</v>
      </c>
      <c r="F5" s="33" t="s">
        <v>38</v>
      </c>
      <c r="G5" s="33" t="s">
        <v>50</v>
      </c>
      <c r="H5" s="33" t="s">
        <v>51</v>
      </c>
      <c r="I5" s="33" t="s">
        <v>52</v>
      </c>
      <c r="J5" s="33" t="s">
        <v>53</v>
      </c>
      <c r="K5" s="33" t="s">
        <v>54</v>
      </c>
      <c r="L5" s="32" t="s">
        <v>39</v>
      </c>
      <c r="M5" s="32" t="s">
        <v>55</v>
      </c>
      <c r="N5" s="32" t="s">
        <v>40</v>
      </c>
      <c r="O5" s="32" t="s">
        <v>23</v>
      </c>
      <c r="P5" s="33" t="s">
        <v>56</v>
      </c>
      <c r="Q5" s="32" t="s">
        <v>57</v>
      </c>
      <c r="R5" s="32" t="s">
        <v>58</v>
      </c>
    </row>
    <row r="6" customFormat="false" ht="15" hidden="false" customHeight="false" outlineLevel="0" collapsed="false">
      <c r="A6" s="34" t="s">
        <v>59</v>
      </c>
      <c r="B6" s="35" t="s">
        <v>60</v>
      </c>
      <c r="C6" s="36" t="n">
        <v>87849</v>
      </c>
      <c r="D6" s="12" t="n">
        <v>38081</v>
      </c>
      <c r="E6" s="12" t="n">
        <v>612</v>
      </c>
      <c r="F6" s="12" t="n">
        <v>35</v>
      </c>
      <c r="G6" s="15" t="n">
        <f aca="false">IFERROR(E6/D6,"")</f>
        <v>0.0160710065386938</v>
      </c>
      <c r="H6" s="37" t="n">
        <f aca="false">IFERROR(C6/E6,"")</f>
        <v>143.544117647059</v>
      </c>
      <c r="I6" s="37" t="n">
        <f aca="false">IFERROR(C6/D6*1000,"")</f>
        <v>2306.89845329692</v>
      </c>
      <c r="J6" s="15" t="n">
        <f aca="false">IFERROR(F6/E6,"")</f>
        <v>0.0571895424836601</v>
      </c>
      <c r="K6" s="37" t="n">
        <f aca="false">IFERROR(C6/F6,"")</f>
        <v>2509.97142857143</v>
      </c>
      <c r="L6" s="12"/>
      <c r="M6" s="15" t="str">
        <f aca="false">IF(L6="","",IFERROR(L6/F6,""))</f>
        <v/>
      </c>
      <c r="N6" s="12"/>
      <c r="O6" s="15" t="str">
        <f aca="false">IF(N6="","",IFERROR(N6/L6,""))</f>
        <v/>
      </c>
      <c r="P6" s="37" t="str">
        <f aca="false">IF(N6=0,"",IFERROR(C6/N6,""))</f>
        <v/>
      </c>
      <c r="Q6" s="38" t="str">
        <f aca="false">IF(N6=0,"",IFERROR(IF(C6/N6&lt;=用語集!$B$22,"◎ 許容内","✗ 超過"),"—"))</f>
        <v/>
      </c>
      <c r="R6" s="39" t="str">
        <f aca="false">IFERROR(用語集!$B$22/P6,"")</f>
        <v/>
      </c>
    </row>
    <row r="7" customFormat="false" ht="15" hidden="false" customHeight="false" outlineLevel="0" collapsed="false">
      <c r="A7" s="34" t="s">
        <v>61</v>
      </c>
      <c r="B7" s="35" t="s">
        <v>62</v>
      </c>
      <c r="C7" s="36" t="n">
        <v>84574</v>
      </c>
      <c r="D7" s="12" t="n">
        <v>32897</v>
      </c>
      <c r="E7" s="12" t="n">
        <v>528</v>
      </c>
      <c r="F7" s="12" t="n">
        <v>34</v>
      </c>
      <c r="G7" s="15" t="n">
        <f aca="false">IFERROR(E7/D7,"")</f>
        <v>0.0160500957534122</v>
      </c>
      <c r="H7" s="37" t="n">
        <f aca="false">IFERROR(C7/E7,"")</f>
        <v>160.17803030303</v>
      </c>
      <c r="I7" s="37" t="n">
        <f aca="false">IFERROR(C7/D7*1000,"")</f>
        <v>2570.87272395659</v>
      </c>
      <c r="J7" s="15" t="n">
        <f aca="false">IFERROR(F7/E7,"")</f>
        <v>0.0643939393939394</v>
      </c>
      <c r="K7" s="37" t="n">
        <f aca="false">IFERROR(C7/F7,"")</f>
        <v>2487.47058823529</v>
      </c>
      <c r="L7" s="12"/>
      <c r="M7" s="15" t="str">
        <f aca="false">IF(L7="","",IFERROR(L7/F7,""))</f>
        <v/>
      </c>
      <c r="N7" s="12"/>
      <c r="O7" s="15" t="str">
        <f aca="false">IF(N7="","",IFERROR(N7/L7,""))</f>
        <v/>
      </c>
      <c r="P7" s="37" t="str">
        <f aca="false">IF(N7=0,"",IFERROR(C7/N7,""))</f>
        <v/>
      </c>
      <c r="Q7" s="38" t="str">
        <f aca="false">IF(N7=0,"",IFERROR(IF(C7/N7&lt;=用語集!$B$22,"◎ 許容内","✗ 超過"),"—"))</f>
        <v/>
      </c>
      <c r="R7" s="39" t="str">
        <f aca="false">IFERROR(用語集!$B$22/P7,"")</f>
        <v/>
      </c>
    </row>
    <row r="8" customFormat="false" ht="15" hidden="false" customHeight="false" outlineLevel="0" collapsed="false">
      <c r="A8" s="34" t="s">
        <v>63</v>
      </c>
      <c r="B8" s="35" t="s">
        <v>64</v>
      </c>
      <c r="C8" s="36" t="n">
        <v>77500</v>
      </c>
      <c r="D8" s="12" t="n">
        <v>22541</v>
      </c>
      <c r="E8" s="12" t="n">
        <v>461</v>
      </c>
      <c r="F8" s="12" t="n">
        <v>25</v>
      </c>
      <c r="G8" s="15" t="n">
        <f aca="false">IFERROR(E8/D8,"")</f>
        <v>0.0204516214897298</v>
      </c>
      <c r="H8" s="37" t="n">
        <f aca="false">IFERROR(C8/E8,"")</f>
        <v>168.112798264642</v>
      </c>
      <c r="I8" s="37" t="n">
        <f aca="false">IFERROR(C8/D8*1000,"")</f>
        <v>3438.17931768777</v>
      </c>
      <c r="J8" s="15" t="n">
        <f aca="false">IFERROR(F8/E8,"")</f>
        <v>0.0542299349240781</v>
      </c>
      <c r="K8" s="37" t="n">
        <f aca="false">IFERROR(C8/F8,"")</f>
        <v>3100</v>
      </c>
      <c r="L8" s="12"/>
      <c r="M8" s="15" t="str">
        <f aca="false">IF(L8="","",IFERROR(L8/F8,""))</f>
        <v/>
      </c>
      <c r="N8" s="12"/>
      <c r="O8" s="15" t="str">
        <f aca="false">IF(N8="","",IFERROR(N8/L8,""))</f>
        <v/>
      </c>
      <c r="P8" s="37" t="str">
        <f aca="false">IF(N8=0,"",IFERROR(C8/N8,""))</f>
        <v/>
      </c>
      <c r="Q8" s="38" t="str">
        <f aca="false">IF(N8=0,"",IFERROR(IF(C8/N8&lt;=用語集!$B$22,"◎ 許容内","✗ 超過"),"—"))</f>
        <v/>
      </c>
      <c r="R8" s="39" t="str">
        <f aca="false">IFERROR(用語集!$B$22/P8,"")</f>
        <v/>
      </c>
    </row>
    <row r="9" customFormat="false" ht="15" hidden="false" customHeight="false" outlineLevel="0" collapsed="false">
      <c r="A9" s="34" t="s">
        <v>65</v>
      </c>
      <c r="B9" s="35" t="s">
        <v>66</v>
      </c>
      <c r="C9" s="40" t="s">
        <v>67</v>
      </c>
      <c r="D9" s="13"/>
      <c r="E9" s="13"/>
      <c r="F9" s="13"/>
      <c r="G9" s="15" t="str">
        <f aca="false">IFERROR(E9/D9,"")</f>
        <v/>
      </c>
      <c r="H9" s="37" t="str">
        <f aca="false">IFERROR(C9/E9,"")</f>
        <v/>
      </c>
      <c r="I9" s="37" t="str">
        <f aca="false">IFERROR(C9/D9*1000,"")</f>
        <v/>
      </c>
      <c r="J9" s="15" t="str">
        <f aca="false">IFERROR(F9/E9,"")</f>
        <v/>
      </c>
      <c r="K9" s="37" t="str">
        <f aca="false">IFERROR(C9/F9,"")</f>
        <v/>
      </c>
      <c r="L9" s="12"/>
      <c r="M9" s="15" t="str">
        <f aca="false">IF(L9="","",IFERROR(L9/F9,""))</f>
        <v/>
      </c>
      <c r="N9" s="12"/>
      <c r="O9" s="15" t="str">
        <f aca="false">IF(N9="","",IFERROR(N9/L9,""))</f>
        <v/>
      </c>
      <c r="P9" s="37" t="str">
        <f aca="false">IF(N9=0,"",IFERROR(C9/N9,""))</f>
        <v/>
      </c>
      <c r="Q9" s="38" t="str">
        <f aca="false">IF(N9=0,"",IFERROR(IF(C9/N9&lt;=用語集!$B$22,"◎ 許容内","✗ 超過"),"—"))</f>
        <v/>
      </c>
      <c r="R9" s="39" t="str">
        <f aca="false">IFERROR(用語集!$B$22/P9,"")</f>
        <v/>
      </c>
    </row>
    <row r="10" customFormat="false" ht="15" hidden="false" customHeight="false" outlineLevel="0" collapsed="false">
      <c r="A10" s="34" t="s">
        <v>68</v>
      </c>
      <c r="B10" s="35" t="s">
        <v>69</v>
      </c>
      <c r="C10" s="40" t="s">
        <v>67</v>
      </c>
      <c r="D10" s="13"/>
      <c r="E10" s="13"/>
      <c r="F10" s="13"/>
      <c r="G10" s="15" t="str">
        <f aca="false">IFERROR(E10/D10,"")</f>
        <v/>
      </c>
      <c r="H10" s="37" t="str">
        <f aca="false">IFERROR(C10/E10,"")</f>
        <v/>
      </c>
      <c r="I10" s="37" t="str">
        <f aca="false">IFERROR(C10/D10*1000,"")</f>
        <v/>
      </c>
      <c r="J10" s="15" t="str">
        <f aca="false">IFERROR(F10/E10,"")</f>
        <v/>
      </c>
      <c r="K10" s="37" t="str">
        <f aca="false">IFERROR(C10/F10,"")</f>
        <v/>
      </c>
      <c r="L10" s="12"/>
      <c r="M10" s="15" t="str">
        <f aca="false">IF(L10="","",IFERROR(L10/F10,""))</f>
        <v/>
      </c>
      <c r="N10" s="12"/>
      <c r="O10" s="15" t="str">
        <f aca="false">IF(N10="","",IFERROR(N10/L10,""))</f>
        <v/>
      </c>
      <c r="P10" s="37" t="str">
        <f aca="false">IF(N10=0,"",IFERROR(C10/N10,""))</f>
        <v/>
      </c>
      <c r="Q10" s="38" t="str">
        <f aca="false">IF(N10=0,"",IFERROR(IF(C10/N10&lt;=用語集!$B$22,"◎ 許容内","✗ 超過"),"—"))</f>
        <v/>
      </c>
      <c r="R10" s="39" t="str">
        <f aca="false">IFERROR(用語集!$B$22/P10,"")</f>
        <v/>
      </c>
    </row>
    <row r="11" customFormat="false" ht="15" hidden="false" customHeight="false" outlineLevel="0" collapsed="false">
      <c r="A11" s="34" t="s">
        <v>70</v>
      </c>
      <c r="B11" s="35" t="s">
        <v>71</v>
      </c>
      <c r="C11" s="40" t="s">
        <v>67</v>
      </c>
      <c r="D11" s="13"/>
      <c r="E11" s="13"/>
      <c r="F11" s="13"/>
      <c r="G11" s="15" t="str">
        <f aca="false">IFERROR(E11/D11,"")</f>
        <v/>
      </c>
      <c r="H11" s="37" t="str">
        <f aca="false">IFERROR(C11/E11,"")</f>
        <v/>
      </c>
      <c r="I11" s="37" t="str">
        <f aca="false">IFERROR(C11/D11*1000,"")</f>
        <v/>
      </c>
      <c r="J11" s="15" t="str">
        <f aca="false">IFERROR(F11/E11,"")</f>
        <v/>
      </c>
      <c r="K11" s="37" t="str">
        <f aca="false">IFERROR(C11/F11,"")</f>
        <v/>
      </c>
      <c r="L11" s="12"/>
      <c r="M11" s="15" t="str">
        <f aca="false">IF(L11="","",IFERROR(L11/F11,""))</f>
        <v/>
      </c>
      <c r="N11" s="12"/>
      <c r="O11" s="15" t="str">
        <f aca="false">IF(N11="","",IFERROR(N11/L11,""))</f>
        <v/>
      </c>
      <c r="P11" s="37" t="str">
        <f aca="false">IF(N11=0,"",IFERROR(C11/N11,""))</f>
        <v/>
      </c>
      <c r="Q11" s="38" t="str">
        <f aca="false">IF(N11=0,"",IFERROR(IF(C11/N11&lt;=用語集!$B$22,"◎ 許容内","✗ 超過"),"—"))</f>
        <v/>
      </c>
      <c r="R11" s="39" t="str">
        <f aca="false">IFERROR(用語集!$B$22/P11,"")</f>
        <v/>
      </c>
    </row>
    <row r="12" customFormat="false" ht="15" hidden="false" customHeight="false" outlineLevel="0" collapsed="false">
      <c r="A12" s="34" t="s">
        <v>72</v>
      </c>
      <c r="B12" s="35" t="s">
        <v>73</v>
      </c>
      <c r="C12" s="40" t="s">
        <v>67</v>
      </c>
      <c r="D12" s="13"/>
      <c r="E12" s="13"/>
      <c r="F12" s="13"/>
      <c r="G12" s="15" t="str">
        <f aca="false">IFERROR(E12/D12,"")</f>
        <v/>
      </c>
      <c r="H12" s="37" t="str">
        <f aca="false">IFERROR(C12/E12,"")</f>
        <v/>
      </c>
      <c r="I12" s="37" t="str">
        <f aca="false">IFERROR(C12/D12*1000,"")</f>
        <v/>
      </c>
      <c r="J12" s="15" t="str">
        <f aca="false">IFERROR(F12/E12,"")</f>
        <v/>
      </c>
      <c r="K12" s="37" t="str">
        <f aca="false">IFERROR(C12/F12,"")</f>
        <v/>
      </c>
      <c r="L12" s="12"/>
      <c r="M12" s="15" t="str">
        <f aca="false">IF(L12="","",IFERROR(L12/F12,""))</f>
        <v/>
      </c>
      <c r="N12" s="12"/>
      <c r="O12" s="15" t="str">
        <f aca="false">IF(N12="","",IFERROR(N12/L12,""))</f>
        <v/>
      </c>
      <c r="P12" s="37" t="str">
        <f aca="false">IF(N12=0,"",IFERROR(C12/N12,""))</f>
        <v/>
      </c>
      <c r="Q12" s="38" t="str">
        <f aca="false">IF(N12=0,"",IFERROR(IF(C12/N12&lt;=用語集!$B$22,"◎ 許容内","✗ 超過"),"—"))</f>
        <v/>
      </c>
      <c r="R12" s="39" t="str">
        <f aca="false">IFERROR(用語集!$B$22/P12,"")</f>
        <v/>
      </c>
    </row>
    <row r="13" customFormat="false" ht="15" hidden="false" customHeight="false" outlineLevel="0" collapsed="false">
      <c r="A13" s="34" t="s">
        <v>74</v>
      </c>
      <c r="B13" s="35" t="s">
        <v>75</v>
      </c>
      <c r="C13" s="36" t="n">
        <v>63871</v>
      </c>
      <c r="D13" s="12" t="n">
        <v>18209</v>
      </c>
      <c r="E13" s="12" t="n">
        <v>469</v>
      </c>
      <c r="F13" s="12" t="n">
        <v>49</v>
      </c>
      <c r="G13" s="15" t="n">
        <f aca="false">IFERROR(E13/D13,"")</f>
        <v>0.0257564940414081</v>
      </c>
      <c r="H13" s="37" t="n">
        <f aca="false">IFERROR(C13/E13,"")</f>
        <v>136.185501066098</v>
      </c>
      <c r="I13" s="37" t="n">
        <f aca="false">IFERROR(C13/D13*1000,"")</f>
        <v>3507.66104673513</v>
      </c>
      <c r="J13" s="15" t="n">
        <f aca="false">IFERROR(F13/E13,"")</f>
        <v>0.104477611940299</v>
      </c>
      <c r="K13" s="37" t="n">
        <f aca="false">IFERROR(C13/F13,"")</f>
        <v>1303.48979591837</v>
      </c>
      <c r="L13" s="12"/>
      <c r="M13" s="15" t="str">
        <f aca="false">IF(L13="","",IFERROR(L13/F13,""))</f>
        <v/>
      </c>
      <c r="N13" s="12"/>
      <c r="O13" s="15" t="str">
        <f aca="false">IF(N13="","",IFERROR(N13/L13,""))</f>
        <v/>
      </c>
      <c r="P13" s="37" t="str">
        <f aca="false">IF(N13=0,"",IFERROR(C13/N13,""))</f>
        <v/>
      </c>
      <c r="Q13" s="38" t="str">
        <f aca="false">IF(N13=0,"",IFERROR(IF(C13/N13&lt;=用語集!$B$22,"◎ 許容内","✗ 超過"),"—"))</f>
        <v/>
      </c>
      <c r="R13" s="39" t="str">
        <f aca="false">IFERROR(用語集!$B$22/P13,"")</f>
        <v/>
      </c>
    </row>
    <row r="14" customFormat="false" ht="15" hidden="false" customHeight="false" outlineLevel="0" collapsed="false">
      <c r="A14" s="34" t="s">
        <v>76</v>
      </c>
      <c r="B14" s="35" t="s">
        <v>77</v>
      </c>
      <c r="C14" s="36" t="n">
        <v>103281</v>
      </c>
      <c r="D14" s="12" t="n">
        <v>40922</v>
      </c>
      <c r="E14" s="12" t="n">
        <v>649</v>
      </c>
      <c r="F14" s="12" t="n">
        <v>68</v>
      </c>
      <c r="G14" s="15" t="n">
        <f aca="false">IFERROR(E14/D14,"")</f>
        <v>0.0158594399100728</v>
      </c>
      <c r="H14" s="37" t="n">
        <f aca="false">IFERROR(C14/E14,"")</f>
        <v>159.138674884438</v>
      </c>
      <c r="I14" s="37" t="n">
        <f aca="false">IFERROR(C14/D14*1000,"")</f>
        <v>2523.85025169835</v>
      </c>
      <c r="J14" s="15" t="n">
        <f aca="false">IFERROR(F14/E14,"")</f>
        <v>0.104776579352851</v>
      </c>
      <c r="K14" s="37" t="n">
        <f aca="false">IFERROR(C14/F14,"")</f>
        <v>1518.83823529412</v>
      </c>
      <c r="L14" s="12"/>
      <c r="M14" s="15" t="str">
        <f aca="false">IF(L14="","",IFERROR(L14/F14,""))</f>
        <v/>
      </c>
      <c r="N14" s="12"/>
      <c r="O14" s="15" t="str">
        <f aca="false">IF(N14="","",IFERROR(N14/L14,""))</f>
        <v/>
      </c>
      <c r="P14" s="37" t="str">
        <f aca="false">IF(N14=0,"",IFERROR(C14/N14,""))</f>
        <v/>
      </c>
      <c r="Q14" s="38" t="str">
        <f aca="false">IF(N14=0,"",IFERROR(IF(C14/N14&lt;=用語集!$B$22,"◎ 許容内","✗ 超過"),"—"))</f>
        <v/>
      </c>
      <c r="R14" s="39" t="str">
        <f aca="false">IFERROR(用語集!$B$22/P14,"")</f>
        <v/>
      </c>
    </row>
    <row r="15" customFormat="false" ht="15" hidden="false" customHeight="false" outlineLevel="0" collapsed="false">
      <c r="A15" s="34" t="s">
        <v>78</v>
      </c>
      <c r="B15" s="35" t="s">
        <v>79</v>
      </c>
      <c r="C15" s="41" t="n">
        <f aca="false">IF(COUNTIFS(日次入力!$A$4:$A$1500,"&gt;="&amp;DATE(2026,6,9),日次入力!$A$4:$A$1500,"&lt;="&amp;DATE(2026,6,15),日次入力!$C$4:$C$1500,"Metaウェビナー")=0,"",SUMIFS(日次入力!$D$4:$D$1500,日次入力!$A$4:$A$1500,"&gt;="&amp;DATE(2026,6,9),日次入力!$A$4:$A$1500,"&lt;="&amp;DATE(2026,6,15),日次入力!$C$4:$C$1500,"Metaウェビナー"))</f>
        <v>36717</v>
      </c>
      <c r="D15" s="42" t="n">
        <f aca="false">IF(COUNTIFS(日次入力!$A$4:$A$1500,"&gt;="&amp;DATE(2026,6,9),日次入力!$A$4:$A$1500,"&lt;="&amp;DATE(2026,6,15),日次入力!$C$4:$C$1500,"Metaウェビナー")=0,"",SUMIFS(日次入力!$E$4:$E$1500,日次入力!$A$4:$A$1500,"&gt;="&amp;DATE(2026,6,9),日次入力!$A$4:$A$1500,"&lt;="&amp;DATE(2026,6,15),日次入力!$C$4:$C$1500,"Metaウェビナー"))</f>
        <v>12817</v>
      </c>
      <c r="E15" s="42" t="n">
        <f aca="false">IF(COUNTIFS(日次入力!$A$4:$A$1500,"&gt;="&amp;DATE(2026,6,9),日次入力!$A$4:$A$1500,"&lt;="&amp;DATE(2026,6,15),日次入力!$C$4:$C$1500,"Metaウェビナー")=0,"",SUMIFS(日次入力!$F$4:$F$1500,日次入力!$A$4:$A$1500,"&gt;="&amp;DATE(2026,6,9),日次入力!$A$4:$A$1500,"&lt;="&amp;DATE(2026,6,15),日次入力!$C$4:$C$1500,"Metaウェビナー"))</f>
        <v>232</v>
      </c>
      <c r="F15" s="42" t="n">
        <f aca="false">IF(COUNTIFS(日次入力!$A$4:$A$1500,"&gt;="&amp;DATE(2026,6,9),日次入力!$A$4:$A$1500,"&lt;="&amp;DATE(2026,6,15),日次入力!$C$4:$C$1500,"Metaウェビナー")=0,"",SUMIFS(日次入力!$G$4:$G$1500,日次入力!$A$4:$A$1500,"&gt;="&amp;DATE(2026,6,9),日次入力!$A$4:$A$1500,"&lt;="&amp;DATE(2026,6,15),日次入力!$C$4:$C$1500,"Metaウェビナー"))</f>
        <v>33</v>
      </c>
      <c r="G15" s="15" t="n">
        <f aca="false">IFERROR(E15/D15,"")</f>
        <v>0.0181009596629476</v>
      </c>
      <c r="H15" s="37" t="n">
        <f aca="false">IFERROR(C15/E15,"")</f>
        <v>158.262931034483</v>
      </c>
      <c r="I15" s="37" t="n">
        <f aca="false">IFERROR(C15/D15*1000,"")</f>
        <v>2864.71093079504</v>
      </c>
      <c r="J15" s="15" t="n">
        <f aca="false">IFERROR(F15/E15,"")</f>
        <v>0.142241379310345</v>
      </c>
      <c r="K15" s="37" t="n">
        <f aca="false">IFERROR(C15/F15,"")</f>
        <v>1112.63636363636</v>
      </c>
      <c r="L15" s="42" t="n">
        <f aca="false">IF(COUNTIFS(日次入力!$A$4:$A$1500,"&gt;="&amp;DATE(2026,6,9),日次入力!$A$4:$A$1500,"&lt;="&amp;DATE(2026,6,15),日次入力!$C$4:$C$1500,"Metaウェビナー")=0,"",SUMIFS(日次入力!$H$4:$H$1500,日次入力!$A$4:$A$1500,"&gt;="&amp;DATE(2026,6,9),日次入力!$A$4:$A$1500,"&lt;="&amp;DATE(2026,6,15),日次入力!$C$4:$C$1500,"Metaウェビナー"))</f>
        <v>0</v>
      </c>
      <c r="M15" s="15" t="n">
        <f aca="false">IF(L15="","",IFERROR(L15/F15,""))</f>
        <v>0</v>
      </c>
      <c r="N15" s="42" t="n">
        <f aca="false">IF(COUNTIFS(日次入力!$A$4:$A$1500,"&gt;="&amp;DATE(2026,6,9),日次入力!$A$4:$A$1500,"&lt;="&amp;DATE(2026,6,15),日次入力!$C$4:$C$1500,"Metaウェビナー")=0,"",SUMIFS(日次入力!$I$4:$I$1500,日次入力!$A$4:$A$1500,"&gt;="&amp;DATE(2026,6,9),日次入力!$A$4:$A$1500,"&lt;="&amp;DATE(2026,6,15),日次入力!$C$4:$C$1500,"Metaウェビナー"))</f>
        <v>0</v>
      </c>
      <c r="O15" s="15" t="str">
        <f aca="false">IF(N15="","",IFERROR(N15/L15,""))</f>
        <v/>
      </c>
      <c r="P15" s="37" t="str">
        <f aca="false">IF(N15=0,"",IFERROR(C15/N15,""))</f>
        <v/>
      </c>
      <c r="Q15" s="38" t="str">
        <f aca="false">IF(N15=0,"",IFERROR(IF(C15/N15&lt;=用語集!$B$22,"◎ 許容内","✗ 超過"),"—"))</f>
        <v/>
      </c>
      <c r="R15" s="39" t="str">
        <f aca="false">IFERROR(用語集!$B$22/P15,"")</f>
        <v/>
      </c>
    </row>
    <row r="16" customFormat="false" ht="15" hidden="false" customHeight="false" outlineLevel="0" collapsed="false">
      <c r="A16" s="34" t="s">
        <v>80</v>
      </c>
      <c r="B16" s="35" t="s">
        <v>81</v>
      </c>
      <c r="C16" s="41" t="n">
        <f aca="false">IF(COUNTIFS(日次入力!$A$4:$A$1500,"&gt;="&amp;DATE(2026,6,16),日次入力!$A$4:$A$1500,"&lt;="&amp;DATE(2026,6,22),日次入力!$C$4:$C$1500,"Metaウェビナー")=0,"",SUMIFS(日次入力!$D$4:$D$1500,日次入力!$A$4:$A$1500,"&gt;="&amp;DATE(2026,6,16),日次入力!$A$4:$A$1500,"&lt;="&amp;DATE(2026,6,22),日次入力!$C$4:$C$1500,"Metaウェビナー"))</f>
        <v>91426</v>
      </c>
      <c r="D16" s="42" t="n">
        <f aca="false">IF(COUNTIFS(日次入力!$A$4:$A$1500,"&gt;="&amp;DATE(2026,6,16),日次入力!$A$4:$A$1500,"&lt;="&amp;DATE(2026,6,22),日次入力!$C$4:$C$1500,"Metaウェビナー")=0,"",SUMIFS(日次入力!$E$4:$E$1500,日次入力!$A$4:$A$1500,"&gt;="&amp;DATE(2026,6,16),日次入力!$A$4:$A$1500,"&lt;="&amp;DATE(2026,6,22),日次入力!$C$4:$C$1500,"Metaウェビナー"))</f>
        <v>31765</v>
      </c>
      <c r="E16" s="42" t="n">
        <f aca="false">IF(COUNTIFS(日次入力!$A$4:$A$1500,"&gt;="&amp;DATE(2026,6,16),日次入力!$A$4:$A$1500,"&lt;="&amp;DATE(2026,6,22),日次入力!$C$4:$C$1500,"Metaウェビナー")=0,"",SUMIFS(日次入力!$F$4:$F$1500,日次入力!$A$4:$A$1500,"&gt;="&amp;DATE(2026,6,16),日次入力!$A$4:$A$1500,"&lt;="&amp;DATE(2026,6,22),日次入力!$C$4:$C$1500,"Metaウェビナー"))</f>
        <v>461</v>
      </c>
      <c r="F16" s="42" t="n">
        <f aca="false">IF(COUNTIFS(日次入力!$A$4:$A$1500,"&gt;="&amp;DATE(2026,6,16),日次入力!$A$4:$A$1500,"&lt;="&amp;DATE(2026,6,22),日次入力!$C$4:$C$1500,"Metaウェビナー")=0,"",SUMIFS(日次入力!$G$4:$G$1500,日次入力!$A$4:$A$1500,"&gt;="&amp;DATE(2026,6,16),日次入力!$A$4:$A$1500,"&lt;="&amp;DATE(2026,6,22),日次入力!$C$4:$C$1500,"Metaウェビナー"))</f>
        <v>28</v>
      </c>
      <c r="G16" s="15" t="n">
        <f aca="false">IFERROR(E16/D16,"")</f>
        <v>0.0145128285849205</v>
      </c>
      <c r="H16" s="37" t="n">
        <f aca="false">IFERROR(C16/E16,"")</f>
        <v>198.321041214751</v>
      </c>
      <c r="I16" s="37" t="n">
        <f aca="false">IFERROR(C16/D16*1000,"")</f>
        <v>2878.19927593263</v>
      </c>
      <c r="J16" s="15" t="n">
        <f aca="false">IFERROR(F16/E16,"")</f>
        <v>0.0607375271149675</v>
      </c>
      <c r="K16" s="37" t="n">
        <f aca="false">IFERROR(C16/F16,"")</f>
        <v>3265.21428571429</v>
      </c>
      <c r="L16" s="42" t="n">
        <f aca="false">IF(COUNTIFS(日次入力!$A$4:$A$1500,"&gt;="&amp;DATE(2026,6,16),日次入力!$A$4:$A$1500,"&lt;="&amp;DATE(2026,6,22),日次入力!$C$4:$C$1500,"Metaウェビナー")=0,"",SUMIFS(日次入力!$H$4:$H$1500,日次入力!$A$4:$A$1500,"&gt;="&amp;DATE(2026,6,16),日次入力!$A$4:$A$1500,"&lt;="&amp;DATE(2026,6,22),日次入力!$C$4:$C$1500,"Metaウェビナー"))</f>
        <v>3</v>
      </c>
      <c r="M16" s="15" t="n">
        <f aca="false">IF(L16="","",IFERROR(L16/F16,""))</f>
        <v>0.107142857142857</v>
      </c>
      <c r="N16" s="42" t="n">
        <f aca="false">IF(COUNTIFS(日次入力!$A$4:$A$1500,"&gt;="&amp;DATE(2026,6,16),日次入力!$A$4:$A$1500,"&lt;="&amp;DATE(2026,6,22),日次入力!$C$4:$C$1500,"Metaウェビナー")=0,"",SUMIFS(日次入力!$I$4:$I$1500,日次入力!$A$4:$A$1500,"&gt;="&amp;DATE(2026,6,16),日次入力!$A$4:$A$1500,"&lt;="&amp;DATE(2026,6,22),日次入力!$C$4:$C$1500,"Metaウェビナー"))</f>
        <v>0</v>
      </c>
      <c r="O16" s="15" t="n">
        <f aca="false">IF(N16="","",IFERROR(N16/L16,""))</f>
        <v>0</v>
      </c>
      <c r="P16" s="37" t="str">
        <f aca="false">IF(N16=0,"",IFERROR(C16/N16,""))</f>
        <v/>
      </c>
      <c r="Q16" s="38" t="str">
        <f aca="false">IF(N16=0,"",IFERROR(IF(C16/N16&lt;=用語集!$B$22,"◎ 許容内","✗ 超過"),"—"))</f>
        <v/>
      </c>
      <c r="R16" s="39" t="str">
        <f aca="false">IFERROR(用語集!$B$22/P16,"")</f>
        <v/>
      </c>
    </row>
    <row r="17" customFormat="false" ht="15" hidden="false" customHeight="false" outlineLevel="0" collapsed="false">
      <c r="A17" s="34" t="s">
        <v>82</v>
      </c>
      <c r="B17" s="35" t="s">
        <v>83</v>
      </c>
      <c r="C17" s="41" t="str">
        <f aca="false">IF(COUNTIFS(日次入力!$A$4:$A$1500,"&gt;="&amp;DATE(2026,6,23),日次入力!$A$4:$A$1500,"&lt;="&amp;DATE(2026,6,29),日次入力!$C$4:$C$1500,"Metaウェビナー")=0,"",SUMIFS(日次入力!$D$4:$D$1500,日次入力!$A$4:$A$1500,"&gt;="&amp;DATE(2026,6,23),日次入力!$A$4:$A$1500,"&lt;="&amp;DATE(2026,6,29),日次入力!$C$4:$C$1500,"Metaウェビナー"))</f>
        <v/>
      </c>
      <c r="D17" s="42" t="str">
        <f aca="false">IF(COUNTIFS(日次入力!$A$4:$A$1500,"&gt;="&amp;DATE(2026,6,23),日次入力!$A$4:$A$1500,"&lt;="&amp;DATE(2026,6,29),日次入力!$C$4:$C$1500,"Metaウェビナー")=0,"",SUMIFS(日次入力!$E$4:$E$1500,日次入力!$A$4:$A$1500,"&gt;="&amp;DATE(2026,6,23),日次入力!$A$4:$A$1500,"&lt;="&amp;DATE(2026,6,29),日次入力!$C$4:$C$1500,"Metaウェビナー"))</f>
        <v/>
      </c>
      <c r="E17" s="42" t="str">
        <f aca="false">IF(COUNTIFS(日次入力!$A$4:$A$1500,"&gt;="&amp;DATE(2026,6,23),日次入力!$A$4:$A$1500,"&lt;="&amp;DATE(2026,6,29),日次入力!$C$4:$C$1500,"Metaウェビナー")=0,"",SUMIFS(日次入力!$F$4:$F$1500,日次入力!$A$4:$A$1500,"&gt;="&amp;DATE(2026,6,23),日次入力!$A$4:$A$1500,"&lt;="&amp;DATE(2026,6,29),日次入力!$C$4:$C$1500,"Metaウェビナー"))</f>
        <v/>
      </c>
      <c r="F17" s="42" t="str">
        <f aca="false">IF(COUNTIFS(日次入力!$A$4:$A$1500,"&gt;="&amp;DATE(2026,6,23),日次入力!$A$4:$A$1500,"&lt;="&amp;DATE(2026,6,29),日次入力!$C$4:$C$1500,"Metaウェビナー")=0,"",SUMIFS(日次入力!$G$4:$G$1500,日次入力!$A$4:$A$1500,"&gt;="&amp;DATE(2026,6,23),日次入力!$A$4:$A$1500,"&lt;="&amp;DATE(2026,6,29),日次入力!$C$4:$C$1500,"Metaウェビナー"))</f>
        <v/>
      </c>
      <c r="G17" s="15" t="str">
        <f aca="false">IFERROR(E17/D17,"")</f>
        <v/>
      </c>
      <c r="H17" s="37" t="str">
        <f aca="false">IFERROR(C17/E17,"")</f>
        <v/>
      </c>
      <c r="I17" s="37" t="str">
        <f aca="false">IFERROR(C17/D17*1000,"")</f>
        <v/>
      </c>
      <c r="J17" s="15" t="str">
        <f aca="false">IFERROR(F17/E17,"")</f>
        <v/>
      </c>
      <c r="K17" s="37" t="str">
        <f aca="false">IFERROR(C17/F17,"")</f>
        <v/>
      </c>
      <c r="L17" s="42" t="str">
        <f aca="false">IF(COUNTIFS(日次入力!$A$4:$A$1500,"&gt;="&amp;DATE(2026,6,23),日次入力!$A$4:$A$1500,"&lt;="&amp;DATE(2026,6,29),日次入力!$C$4:$C$1500,"Metaウェビナー")=0,"",SUMIFS(日次入力!$H$4:$H$1500,日次入力!$A$4:$A$1500,"&gt;="&amp;DATE(2026,6,23),日次入力!$A$4:$A$1500,"&lt;="&amp;DATE(2026,6,29),日次入力!$C$4:$C$1500,"Metaウェビナー"))</f>
        <v/>
      </c>
      <c r="M17" s="15" t="str">
        <f aca="false">IF(L17="","",IFERROR(L17/F17,""))</f>
        <v/>
      </c>
      <c r="N17" s="42" t="str">
        <f aca="false">IF(COUNTIFS(日次入力!$A$4:$A$1500,"&gt;="&amp;DATE(2026,6,23),日次入力!$A$4:$A$1500,"&lt;="&amp;DATE(2026,6,29),日次入力!$C$4:$C$1500,"Metaウェビナー")=0,"",SUMIFS(日次入力!$I$4:$I$1500,日次入力!$A$4:$A$1500,"&gt;="&amp;DATE(2026,6,23),日次入力!$A$4:$A$1500,"&lt;="&amp;DATE(2026,6,29),日次入力!$C$4:$C$1500,"Metaウェビナー"))</f>
        <v/>
      </c>
      <c r="O17" s="15" t="str">
        <f aca="false">IF(N17="","",IFERROR(N17/L17,""))</f>
        <v/>
      </c>
      <c r="P17" s="37" t="str">
        <f aca="false">IF(N17=0,"",IFERROR(C17/N17,""))</f>
        <v/>
      </c>
      <c r="Q17" s="38" t="str">
        <f aca="false">IF(N17=0,"",IFERROR(IF(C17/N17&lt;=用語集!$B$22,"◎ 許容内","✗ 超過"),"—"))</f>
        <v>—</v>
      </c>
      <c r="R17" s="39" t="str">
        <f aca="false">IFERROR(用語集!$B$22/P17,"")</f>
        <v/>
      </c>
    </row>
    <row r="18" customFormat="false" ht="15" hidden="false" customHeight="false" outlineLevel="0" collapsed="false">
      <c r="A18" s="34" t="s">
        <v>84</v>
      </c>
      <c r="B18" s="35" t="s">
        <v>85</v>
      </c>
      <c r="C18" s="41" t="str">
        <f aca="false">IF(COUNTIFS(日次入力!$A$4:$A$1500,"&gt;="&amp;DATE(2026,6,30),日次入力!$A$4:$A$1500,"&lt;="&amp;DATE(2026,7,6),日次入力!$C$4:$C$1500,"Metaウェビナー")=0,"",SUMIFS(日次入力!$D$4:$D$1500,日次入力!$A$4:$A$1500,"&gt;="&amp;DATE(2026,6,30),日次入力!$A$4:$A$1500,"&lt;="&amp;DATE(2026,7,6),日次入力!$C$4:$C$1500,"Metaウェビナー"))</f>
        <v/>
      </c>
      <c r="D18" s="42" t="str">
        <f aca="false">IF(COUNTIFS(日次入力!$A$4:$A$1500,"&gt;="&amp;DATE(2026,6,30),日次入力!$A$4:$A$1500,"&lt;="&amp;DATE(2026,7,6),日次入力!$C$4:$C$1500,"Metaウェビナー")=0,"",SUMIFS(日次入力!$E$4:$E$1500,日次入力!$A$4:$A$1500,"&gt;="&amp;DATE(2026,6,30),日次入力!$A$4:$A$1500,"&lt;="&amp;DATE(2026,7,6),日次入力!$C$4:$C$1500,"Metaウェビナー"))</f>
        <v/>
      </c>
      <c r="E18" s="42" t="str">
        <f aca="false">IF(COUNTIFS(日次入力!$A$4:$A$1500,"&gt;="&amp;DATE(2026,6,30),日次入力!$A$4:$A$1500,"&lt;="&amp;DATE(2026,7,6),日次入力!$C$4:$C$1500,"Metaウェビナー")=0,"",SUMIFS(日次入力!$F$4:$F$1500,日次入力!$A$4:$A$1500,"&gt;="&amp;DATE(2026,6,30),日次入力!$A$4:$A$1500,"&lt;="&amp;DATE(2026,7,6),日次入力!$C$4:$C$1500,"Metaウェビナー"))</f>
        <v/>
      </c>
      <c r="F18" s="42" t="str">
        <f aca="false">IF(COUNTIFS(日次入力!$A$4:$A$1500,"&gt;="&amp;DATE(2026,6,30),日次入力!$A$4:$A$1500,"&lt;="&amp;DATE(2026,7,6),日次入力!$C$4:$C$1500,"Metaウェビナー")=0,"",SUMIFS(日次入力!$G$4:$G$1500,日次入力!$A$4:$A$1500,"&gt;="&amp;DATE(2026,6,30),日次入力!$A$4:$A$1500,"&lt;="&amp;DATE(2026,7,6),日次入力!$C$4:$C$1500,"Metaウェビナー"))</f>
        <v/>
      </c>
      <c r="G18" s="15" t="str">
        <f aca="false">IFERROR(E18/D18,"")</f>
        <v/>
      </c>
      <c r="H18" s="37" t="str">
        <f aca="false">IFERROR(C18/E18,"")</f>
        <v/>
      </c>
      <c r="I18" s="37" t="str">
        <f aca="false">IFERROR(C18/D18*1000,"")</f>
        <v/>
      </c>
      <c r="J18" s="15" t="str">
        <f aca="false">IFERROR(F18/E18,"")</f>
        <v/>
      </c>
      <c r="K18" s="37" t="str">
        <f aca="false">IFERROR(C18/F18,"")</f>
        <v/>
      </c>
      <c r="L18" s="42" t="str">
        <f aca="false">IF(COUNTIFS(日次入力!$A$4:$A$1500,"&gt;="&amp;DATE(2026,6,30),日次入力!$A$4:$A$1500,"&lt;="&amp;DATE(2026,7,6),日次入力!$C$4:$C$1500,"Metaウェビナー")=0,"",SUMIFS(日次入力!$H$4:$H$1500,日次入力!$A$4:$A$1500,"&gt;="&amp;DATE(2026,6,30),日次入力!$A$4:$A$1500,"&lt;="&amp;DATE(2026,7,6),日次入力!$C$4:$C$1500,"Metaウェビナー"))</f>
        <v/>
      </c>
      <c r="M18" s="15" t="str">
        <f aca="false">IF(L18="","",IFERROR(L18/F18,""))</f>
        <v/>
      </c>
      <c r="N18" s="42" t="str">
        <f aca="false">IF(COUNTIFS(日次入力!$A$4:$A$1500,"&gt;="&amp;DATE(2026,6,30),日次入力!$A$4:$A$1500,"&lt;="&amp;DATE(2026,7,6),日次入力!$C$4:$C$1500,"Metaウェビナー")=0,"",SUMIFS(日次入力!$I$4:$I$1500,日次入力!$A$4:$A$1500,"&gt;="&amp;DATE(2026,6,30),日次入力!$A$4:$A$1500,"&lt;="&amp;DATE(2026,7,6),日次入力!$C$4:$C$1500,"Metaウェビナー"))</f>
        <v/>
      </c>
      <c r="O18" s="15" t="str">
        <f aca="false">IF(N18="","",IFERROR(N18/L18,""))</f>
        <v/>
      </c>
      <c r="P18" s="37" t="str">
        <f aca="false">IF(N18=0,"",IFERROR(C18/N18,""))</f>
        <v/>
      </c>
      <c r="Q18" s="38" t="str">
        <f aca="false">IF(N18=0,"",IFERROR(IF(C18/N18&lt;=用語集!$B$22,"◎ 許容内","✗ 超過"),"—"))</f>
        <v>—</v>
      </c>
      <c r="R18" s="39" t="str">
        <f aca="false">IFERROR(用語集!$B$22/P18,"")</f>
        <v/>
      </c>
    </row>
    <row r="19" customFormat="false" ht="15" hidden="false" customHeight="false" outlineLevel="0" collapsed="false">
      <c r="A19" s="34" t="s">
        <v>86</v>
      </c>
      <c r="B19" s="35" t="s">
        <v>87</v>
      </c>
      <c r="C19" s="41" t="str">
        <f aca="false">IF(COUNTIFS(日次入力!$A$4:$A$1500,"&gt;="&amp;DATE(2026,7,7),日次入力!$A$4:$A$1500,"&lt;="&amp;DATE(2026,7,13),日次入力!$C$4:$C$1500,"Metaウェビナー")=0,"",SUMIFS(日次入力!$D$4:$D$1500,日次入力!$A$4:$A$1500,"&gt;="&amp;DATE(2026,7,7),日次入力!$A$4:$A$1500,"&lt;="&amp;DATE(2026,7,13),日次入力!$C$4:$C$1500,"Metaウェビナー"))</f>
        <v/>
      </c>
      <c r="D19" s="42" t="str">
        <f aca="false">IF(COUNTIFS(日次入力!$A$4:$A$1500,"&gt;="&amp;DATE(2026,7,7),日次入力!$A$4:$A$1500,"&lt;="&amp;DATE(2026,7,13),日次入力!$C$4:$C$1500,"Metaウェビナー")=0,"",SUMIFS(日次入力!$E$4:$E$1500,日次入力!$A$4:$A$1500,"&gt;="&amp;DATE(2026,7,7),日次入力!$A$4:$A$1500,"&lt;="&amp;DATE(2026,7,13),日次入力!$C$4:$C$1500,"Metaウェビナー"))</f>
        <v/>
      </c>
      <c r="E19" s="42" t="str">
        <f aca="false">IF(COUNTIFS(日次入力!$A$4:$A$1500,"&gt;="&amp;DATE(2026,7,7),日次入力!$A$4:$A$1500,"&lt;="&amp;DATE(2026,7,13),日次入力!$C$4:$C$1500,"Metaウェビナー")=0,"",SUMIFS(日次入力!$F$4:$F$1500,日次入力!$A$4:$A$1500,"&gt;="&amp;DATE(2026,7,7),日次入力!$A$4:$A$1500,"&lt;="&amp;DATE(2026,7,13),日次入力!$C$4:$C$1500,"Metaウェビナー"))</f>
        <v/>
      </c>
      <c r="F19" s="42" t="str">
        <f aca="false">IF(COUNTIFS(日次入力!$A$4:$A$1500,"&gt;="&amp;DATE(2026,7,7),日次入力!$A$4:$A$1500,"&lt;="&amp;DATE(2026,7,13),日次入力!$C$4:$C$1500,"Metaウェビナー")=0,"",SUMIFS(日次入力!$G$4:$G$1500,日次入力!$A$4:$A$1500,"&gt;="&amp;DATE(2026,7,7),日次入力!$A$4:$A$1500,"&lt;="&amp;DATE(2026,7,13),日次入力!$C$4:$C$1500,"Metaウェビナー"))</f>
        <v/>
      </c>
      <c r="G19" s="15" t="str">
        <f aca="false">IFERROR(E19/D19,"")</f>
        <v/>
      </c>
      <c r="H19" s="37" t="str">
        <f aca="false">IFERROR(C19/E19,"")</f>
        <v/>
      </c>
      <c r="I19" s="37" t="str">
        <f aca="false">IFERROR(C19/D19*1000,"")</f>
        <v/>
      </c>
      <c r="J19" s="15" t="str">
        <f aca="false">IFERROR(F19/E19,"")</f>
        <v/>
      </c>
      <c r="K19" s="37" t="str">
        <f aca="false">IFERROR(C19/F19,"")</f>
        <v/>
      </c>
      <c r="L19" s="42" t="str">
        <f aca="false">IF(COUNTIFS(日次入力!$A$4:$A$1500,"&gt;="&amp;DATE(2026,7,7),日次入力!$A$4:$A$1500,"&lt;="&amp;DATE(2026,7,13),日次入力!$C$4:$C$1500,"Metaウェビナー")=0,"",SUMIFS(日次入力!$H$4:$H$1500,日次入力!$A$4:$A$1500,"&gt;="&amp;DATE(2026,7,7),日次入力!$A$4:$A$1500,"&lt;="&amp;DATE(2026,7,13),日次入力!$C$4:$C$1500,"Metaウェビナー"))</f>
        <v/>
      </c>
      <c r="M19" s="15" t="str">
        <f aca="false">IF(L19="","",IFERROR(L19/F19,""))</f>
        <v/>
      </c>
      <c r="N19" s="42" t="str">
        <f aca="false">IF(COUNTIFS(日次入力!$A$4:$A$1500,"&gt;="&amp;DATE(2026,7,7),日次入力!$A$4:$A$1500,"&lt;="&amp;DATE(2026,7,13),日次入力!$C$4:$C$1500,"Metaウェビナー")=0,"",SUMIFS(日次入力!$I$4:$I$1500,日次入力!$A$4:$A$1500,"&gt;="&amp;DATE(2026,7,7),日次入力!$A$4:$A$1500,"&lt;="&amp;DATE(2026,7,13),日次入力!$C$4:$C$1500,"Metaウェビナー"))</f>
        <v/>
      </c>
      <c r="O19" s="15" t="str">
        <f aca="false">IF(N19="","",IFERROR(N19/L19,""))</f>
        <v/>
      </c>
      <c r="P19" s="37" t="str">
        <f aca="false">IF(N19=0,"",IFERROR(C19/N19,""))</f>
        <v/>
      </c>
      <c r="Q19" s="38" t="str">
        <f aca="false">IF(N19=0,"",IFERROR(IF(C19/N19&lt;=用語集!$B$22,"◎ 許容内","✗ 超過"),"—"))</f>
        <v>—</v>
      </c>
      <c r="R19" s="39" t="str">
        <f aca="false">IFERROR(用語集!$B$22/P19,"")</f>
        <v/>
      </c>
    </row>
    <row r="20" customFormat="false" ht="15" hidden="false" customHeight="false" outlineLevel="0" collapsed="false">
      <c r="A20" s="34" t="s">
        <v>88</v>
      </c>
      <c r="B20" s="35" t="s">
        <v>89</v>
      </c>
      <c r="C20" s="41" t="str">
        <f aca="false">IF(COUNTIFS(日次入力!$A$4:$A$1500,"&gt;="&amp;DATE(2026,7,14),日次入力!$A$4:$A$1500,"&lt;="&amp;DATE(2026,7,20),日次入力!$C$4:$C$1500,"Metaウェビナー")=0,"",SUMIFS(日次入力!$D$4:$D$1500,日次入力!$A$4:$A$1500,"&gt;="&amp;DATE(2026,7,14),日次入力!$A$4:$A$1500,"&lt;="&amp;DATE(2026,7,20),日次入力!$C$4:$C$1500,"Metaウェビナー"))</f>
        <v/>
      </c>
      <c r="D20" s="42" t="str">
        <f aca="false">IF(COUNTIFS(日次入力!$A$4:$A$1500,"&gt;="&amp;DATE(2026,7,14),日次入力!$A$4:$A$1500,"&lt;="&amp;DATE(2026,7,20),日次入力!$C$4:$C$1500,"Metaウェビナー")=0,"",SUMIFS(日次入力!$E$4:$E$1500,日次入力!$A$4:$A$1500,"&gt;="&amp;DATE(2026,7,14),日次入力!$A$4:$A$1500,"&lt;="&amp;DATE(2026,7,20),日次入力!$C$4:$C$1500,"Metaウェビナー"))</f>
        <v/>
      </c>
      <c r="E20" s="42" t="str">
        <f aca="false">IF(COUNTIFS(日次入力!$A$4:$A$1500,"&gt;="&amp;DATE(2026,7,14),日次入力!$A$4:$A$1500,"&lt;="&amp;DATE(2026,7,20),日次入力!$C$4:$C$1500,"Metaウェビナー")=0,"",SUMIFS(日次入力!$F$4:$F$1500,日次入力!$A$4:$A$1500,"&gt;="&amp;DATE(2026,7,14),日次入力!$A$4:$A$1500,"&lt;="&amp;DATE(2026,7,20),日次入力!$C$4:$C$1500,"Metaウェビナー"))</f>
        <v/>
      </c>
      <c r="F20" s="42" t="str">
        <f aca="false">IF(COUNTIFS(日次入力!$A$4:$A$1500,"&gt;="&amp;DATE(2026,7,14),日次入力!$A$4:$A$1500,"&lt;="&amp;DATE(2026,7,20),日次入力!$C$4:$C$1500,"Metaウェビナー")=0,"",SUMIFS(日次入力!$G$4:$G$1500,日次入力!$A$4:$A$1500,"&gt;="&amp;DATE(2026,7,14),日次入力!$A$4:$A$1500,"&lt;="&amp;DATE(2026,7,20),日次入力!$C$4:$C$1500,"Metaウェビナー"))</f>
        <v/>
      </c>
      <c r="G20" s="15" t="str">
        <f aca="false">IFERROR(E20/D20,"")</f>
        <v/>
      </c>
      <c r="H20" s="37" t="str">
        <f aca="false">IFERROR(C20/E20,"")</f>
        <v/>
      </c>
      <c r="I20" s="37" t="str">
        <f aca="false">IFERROR(C20/D20*1000,"")</f>
        <v/>
      </c>
      <c r="J20" s="15" t="str">
        <f aca="false">IFERROR(F20/E20,"")</f>
        <v/>
      </c>
      <c r="K20" s="37" t="str">
        <f aca="false">IFERROR(C20/F20,"")</f>
        <v/>
      </c>
      <c r="L20" s="42" t="str">
        <f aca="false">IF(COUNTIFS(日次入力!$A$4:$A$1500,"&gt;="&amp;DATE(2026,7,14),日次入力!$A$4:$A$1500,"&lt;="&amp;DATE(2026,7,20),日次入力!$C$4:$C$1500,"Metaウェビナー")=0,"",SUMIFS(日次入力!$H$4:$H$1500,日次入力!$A$4:$A$1500,"&gt;="&amp;DATE(2026,7,14),日次入力!$A$4:$A$1500,"&lt;="&amp;DATE(2026,7,20),日次入力!$C$4:$C$1500,"Metaウェビナー"))</f>
        <v/>
      </c>
      <c r="M20" s="15" t="str">
        <f aca="false">IF(L20="","",IFERROR(L20/F20,""))</f>
        <v/>
      </c>
      <c r="N20" s="42" t="str">
        <f aca="false">IF(COUNTIFS(日次入力!$A$4:$A$1500,"&gt;="&amp;DATE(2026,7,14),日次入力!$A$4:$A$1500,"&lt;="&amp;DATE(2026,7,20),日次入力!$C$4:$C$1500,"Metaウェビナー")=0,"",SUMIFS(日次入力!$I$4:$I$1500,日次入力!$A$4:$A$1500,"&gt;="&amp;DATE(2026,7,14),日次入力!$A$4:$A$1500,"&lt;="&amp;DATE(2026,7,20),日次入力!$C$4:$C$1500,"Metaウェビナー"))</f>
        <v/>
      </c>
      <c r="O20" s="15" t="str">
        <f aca="false">IF(N20="","",IFERROR(N20/L20,""))</f>
        <v/>
      </c>
      <c r="P20" s="37" t="str">
        <f aca="false">IF(N20=0,"",IFERROR(C20/N20,""))</f>
        <v/>
      </c>
      <c r="Q20" s="38" t="str">
        <f aca="false">IF(N20=0,"",IFERROR(IF(C20/N20&lt;=用語集!$B$22,"◎ 許容内","✗ 超過"),"—"))</f>
        <v>—</v>
      </c>
      <c r="R20" s="39" t="str">
        <f aca="false">IFERROR(用語集!$B$22/P20,"")</f>
        <v/>
      </c>
    </row>
    <row r="21" customFormat="false" ht="15" hidden="false" customHeight="false" outlineLevel="0" collapsed="false">
      <c r="A21" s="34" t="s">
        <v>90</v>
      </c>
      <c r="B21" s="35" t="s">
        <v>91</v>
      </c>
      <c r="C21" s="41" t="str">
        <f aca="false">IF(COUNTIFS(日次入力!$A$4:$A$1500,"&gt;="&amp;DATE(2026,7,21),日次入力!$A$4:$A$1500,"&lt;="&amp;DATE(2026,7,27),日次入力!$C$4:$C$1500,"Metaウェビナー")=0,"",SUMIFS(日次入力!$D$4:$D$1500,日次入力!$A$4:$A$1500,"&gt;="&amp;DATE(2026,7,21),日次入力!$A$4:$A$1500,"&lt;="&amp;DATE(2026,7,27),日次入力!$C$4:$C$1500,"Metaウェビナー"))</f>
        <v/>
      </c>
      <c r="D21" s="42" t="str">
        <f aca="false">IF(COUNTIFS(日次入力!$A$4:$A$1500,"&gt;="&amp;DATE(2026,7,21),日次入力!$A$4:$A$1500,"&lt;="&amp;DATE(2026,7,27),日次入力!$C$4:$C$1500,"Metaウェビナー")=0,"",SUMIFS(日次入力!$E$4:$E$1500,日次入力!$A$4:$A$1500,"&gt;="&amp;DATE(2026,7,21),日次入力!$A$4:$A$1500,"&lt;="&amp;DATE(2026,7,27),日次入力!$C$4:$C$1500,"Metaウェビナー"))</f>
        <v/>
      </c>
      <c r="E21" s="42" t="str">
        <f aca="false">IF(COUNTIFS(日次入力!$A$4:$A$1500,"&gt;="&amp;DATE(2026,7,21),日次入力!$A$4:$A$1500,"&lt;="&amp;DATE(2026,7,27),日次入力!$C$4:$C$1500,"Metaウェビナー")=0,"",SUMIFS(日次入力!$F$4:$F$1500,日次入力!$A$4:$A$1500,"&gt;="&amp;DATE(2026,7,21),日次入力!$A$4:$A$1500,"&lt;="&amp;DATE(2026,7,27),日次入力!$C$4:$C$1500,"Metaウェビナー"))</f>
        <v/>
      </c>
      <c r="F21" s="42" t="str">
        <f aca="false">IF(COUNTIFS(日次入力!$A$4:$A$1500,"&gt;="&amp;DATE(2026,7,21),日次入力!$A$4:$A$1500,"&lt;="&amp;DATE(2026,7,27),日次入力!$C$4:$C$1500,"Metaウェビナー")=0,"",SUMIFS(日次入力!$G$4:$G$1500,日次入力!$A$4:$A$1500,"&gt;="&amp;DATE(2026,7,21),日次入力!$A$4:$A$1500,"&lt;="&amp;DATE(2026,7,27),日次入力!$C$4:$C$1500,"Metaウェビナー"))</f>
        <v/>
      </c>
      <c r="G21" s="15" t="str">
        <f aca="false">IFERROR(E21/D21,"")</f>
        <v/>
      </c>
      <c r="H21" s="37" t="str">
        <f aca="false">IFERROR(C21/E21,"")</f>
        <v/>
      </c>
      <c r="I21" s="37" t="str">
        <f aca="false">IFERROR(C21/D21*1000,"")</f>
        <v/>
      </c>
      <c r="J21" s="15" t="str">
        <f aca="false">IFERROR(F21/E21,"")</f>
        <v/>
      </c>
      <c r="K21" s="37" t="str">
        <f aca="false">IFERROR(C21/F21,"")</f>
        <v/>
      </c>
      <c r="L21" s="42" t="str">
        <f aca="false">IF(COUNTIFS(日次入力!$A$4:$A$1500,"&gt;="&amp;DATE(2026,7,21),日次入力!$A$4:$A$1500,"&lt;="&amp;DATE(2026,7,27),日次入力!$C$4:$C$1500,"Metaウェビナー")=0,"",SUMIFS(日次入力!$H$4:$H$1500,日次入力!$A$4:$A$1500,"&gt;="&amp;DATE(2026,7,21),日次入力!$A$4:$A$1500,"&lt;="&amp;DATE(2026,7,27),日次入力!$C$4:$C$1500,"Metaウェビナー"))</f>
        <v/>
      </c>
      <c r="M21" s="15" t="str">
        <f aca="false">IF(L21="","",IFERROR(L21/F21,""))</f>
        <v/>
      </c>
      <c r="N21" s="42" t="str">
        <f aca="false">IF(COUNTIFS(日次入力!$A$4:$A$1500,"&gt;="&amp;DATE(2026,7,21),日次入力!$A$4:$A$1500,"&lt;="&amp;DATE(2026,7,27),日次入力!$C$4:$C$1500,"Metaウェビナー")=0,"",SUMIFS(日次入力!$I$4:$I$1500,日次入力!$A$4:$A$1500,"&gt;="&amp;DATE(2026,7,21),日次入力!$A$4:$A$1500,"&lt;="&amp;DATE(2026,7,27),日次入力!$C$4:$C$1500,"Metaウェビナー"))</f>
        <v/>
      </c>
      <c r="O21" s="15" t="str">
        <f aca="false">IF(N21="","",IFERROR(N21/L21,""))</f>
        <v/>
      </c>
      <c r="P21" s="37" t="str">
        <f aca="false">IF(N21=0,"",IFERROR(C21/N21,""))</f>
        <v/>
      </c>
      <c r="Q21" s="38" t="str">
        <f aca="false">IF(N21=0,"",IFERROR(IF(C21/N21&lt;=用語集!$B$22,"◎ 許容内","✗ 超過"),"—"))</f>
        <v>—</v>
      </c>
      <c r="R21" s="39" t="str">
        <f aca="false">IFERROR(用語集!$B$22/P21,"")</f>
        <v/>
      </c>
    </row>
    <row r="22" customFormat="false" ht="15" hidden="false" customHeight="false" outlineLevel="0" collapsed="false">
      <c r="A22" s="34" t="s">
        <v>92</v>
      </c>
      <c r="B22" s="35" t="s">
        <v>93</v>
      </c>
      <c r="C22" s="41" t="str">
        <f aca="false">IF(COUNTIFS(日次入力!$A$4:$A$1500,"&gt;="&amp;DATE(2026,7,28),日次入力!$A$4:$A$1500,"&lt;="&amp;DATE(2026,8,3),日次入力!$C$4:$C$1500,"Metaウェビナー")=0,"",SUMIFS(日次入力!$D$4:$D$1500,日次入力!$A$4:$A$1500,"&gt;="&amp;DATE(2026,7,28),日次入力!$A$4:$A$1500,"&lt;="&amp;DATE(2026,8,3),日次入力!$C$4:$C$1500,"Metaウェビナー"))</f>
        <v/>
      </c>
      <c r="D22" s="42" t="str">
        <f aca="false">IF(COUNTIFS(日次入力!$A$4:$A$1500,"&gt;="&amp;DATE(2026,7,28),日次入力!$A$4:$A$1500,"&lt;="&amp;DATE(2026,8,3),日次入力!$C$4:$C$1500,"Metaウェビナー")=0,"",SUMIFS(日次入力!$E$4:$E$1500,日次入力!$A$4:$A$1500,"&gt;="&amp;DATE(2026,7,28),日次入力!$A$4:$A$1500,"&lt;="&amp;DATE(2026,8,3),日次入力!$C$4:$C$1500,"Metaウェビナー"))</f>
        <v/>
      </c>
      <c r="E22" s="42" t="str">
        <f aca="false">IF(COUNTIFS(日次入力!$A$4:$A$1500,"&gt;="&amp;DATE(2026,7,28),日次入力!$A$4:$A$1500,"&lt;="&amp;DATE(2026,8,3),日次入力!$C$4:$C$1500,"Metaウェビナー")=0,"",SUMIFS(日次入力!$F$4:$F$1500,日次入力!$A$4:$A$1500,"&gt;="&amp;DATE(2026,7,28),日次入力!$A$4:$A$1500,"&lt;="&amp;DATE(2026,8,3),日次入力!$C$4:$C$1500,"Metaウェビナー"))</f>
        <v/>
      </c>
      <c r="F22" s="42" t="str">
        <f aca="false">IF(COUNTIFS(日次入力!$A$4:$A$1500,"&gt;="&amp;DATE(2026,7,28),日次入力!$A$4:$A$1500,"&lt;="&amp;DATE(2026,8,3),日次入力!$C$4:$C$1500,"Metaウェビナー")=0,"",SUMIFS(日次入力!$G$4:$G$1500,日次入力!$A$4:$A$1500,"&gt;="&amp;DATE(2026,7,28),日次入力!$A$4:$A$1500,"&lt;="&amp;DATE(2026,8,3),日次入力!$C$4:$C$1500,"Metaウェビナー"))</f>
        <v/>
      </c>
      <c r="G22" s="15" t="str">
        <f aca="false">IFERROR(E22/D22,"")</f>
        <v/>
      </c>
      <c r="H22" s="37" t="str">
        <f aca="false">IFERROR(C22/E22,"")</f>
        <v/>
      </c>
      <c r="I22" s="37" t="str">
        <f aca="false">IFERROR(C22/D22*1000,"")</f>
        <v/>
      </c>
      <c r="J22" s="15" t="str">
        <f aca="false">IFERROR(F22/E22,"")</f>
        <v/>
      </c>
      <c r="K22" s="37" t="str">
        <f aca="false">IFERROR(C22/F22,"")</f>
        <v/>
      </c>
      <c r="L22" s="42" t="str">
        <f aca="false">IF(COUNTIFS(日次入力!$A$4:$A$1500,"&gt;="&amp;DATE(2026,7,28),日次入力!$A$4:$A$1500,"&lt;="&amp;DATE(2026,8,3),日次入力!$C$4:$C$1500,"Metaウェビナー")=0,"",SUMIFS(日次入力!$H$4:$H$1500,日次入力!$A$4:$A$1500,"&gt;="&amp;DATE(2026,7,28),日次入力!$A$4:$A$1500,"&lt;="&amp;DATE(2026,8,3),日次入力!$C$4:$C$1500,"Metaウェビナー"))</f>
        <v/>
      </c>
      <c r="M22" s="15" t="str">
        <f aca="false">IF(L22="","",IFERROR(L22/F22,""))</f>
        <v/>
      </c>
      <c r="N22" s="42" t="str">
        <f aca="false">IF(COUNTIFS(日次入力!$A$4:$A$1500,"&gt;="&amp;DATE(2026,7,28),日次入力!$A$4:$A$1500,"&lt;="&amp;DATE(2026,8,3),日次入力!$C$4:$C$1500,"Metaウェビナー")=0,"",SUMIFS(日次入力!$I$4:$I$1500,日次入力!$A$4:$A$1500,"&gt;="&amp;DATE(2026,7,28),日次入力!$A$4:$A$1500,"&lt;="&amp;DATE(2026,8,3),日次入力!$C$4:$C$1500,"Metaウェビナー"))</f>
        <v/>
      </c>
      <c r="O22" s="15" t="str">
        <f aca="false">IF(N22="","",IFERROR(N22/L22,""))</f>
        <v/>
      </c>
      <c r="P22" s="37" t="str">
        <f aca="false">IF(N22=0,"",IFERROR(C22/N22,""))</f>
        <v/>
      </c>
      <c r="Q22" s="38" t="str">
        <f aca="false">IF(N22=0,"",IFERROR(IF(C22/N22&lt;=用語集!$B$22,"◎ 許容内","✗ 超過"),"—"))</f>
        <v>—</v>
      </c>
      <c r="R22" s="39" t="str">
        <f aca="false">IFERROR(用語集!$B$22/P22,"")</f>
        <v/>
      </c>
    </row>
    <row r="23" customFormat="false" ht="15" hidden="false" customHeight="false" outlineLevel="0" collapsed="false">
      <c r="A23" s="34" t="s">
        <v>94</v>
      </c>
      <c r="B23" s="35" t="s">
        <v>95</v>
      </c>
      <c r="C23" s="41" t="str">
        <f aca="false">IF(COUNTIFS(日次入力!$A$4:$A$1500,"&gt;="&amp;DATE(2026,8,4),日次入力!$A$4:$A$1500,"&lt;="&amp;DATE(2026,8,10),日次入力!$C$4:$C$1500,"Metaウェビナー")=0,"",SUMIFS(日次入力!$D$4:$D$1500,日次入力!$A$4:$A$1500,"&gt;="&amp;DATE(2026,8,4),日次入力!$A$4:$A$1500,"&lt;="&amp;DATE(2026,8,10),日次入力!$C$4:$C$1500,"Metaウェビナー"))</f>
        <v/>
      </c>
      <c r="D23" s="42" t="str">
        <f aca="false">IF(COUNTIFS(日次入力!$A$4:$A$1500,"&gt;="&amp;DATE(2026,8,4),日次入力!$A$4:$A$1500,"&lt;="&amp;DATE(2026,8,10),日次入力!$C$4:$C$1500,"Metaウェビナー")=0,"",SUMIFS(日次入力!$E$4:$E$1500,日次入力!$A$4:$A$1500,"&gt;="&amp;DATE(2026,8,4),日次入力!$A$4:$A$1500,"&lt;="&amp;DATE(2026,8,10),日次入力!$C$4:$C$1500,"Metaウェビナー"))</f>
        <v/>
      </c>
      <c r="E23" s="42" t="str">
        <f aca="false">IF(COUNTIFS(日次入力!$A$4:$A$1500,"&gt;="&amp;DATE(2026,8,4),日次入力!$A$4:$A$1500,"&lt;="&amp;DATE(2026,8,10),日次入力!$C$4:$C$1500,"Metaウェビナー")=0,"",SUMIFS(日次入力!$F$4:$F$1500,日次入力!$A$4:$A$1500,"&gt;="&amp;DATE(2026,8,4),日次入力!$A$4:$A$1500,"&lt;="&amp;DATE(2026,8,10),日次入力!$C$4:$C$1500,"Metaウェビナー"))</f>
        <v/>
      </c>
      <c r="F23" s="42" t="str">
        <f aca="false">IF(COUNTIFS(日次入力!$A$4:$A$1500,"&gt;="&amp;DATE(2026,8,4),日次入力!$A$4:$A$1500,"&lt;="&amp;DATE(2026,8,10),日次入力!$C$4:$C$1500,"Metaウェビナー")=0,"",SUMIFS(日次入力!$G$4:$G$1500,日次入力!$A$4:$A$1500,"&gt;="&amp;DATE(2026,8,4),日次入力!$A$4:$A$1500,"&lt;="&amp;DATE(2026,8,10),日次入力!$C$4:$C$1500,"Metaウェビナー"))</f>
        <v/>
      </c>
      <c r="G23" s="15" t="str">
        <f aca="false">IFERROR(E23/D23,"")</f>
        <v/>
      </c>
      <c r="H23" s="37" t="str">
        <f aca="false">IFERROR(C23/E23,"")</f>
        <v/>
      </c>
      <c r="I23" s="37" t="str">
        <f aca="false">IFERROR(C23/D23*1000,"")</f>
        <v/>
      </c>
      <c r="J23" s="15" t="str">
        <f aca="false">IFERROR(F23/E23,"")</f>
        <v/>
      </c>
      <c r="K23" s="37" t="str">
        <f aca="false">IFERROR(C23/F23,"")</f>
        <v/>
      </c>
      <c r="L23" s="42" t="str">
        <f aca="false">IF(COUNTIFS(日次入力!$A$4:$A$1500,"&gt;="&amp;DATE(2026,8,4),日次入力!$A$4:$A$1500,"&lt;="&amp;DATE(2026,8,10),日次入力!$C$4:$C$1500,"Metaウェビナー")=0,"",SUMIFS(日次入力!$H$4:$H$1500,日次入力!$A$4:$A$1500,"&gt;="&amp;DATE(2026,8,4),日次入力!$A$4:$A$1500,"&lt;="&amp;DATE(2026,8,10),日次入力!$C$4:$C$1500,"Metaウェビナー"))</f>
        <v/>
      </c>
      <c r="M23" s="15" t="str">
        <f aca="false">IF(L23="","",IFERROR(L23/F23,""))</f>
        <v/>
      </c>
      <c r="N23" s="42" t="str">
        <f aca="false">IF(COUNTIFS(日次入力!$A$4:$A$1500,"&gt;="&amp;DATE(2026,8,4),日次入力!$A$4:$A$1500,"&lt;="&amp;DATE(2026,8,10),日次入力!$C$4:$C$1500,"Metaウェビナー")=0,"",SUMIFS(日次入力!$I$4:$I$1500,日次入力!$A$4:$A$1500,"&gt;="&amp;DATE(2026,8,4),日次入力!$A$4:$A$1500,"&lt;="&amp;DATE(2026,8,10),日次入力!$C$4:$C$1500,"Metaウェビナー"))</f>
        <v/>
      </c>
      <c r="O23" s="15" t="str">
        <f aca="false">IF(N23="","",IFERROR(N23/L23,""))</f>
        <v/>
      </c>
      <c r="P23" s="37" t="str">
        <f aca="false">IF(N23=0,"",IFERROR(C23/N23,""))</f>
        <v/>
      </c>
      <c r="Q23" s="38" t="str">
        <f aca="false">IF(N23=0,"",IFERROR(IF(C23/N23&lt;=用語集!$B$22,"◎ 許容内","✗ 超過"),"—"))</f>
        <v>—</v>
      </c>
      <c r="R23" s="39" t="str">
        <f aca="false">IFERROR(用語集!$B$22/P23,"")</f>
        <v/>
      </c>
    </row>
    <row r="24" customFormat="false" ht="15" hidden="false" customHeight="false" outlineLevel="0" collapsed="false">
      <c r="A24" s="34" t="s">
        <v>96</v>
      </c>
      <c r="B24" s="35" t="s">
        <v>97</v>
      </c>
      <c r="C24" s="41" t="str">
        <f aca="false">IF(COUNTIFS(日次入力!$A$4:$A$1500,"&gt;="&amp;DATE(2026,8,11),日次入力!$A$4:$A$1500,"&lt;="&amp;DATE(2026,8,17),日次入力!$C$4:$C$1500,"Metaウェビナー")=0,"",SUMIFS(日次入力!$D$4:$D$1500,日次入力!$A$4:$A$1500,"&gt;="&amp;DATE(2026,8,11),日次入力!$A$4:$A$1500,"&lt;="&amp;DATE(2026,8,17),日次入力!$C$4:$C$1500,"Metaウェビナー"))</f>
        <v/>
      </c>
      <c r="D24" s="42" t="str">
        <f aca="false">IF(COUNTIFS(日次入力!$A$4:$A$1500,"&gt;="&amp;DATE(2026,8,11),日次入力!$A$4:$A$1500,"&lt;="&amp;DATE(2026,8,17),日次入力!$C$4:$C$1500,"Metaウェビナー")=0,"",SUMIFS(日次入力!$E$4:$E$1500,日次入力!$A$4:$A$1500,"&gt;="&amp;DATE(2026,8,11),日次入力!$A$4:$A$1500,"&lt;="&amp;DATE(2026,8,17),日次入力!$C$4:$C$1500,"Metaウェビナー"))</f>
        <v/>
      </c>
      <c r="E24" s="42" t="str">
        <f aca="false">IF(COUNTIFS(日次入力!$A$4:$A$1500,"&gt;="&amp;DATE(2026,8,11),日次入力!$A$4:$A$1500,"&lt;="&amp;DATE(2026,8,17),日次入力!$C$4:$C$1500,"Metaウェビナー")=0,"",SUMIFS(日次入力!$F$4:$F$1500,日次入力!$A$4:$A$1500,"&gt;="&amp;DATE(2026,8,11),日次入力!$A$4:$A$1500,"&lt;="&amp;DATE(2026,8,17),日次入力!$C$4:$C$1500,"Metaウェビナー"))</f>
        <v/>
      </c>
      <c r="F24" s="42" t="str">
        <f aca="false">IF(COUNTIFS(日次入力!$A$4:$A$1500,"&gt;="&amp;DATE(2026,8,11),日次入力!$A$4:$A$1500,"&lt;="&amp;DATE(2026,8,17),日次入力!$C$4:$C$1500,"Metaウェビナー")=0,"",SUMIFS(日次入力!$G$4:$G$1500,日次入力!$A$4:$A$1500,"&gt;="&amp;DATE(2026,8,11),日次入力!$A$4:$A$1500,"&lt;="&amp;DATE(2026,8,17),日次入力!$C$4:$C$1500,"Metaウェビナー"))</f>
        <v/>
      </c>
      <c r="G24" s="15" t="str">
        <f aca="false">IFERROR(E24/D24,"")</f>
        <v/>
      </c>
      <c r="H24" s="37" t="str">
        <f aca="false">IFERROR(C24/E24,"")</f>
        <v/>
      </c>
      <c r="I24" s="37" t="str">
        <f aca="false">IFERROR(C24/D24*1000,"")</f>
        <v/>
      </c>
      <c r="J24" s="15" t="str">
        <f aca="false">IFERROR(F24/E24,"")</f>
        <v/>
      </c>
      <c r="K24" s="37" t="str">
        <f aca="false">IFERROR(C24/F24,"")</f>
        <v/>
      </c>
      <c r="L24" s="42" t="str">
        <f aca="false">IF(COUNTIFS(日次入力!$A$4:$A$1500,"&gt;="&amp;DATE(2026,8,11),日次入力!$A$4:$A$1500,"&lt;="&amp;DATE(2026,8,17),日次入力!$C$4:$C$1500,"Metaウェビナー")=0,"",SUMIFS(日次入力!$H$4:$H$1500,日次入力!$A$4:$A$1500,"&gt;="&amp;DATE(2026,8,11),日次入力!$A$4:$A$1500,"&lt;="&amp;DATE(2026,8,17),日次入力!$C$4:$C$1500,"Metaウェビナー"))</f>
        <v/>
      </c>
      <c r="M24" s="15" t="str">
        <f aca="false">IF(L24="","",IFERROR(L24/F24,""))</f>
        <v/>
      </c>
      <c r="N24" s="42" t="str">
        <f aca="false">IF(COUNTIFS(日次入力!$A$4:$A$1500,"&gt;="&amp;DATE(2026,8,11),日次入力!$A$4:$A$1500,"&lt;="&amp;DATE(2026,8,17),日次入力!$C$4:$C$1500,"Metaウェビナー")=0,"",SUMIFS(日次入力!$I$4:$I$1500,日次入力!$A$4:$A$1500,"&gt;="&amp;DATE(2026,8,11),日次入力!$A$4:$A$1500,"&lt;="&amp;DATE(2026,8,17),日次入力!$C$4:$C$1500,"Metaウェビナー"))</f>
        <v/>
      </c>
      <c r="O24" s="15" t="str">
        <f aca="false">IF(N24="","",IFERROR(N24/L24,""))</f>
        <v/>
      </c>
      <c r="P24" s="37" t="str">
        <f aca="false">IF(N24=0,"",IFERROR(C24/N24,""))</f>
        <v/>
      </c>
      <c r="Q24" s="38" t="str">
        <f aca="false">IF(N24=0,"",IFERROR(IF(C24/N24&lt;=用語集!$B$22,"◎ 許容内","✗ 超過"),"—"))</f>
        <v>—</v>
      </c>
      <c r="R24" s="39" t="str">
        <f aca="false">IFERROR(用語集!$B$22/P24,"")</f>
        <v/>
      </c>
    </row>
    <row r="25" customFormat="false" ht="15" hidden="false" customHeight="false" outlineLevel="0" collapsed="false">
      <c r="A25" s="34" t="s">
        <v>98</v>
      </c>
      <c r="B25" s="35" t="s">
        <v>99</v>
      </c>
      <c r="C25" s="41" t="str">
        <f aca="false">IF(COUNTIFS(日次入力!$A$4:$A$1500,"&gt;="&amp;DATE(2026,8,18),日次入力!$A$4:$A$1500,"&lt;="&amp;DATE(2026,8,24),日次入力!$C$4:$C$1500,"Metaウェビナー")=0,"",SUMIFS(日次入力!$D$4:$D$1500,日次入力!$A$4:$A$1500,"&gt;="&amp;DATE(2026,8,18),日次入力!$A$4:$A$1500,"&lt;="&amp;DATE(2026,8,24),日次入力!$C$4:$C$1500,"Metaウェビナー"))</f>
        <v/>
      </c>
      <c r="D25" s="42" t="str">
        <f aca="false">IF(COUNTIFS(日次入力!$A$4:$A$1500,"&gt;="&amp;DATE(2026,8,18),日次入力!$A$4:$A$1500,"&lt;="&amp;DATE(2026,8,24),日次入力!$C$4:$C$1500,"Metaウェビナー")=0,"",SUMIFS(日次入力!$E$4:$E$1500,日次入力!$A$4:$A$1500,"&gt;="&amp;DATE(2026,8,18),日次入力!$A$4:$A$1500,"&lt;="&amp;DATE(2026,8,24),日次入力!$C$4:$C$1500,"Metaウェビナー"))</f>
        <v/>
      </c>
      <c r="E25" s="42" t="str">
        <f aca="false">IF(COUNTIFS(日次入力!$A$4:$A$1500,"&gt;="&amp;DATE(2026,8,18),日次入力!$A$4:$A$1500,"&lt;="&amp;DATE(2026,8,24),日次入力!$C$4:$C$1500,"Metaウェビナー")=0,"",SUMIFS(日次入力!$F$4:$F$1500,日次入力!$A$4:$A$1500,"&gt;="&amp;DATE(2026,8,18),日次入力!$A$4:$A$1500,"&lt;="&amp;DATE(2026,8,24),日次入力!$C$4:$C$1500,"Metaウェビナー"))</f>
        <v/>
      </c>
      <c r="F25" s="42" t="str">
        <f aca="false">IF(COUNTIFS(日次入力!$A$4:$A$1500,"&gt;="&amp;DATE(2026,8,18),日次入力!$A$4:$A$1500,"&lt;="&amp;DATE(2026,8,24),日次入力!$C$4:$C$1500,"Metaウェビナー")=0,"",SUMIFS(日次入力!$G$4:$G$1500,日次入力!$A$4:$A$1500,"&gt;="&amp;DATE(2026,8,18),日次入力!$A$4:$A$1500,"&lt;="&amp;DATE(2026,8,24),日次入力!$C$4:$C$1500,"Metaウェビナー"))</f>
        <v/>
      </c>
      <c r="G25" s="15" t="str">
        <f aca="false">IFERROR(E25/D25,"")</f>
        <v/>
      </c>
      <c r="H25" s="37" t="str">
        <f aca="false">IFERROR(C25/E25,"")</f>
        <v/>
      </c>
      <c r="I25" s="37" t="str">
        <f aca="false">IFERROR(C25/D25*1000,"")</f>
        <v/>
      </c>
      <c r="J25" s="15" t="str">
        <f aca="false">IFERROR(F25/E25,"")</f>
        <v/>
      </c>
      <c r="K25" s="37" t="str">
        <f aca="false">IFERROR(C25/F25,"")</f>
        <v/>
      </c>
      <c r="L25" s="42" t="str">
        <f aca="false">IF(COUNTIFS(日次入力!$A$4:$A$1500,"&gt;="&amp;DATE(2026,8,18),日次入力!$A$4:$A$1500,"&lt;="&amp;DATE(2026,8,24),日次入力!$C$4:$C$1500,"Metaウェビナー")=0,"",SUMIFS(日次入力!$H$4:$H$1500,日次入力!$A$4:$A$1500,"&gt;="&amp;DATE(2026,8,18),日次入力!$A$4:$A$1500,"&lt;="&amp;DATE(2026,8,24),日次入力!$C$4:$C$1500,"Metaウェビナー"))</f>
        <v/>
      </c>
      <c r="M25" s="15" t="str">
        <f aca="false">IF(L25="","",IFERROR(L25/F25,""))</f>
        <v/>
      </c>
      <c r="N25" s="42" t="str">
        <f aca="false">IF(COUNTIFS(日次入力!$A$4:$A$1500,"&gt;="&amp;DATE(2026,8,18),日次入力!$A$4:$A$1500,"&lt;="&amp;DATE(2026,8,24),日次入力!$C$4:$C$1500,"Metaウェビナー")=0,"",SUMIFS(日次入力!$I$4:$I$1500,日次入力!$A$4:$A$1500,"&gt;="&amp;DATE(2026,8,18),日次入力!$A$4:$A$1500,"&lt;="&amp;DATE(2026,8,24),日次入力!$C$4:$C$1500,"Metaウェビナー"))</f>
        <v/>
      </c>
      <c r="O25" s="15" t="str">
        <f aca="false">IF(N25="","",IFERROR(N25/L25,""))</f>
        <v/>
      </c>
      <c r="P25" s="37" t="str">
        <f aca="false">IF(N25=0,"",IFERROR(C25/N25,""))</f>
        <v/>
      </c>
      <c r="Q25" s="38" t="str">
        <f aca="false">IF(N25=0,"",IFERROR(IF(C25/N25&lt;=用語集!$B$22,"◎ 許容内","✗ 超過"),"—"))</f>
        <v>—</v>
      </c>
      <c r="R25" s="39" t="str">
        <f aca="false">IFERROR(用語集!$B$22/P25,"")</f>
        <v/>
      </c>
    </row>
    <row r="26" customFormat="false" ht="15" hidden="false" customHeight="false" outlineLevel="0" collapsed="false">
      <c r="A26" s="34" t="s">
        <v>100</v>
      </c>
      <c r="B26" s="35" t="s">
        <v>101</v>
      </c>
      <c r="C26" s="41" t="str">
        <f aca="false">IF(COUNTIFS(日次入力!$A$4:$A$1500,"&gt;="&amp;DATE(2026,8,25),日次入力!$A$4:$A$1500,"&lt;="&amp;DATE(2026,8,31),日次入力!$C$4:$C$1500,"Metaウェビナー")=0,"",SUMIFS(日次入力!$D$4:$D$1500,日次入力!$A$4:$A$1500,"&gt;="&amp;DATE(2026,8,25),日次入力!$A$4:$A$1500,"&lt;="&amp;DATE(2026,8,31),日次入力!$C$4:$C$1500,"Metaウェビナー"))</f>
        <v/>
      </c>
      <c r="D26" s="42" t="str">
        <f aca="false">IF(COUNTIFS(日次入力!$A$4:$A$1500,"&gt;="&amp;DATE(2026,8,25),日次入力!$A$4:$A$1500,"&lt;="&amp;DATE(2026,8,31),日次入力!$C$4:$C$1500,"Metaウェビナー")=0,"",SUMIFS(日次入力!$E$4:$E$1500,日次入力!$A$4:$A$1500,"&gt;="&amp;DATE(2026,8,25),日次入力!$A$4:$A$1500,"&lt;="&amp;DATE(2026,8,31),日次入力!$C$4:$C$1500,"Metaウェビナー"))</f>
        <v/>
      </c>
      <c r="E26" s="42" t="str">
        <f aca="false">IF(COUNTIFS(日次入力!$A$4:$A$1500,"&gt;="&amp;DATE(2026,8,25),日次入力!$A$4:$A$1500,"&lt;="&amp;DATE(2026,8,31),日次入力!$C$4:$C$1500,"Metaウェビナー")=0,"",SUMIFS(日次入力!$F$4:$F$1500,日次入力!$A$4:$A$1500,"&gt;="&amp;DATE(2026,8,25),日次入力!$A$4:$A$1500,"&lt;="&amp;DATE(2026,8,31),日次入力!$C$4:$C$1500,"Metaウェビナー"))</f>
        <v/>
      </c>
      <c r="F26" s="42" t="str">
        <f aca="false">IF(COUNTIFS(日次入力!$A$4:$A$1500,"&gt;="&amp;DATE(2026,8,25),日次入力!$A$4:$A$1500,"&lt;="&amp;DATE(2026,8,31),日次入力!$C$4:$C$1500,"Metaウェビナー")=0,"",SUMIFS(日次入力!$G$4:$G$1500,日次入力!$A$4:$A$1500,"&gt;="&amp;DATE(2026,8,25),日次入力!$A$4:$A$1500,"&lt;="&amp;DATE(2026,8,31),日次入力!$C$4:$C$1500,"Metaウェビナー"))</f>
        <v/>
      </c>
      <c r="G26" s="15" t="str">
        <f aca="false">IFERROR(E26/D26,"")</f>
        <v/>
      </c>
      <c r="H26" s="37" t="str">
        <f aca="false">IFERROR(C26/E26,"")</f>
        <v/>
      </c>
      <c r="I26" s="37" t="str">
        <f aca="false">IFERROR(C26/D26*1000,"")</f>
        <v/>
      </c>
      <c r="J26" s="15" t="str">
        <f aca="false">IFERROR(F26/E26,"")</f>
        <v/>
      </c>
      <c r="K26" s="37" t="str">
        <f aca="false">IFERROR(C26/F26,"")</f>
        <v/>
      </c>
      <c r="L26" s="42" t="str">
        <f aca="false">IF(COUNTIFS(日次入力!$A$4:$A$1500,"&gt;="&amp;DATE(2026,8,25),日次入力!$A$4:$A$1500,"&lt;="&amp;DATE(2026,8,31),日次入力!$C$4:$C$1500,"Metaウェビナー")=0,"",SUMIFS(日次入力!$H$4:$H$1500,日次入力!$A$4:$A$1500,"&gt;="&amp;DATE(2026,8,25),日次入力!$A$4:$A$1500,"&lt;="&amp;DATE(2026,8,31),日次入力!$C$4:$C$1500,"Metaウェビナー"))</f>
        <v/>
      </c>
      <c r="M26" s="15" t="str">
        <f aca="false">IF(L26="","",IFERROR(L26/F26,""))</f>
        <v/>
      </c>
      <c r="N26" s="42" t="str">
        <f aca="false">IF(COUNTIFS(日次入力!$A$4:$A$1500,"&gt;="&amp;DATE(2026,8,25),日次入力!$A$4:$A$1500,"&lt;="&amp;DATE(2026,8,31),日次入力!$C$4:$C$1500,"Metaウェビナー")=0,"",SUMIFS(日次入力!$I$4:$I$1500,日次入力!$A$4:$A$1500,"&gt;="&amp;DATE(2026,8,25),日次入力!$A$4:$A$1500,"&lt;="&amp;DATE(2026,8,31),日次入力!$C$4:$C$1500,"Metaウェビナー"))</f>
        <v/>
      </c>
      <c r="O26" s="15" t="str">
        <f aca="false">IF(N26="","",IFERROR(N26/L26,""))</f>
        <v/>
      </c>
      <c r="P26" s="37" t="str">
        <f aca="false">IF(N26=0,"",IFERROR(C26/N26,""))</f>
        <v/>
      </c>
      <c r="Q26" s="38" t="str">
        <f aca="false">IF(N26=0,"",IFERROR(IF(C26/N26&lt;=用語集!$B$22,"◎ 許容内","✗ 超過"),"—"))</f>
        <v>—</v>
      </c>
      <c r="R26" s="39" t="str">
        <f aca="false">IFERROR(用語集!$B$22/P26,"")</f>
        <v/>
      </c>
    </row>
    <row r="27" customFormat="false" ht="15" hidden="false" customHeight="false" outlineLevel="0" collapsed="false">
      <c r="A27" s="34" t="s">
        <v>102</v>
      </c>
      <c r="B27" s="35" t="s">
        <v>103</v>
      </c>
      <c r="C27" s="41" t="str">
        <f aca="false">IF(COUNTIFS(日次入力!$A$4:$A$1500,"&gt;="&amp;DATE(2026,9,1),日次入力!$A$4:$A$1500,"&lt;="&amp;DATE(2026,9,7),日次入力!$C$4:$C$1500,"Metaウェビナー")=0,"",SUMIFS(日次入力!$D$4:$D$1500,日次入力!$A$4:$A$1500,"&gt;="&amp;DATE(2026,9,1),日次入力!$A$4:$A$1500,"&lt;="&amp;DATE(2026,9,7),日次入力!$C$4:$C$1500,"Metaウェビナー"))</f>
        <v/>
      </c>
      <c r="D27" s="42" t="str">
        <f aca="false">IF(COUNTIFS(日次入力!$A$4:$A$1500,"&gt;="&amp;DATE(2026,9,1),日次入力!$A$4:$A$1500,"&lt;="&amp;DATE(2026,9,7),日次入力!$C$4:$C$1500,"Metaウェビナー")=0,"",SUMIFS(日次入力!$E$4:$E$1500,日次入力!$A$4:$A$1500,"&gt;="&amp;DATE(2026,9,1),日次入力!$A$4:$A$1500,"&lt;="&amp;DATE(2026,9,7),日次入力!$C$4:$C$1500,"Metaウェビナー"))</f>
        <v/>
      </c>
      <c r="E27" s="42" t="str">
        <f aca="false">IF(COUNTIFS(日次入力!$A$4:$A$1500,"&gt;="&amp;DATE(2026,9,1),日次入力!$A$4:$A$1500,"&lt;="&amp;DATE(2026,9,7),日次入力!$C$4:$C$1500,"Metaウェビナー")=0,"",SUMIFS(日次入力!$F$4:$F$1500,日次入力!$A$4:$A$1500,"&gt;="&amp;DATE(2026,9,1),日次入力!$A$4:$A$1500,"&lt;="&amp;DATE(2026,9,7),日次入力!$C$4:$C$1500,"Metaウェビナー"))</f>
        <v/>
      </c>
      <c r="F27" s="42" t="str">
        <f aca="false">IF(COUNTIFS(日次入力!$A$4:$A$1500,"&gt;="&amp;DATE(2026,9,1),日次入力!$A$4:$A$1500,"&lt;="&amp;DATE(2026,9,7),日次入力!$C$4:$C$1500,"Metaウェビナー")=0,"",SUMIFS(日次入力!$G$4:$G$1500,日次入力!$A$4:$A$1500,"&gt;="&amp;DATE(2026,9,1),日次入力!$A$4:$A$1500,"&lt;="&amp;DATE(2026,9,7),日次入力!$C$4:$C$1500,"Metaウェビナー"))</f>
        <v/>
      </c>
      <c r="G27" s="15" t="str">
        <f aca="false">IFERROR(E27/D27,"")</f>
        <v/>
      </c>
      <c r="H27" s="37" t="str">
        <f aca="false">IFERROR(C27/E27,"")</f>
        <v/>
      </c>
      <c r="I27" s="37" t="str">
        <f aca="false">IFERROR(C27/D27*1000,"")</f>
        <v/>
      </c>
      <c r="J27" s="15" t="str">
        <f aca="false">IFERROR(F27/E27,"")</f>
        <v/>
      </c>
      <c r="K27" s="37" t="str">
        <f aca="false">IFERROR(C27/F27,"")</f>
        <v/>
      </c>
      <c r="L27" s="42" t="str">
        <f aca="false">IF(COUNTIFS(日次入力!$A$4:$A$1500,"&gt;="&amp;DATE(2026,9,1),日次入力!$A$4:$A$1500,"&lt;="&amp;DATE(2026,9,7),日次入力!$C$4:$C$1500,"Metaウェビナー")=0,"",SUMIFS(日次入力!$H$4:$H$1500,日次入力!$A$4:$A$1500,"&gt;="&amp;DATE(2026,9,1),日次入力!$A$4:$A$1500,"&lt;="&amp;DATE(2026,9,7),日次入力!$C$4:$C$1500,"Metaウェビナー"))</f>
        <v/>
      </c>
      <c r="M27" s="15" t="str">
        <f aca="false">IF(L27="","",IFERROR(L27/F27,""))</f>
        <v/>
      </c>
      <c r="N27" s="42" t="str">
        <f aca="false">IF(COUNTIFS(日次入力!$A$4:$A$1500,"&gt;="&amp;DATE(2026,9,1),日次入力!$A$4:$A$1500,"&lt;="&amp;DATE(2026,9,7),日次入力!$C$4:$C$1500,"Metaウェビナー")=0,"",SUMIFS(日次入力!$I$4:$I$1500,日次入力!$A$4:$A$1500,"&gt;="&amp;DATE(2026,9,1),日次入力!$A$4:$A$1500,"&lt;="&amp;DATE(2026,9,7),日次入力!$C$4:$C$1500,"Metaウェビナー"))</f>
        <v/>
      </c>
      <c r="O27" s="15" t="str">
        <f aca="false">IF(N27="","",IFERROR(N27/L27,""))</f>
        <v/>
      </c>
      <c r="P27" s="37" t="str">
        <f aca="false">IF(N27=0,"",IFERROR(C27/N27,""))</f>
        <v/>
      </c>
      <c r="Q27" s="38" t="str">
        <f aca="false">IF(N27=0,"",IFERROR(IF(C27/N27&lt;=用語集!$B$22,"◎ 許容内","✗ 超過"),"—"))</f>
        <v>—</v>
      </c>
      <c r="R27" s="39" t="str">
        <f aca="false">IFERROR(用語集!$B$22/P27,"")</f>
        <v/>
      </c>
    </row>
    <row r="28" customFormat="false" ht="15" hidden="false" customHeight="false" outlineLevel="0" collapsed="false">
      <c r="A28" s="34" t="s">
        <v>104</v>
      </c>
      <c r="B28" s="35" t="s">
        <v>105</v>
      </c>
      <c r="C28" s="41" t="str">
        <f aca="false">IF(COUNTIFS(日次入力!$A$4:$A$1500,"&gt;="&amp;DATE(2026,9,8),日次入力!$A$4:$A$1500,"&lt;="&amp;DATE(2026,9,14),日次入力!$C$4:$C$1500,"Metaウェビナー")=0,"",SUMIFS(日次入力!$D$4:$D$1500,日次入力!$A$4:$A$1500,"&gt;="&amp;DATE(2026,9,8),日次入力!$A$4:$A$1500,"&lt;="&amp;DATE(2026,9,14),日次入力!$C$4:$C$1500,"Metaウェビナー"))</f>
        <v/>
      </c>
      <c r="D28" s="42" t="str">
        <f aca="false">IF(COUNTIFS(日次入力!$A$4:$A$1500,"&gt;="&amp;DATE(2026,9,8),日次入力!$A$4:$A$1500,"&lt;="&amp;DATE(2026,9,14),日次入力!$C$4:$C$1500,"Metaウェビナー")=0,"",SUMIFS(日次入力!$E$4:$E$1500,日次入力!$A$4:$A$1500,"&gt;="&amp;DATE(2026,9,8),日次入力!$A$4:$A$1500,"&lt;="&amp;DATE(2026,9,14),日次入力!$C$4:$C$1500,"Metaウェビナー"))</f>
        <v/>
      </c>
      <c r="E28" s="42" t="str">
        <f aca="false">IF(COUNTIFS(日次入力!$A$4:$A$1500,"&gt;="&amp;DATE(2026,9,8),日次入力!$A$4:$A$1500,"&lt;="&amp;DATE(2026,9,14),日次入力!$C$4:$C$1500,"Metaウェビナー")=0,"",SUMIFS(日次入力!$F$4:$F$1500,日次入力!$A$4:$A$1500,"&gt;="&amp;DATE(2026,9,8),日次入力!$A$4:$A$1500,"&lt;="&amp;DATE(2026,9,14),日次入力!$C$4:$C$1500,"Metaウェビナー"))</f>
        <v/>
      </c>
      <c r="F28" s="42" t="str">
        <f aca="false">IF(COUNTIFS(日次入力!$A$4:$A$1500,"&gt;="&amp;DATE(2026,9,8),日次入力!$A$4:$A$1500,"&lt;="&amp;DATE(2026,9,14),日次入力!$C$4:$C$1500,"Metaウェビナー")=0,"",SUMIFS(日次入力!$G$4:$G$1500,日次入力!$A$4:$A$1500,"&gt;="&amp;DATE(2026,9,8),日次入力!$A$4:$A$1500,"&lt;="&amp;DATE(2026,9,14),日次入力!$C$4:$C$1500,"Metaウェビナー"))</f>
        <v/>
      </c>
      <c r="G28" s="15" t="str">
        <f aca="false">IFERROR(E28/D28,"")</f>
        <v/>
      </c>
      <c r="H28" s="37" t="str">
        <f aca="false">IFERROR(C28/E28,"")</f>
        <v/>
      </c>
      <c r="I28" s="37" t="str">
        <f aca="false">IFERROR(C28/D28*1000,"")</f>
        <v/>
      </c>
      <c r="J28" s="15" t="str">
        <f aca="false">IFERROR(F28/E28,"")</f>
        <v/>
      </c>
      <c r="K28" s="37" t="str">
        <f aca="false">IFERROR(C28/F28,"")</f>
        <v/>
      </c>
      <c r="L28" s="42" t="str">
        <f aca="false">IF(COUNTIFS(日次入力!$A$4:$A$1500,"&gt;="&amp;DATE(2026,9,8),日次入力!$A$4:$A$1500,"&lt;="&amp;DATE(2026,9,14),日次入力!$C$4:$C$1500,"Metaウェビナー")=0,"",SUMIFS(日次入力!$H$4:$H$1500,日次入力!$A$4:$A$1500,"&gt;="&amp;DATE(2026,9,8),日次入力!$A$4:$A$1500,"&lt;="&amp;DATE(2026,9,14),日次入力!$C$4:$C$1500,"Metaウェビナー"))</f>
        <v/>
      </c>
      <c r="M28" s="15" t="str">
        <f aca="false">IF(L28="","",IFERROR(L28/F28,""))</f>
        <v/>
      </c>
      <c r="N28" s="42" t="str">
        <f aca="false">IF(COUNTIFS(日次入力!$A$4:$A$1500,"&gt;="&amp;DATE(2026,9,8),日次入力!$A$4:$A$1500,"&lt;="&amp;DATE(2026,9,14),日次入力!$C$4:$C$1500,"Metaウェビナー")=0,"",SUMIFS(日次入力!$I$4:$I$1500,日次入力!$A$4:$A$1500,"&gt;="&amp;DATE(2026,9,8),日次入力!$A$4:$A$1500,"&lt;="&amp;DATE(2026,9,14),日次入力!$C$4:$C$1500,"Metaウェビナー"))</f>
        <v/>
      </c>
      <c r="O28" s="15" t="str">
        <f aca="false">IF(N28="","",IFERROR(N28/L28,""))</f>
        <v/>
      </c>
      <c r="P28" s="37" t="str">
        <f aca="false">IF(N28=0,"",IFERROR(C28/N28,""))</f>
        <v/>
      </c>
      <c r="Q28" s="38" t="str">
        <f aca="false">IF(N28=0,"",IFERROR(IF(C28/N28&lt;=用語集!$B$22,"◎ 許容内","✗ 超過"),"—"))</f>
        <v>—</v>
      </c>
      <c r="R28" s="39" t="str">
        <f aca="false">IFERROR(用語集!$B$22/P28,"")</f>
        <v/>
      </c>
    </row>
    <row r="29" customFormat="false" ht="15" hidden="false" customHeight="false" outlineLevel="0" collapsed="false">
      <c r="A29" s="34" t="s">
        <v>106</v>
      </c>
      <c r="B29" s="35" t="s">
        <v>107</v>
      </c>
      <c r="C29" s="41" t="str">
        <f aca="false">IF(COUNTIFS(日次入力!$A$4:$A$1500,"&gt;="&amp;DATE(2026,9,15),日次入力!$A$4:$A$1500,"&lt;="&amp;DATE(2026,9,21),日次入力!$C$4:$C$1500,"Metaウェビナー")=0,"",SUMIFS(日次入力!$D$4:$D$1500,日次入力!$A$4:$A$1500,"&gt;="&amp;DATE(2026,9,15),日次入力!$A$4:$A$1500,"&lt;="&amp;DATE(2026,9,21),日次入力!$C$4:$C$1500,"Metaウェビナー"))</f>
        <v/>
      </c>
      <c r="D29" s="42" t="str">
        <f aca="false">IF(COUNTIFS(日次入力!$A$4:$A$1500,"&gt;="&amp;DATE(2026,9,15),日次入力!$A$4:$A$1500,"&lt;="&amp;DATE(2026,9,21),日次入力!$C$4:$C$1500,"Metaウェビナー")=0,"",SUMIFS(日次入力!$E$4:$E$1500,日次入力!$A$4:$A$1500,"&gt;="&amp;DATE(2026,9,15),日次入力!$A$4:$A$1500,"&lt;="&amp;DATE(2026,9,21),日次入力!$C$4:$C$1500,"Metaウェビナー"))</f>
        <v/>
      </c>
      <c r="E29" s="42" t="str">
        <f aca="false">IF(COUNTIFS(日次入力!$A$4:$A$1500,"&gt;="&amp;DATE(2026,9,15),日次入力!$A$4:$A$1500,"&lt;="&amp;DATE(2026,9,21),日次入力!$C$4:$C$1500,"Metaウェビナー")=0,"",SUMIFS(日次入力!$F$4:$F$1500,日次入力!$A$4:$A$1500,"&gt;="&amp;DATE(2026,9,15),日次入力!$A$4:$A$1500,"&lt;="&amp;DATE(2026,9,21),日次入力!$C$4:$C$1500,"Metaウェビナー"))</f>
        <v/>
      </c>
      <c r="F29" s="42" t="str">
        <f aca="false">IF(COUNTIFS(日次入力!$A$4:$A$1500,"&gt;="&amp;DATE(2026,9,15),日次入力!$A$4:$A$1500,"&lt;="&amp;DATE(2026,9,21),日次入力!$C$4:$C$1500,"Metaウェビナー")=0,"",SUMIFS(日次入力!$G$4:$G$1500,日次入力!$A$4:$A$1500,"&gt;="&amp;DATE(2026,9,15),日次入力!$A$4:$A$1500,"&lt;="&amp;DATE(2026,9,21),日次入力!$C$4:$C$1500,"Metaウェビナー"))</f>
        <v/>
      </c>
      <c r="G29" s="15" t="str">
        <f aca="false">IFERROR(E29/D29,"")</f>
        <v/>
      </c>
      <c r="H29" s="37" t="str">
        <f aca="false">IFERROR(C29/E29,"")</f>
        <v/>
      </c>
      <c r="I29" s="37" t="str">
        <f aca="false">IFERROR(C29/D29*1000,"")</f>
        <v/>
      </c>
      <c r="J29" s="15" t="str">
        <f aca="false">IFERROR(F29/E29,"")</f>
        <v/>
      </c>
      <c r="K29" s="37" t="str">
        <f aca="false">IFERROR(C29/F29,"")</f>
        <v/>
      </c>
      <c r="L29" s="42" t="str">
        <f aca="false">IF(COUNTIFS(日次入力!$A$4:$A$1500,"&gt;="&amp;DATE(2026,9,15),日次入力!$A$4:$A$1500,"&lt;="&amp;DATE(2026,9,21),日次入力!$C$4:$C$1500,"Metaウェビナー")=0,"",SUMIFS(日次入力!$H$4:$H$1500,日次入力!$A$4:$A$1500,"&gt;="&amp;DATE(2026,9,15),日次入力!$A$4:$A$1500,"&lt;="&amp;DATE(2026,9,21),日次入力!$C$4:$C$1500,"Metaウェビナー"))</f>
        <v/>
      </c>
      <c r="M29" s="15" t="str">
        <f aca="false">IF(L29="","",IFERROR(L29/F29,""))</f>
        <v/>
      </c>
      <c r="N29" s="42" t="str">
        <f aca="false">IF(COUNTIFS(日次入力!$A$4:$A$1500,"&gt;="&amp;DATE(2026,9,15),日次入力!$A$4:$A$1500,"&lt;="&amp;DATE(2026,9,21),日次入力!$C$4:$C$1500,"Metaウェビナー")=0,"",SUMIFS(日次入力!$I$4:$I$1500,日次入力!$A$4:$A$1500,"&gt;="&amp;DATE(2026,9,15),日次入力!$A$4:$A$1500,"&lt;="&amp;DATE(2026,9,21),日次入力!$C$4:$C$1500,"Metaウェビナー"))</f>
        <v/>
      </c>
      <c r="O29" s="15" t="str">
        <f aca="false">IF(N29="","",IFERROR(N29/L29,""))</f>
        <v/>
      </c>
      <c r="P29" s="37" t="str">
        <f aca="false">IF(N29=0,"",IFERROR(C29/N29,""))</f>
        <v/>
      </c>
      <c r="Q29" s="38" t="str">
        <f aca="false">IF(N29=0,"",IFERROR(IF(C29/N29&lt;=用語集!$B$22,"◎ 許容内","✗ 超過"),"—"))</f>
        <v>—</v>
      </c>
      <c r="R29" s="39" t="str">
        <f aca="false">IFERROR(用語集!$B$22/P29,"")</f>
        <v/>
      </c>
    </row>
    <row r="30" customFormat="false" ht="15" hidden="false" customHeight="false" outlineLevel="0" collapsed="false">
      <c r="A30" s="34" t="s">
        <v>108</v>
      </c>
      <c r="B30" s="35" t="s">
        <v>109</v>
      </c>
      <c r="C30" s="41" t="str">
        <f aca="false">IF(COUNTIFS(日次入力!$A$4:$A$1500,"&gt;="&amp;DATE(2026,9,22),日次入力!$A$4:$A$1500,"&lt;="&amp;DATE(2026,9,28),日次入力!$C$4:$C$1500,"Metaウェビナー")=0,"",SUMIFS(日次入力!$D$4:$D$1500,日次入力!$A$4:$A$1500,"&gt;="&amp;DATE(2026,9,22),日次入力!$A$4:$A$1500,"&lt;="&amp;DATE(2026,9,28),日次入力!$C$4:$C$1500,"Metaウェビナー"))</f>
        <v/>
      </c>
      <c r="D30" s="42" t="str">
        <f aca="false">IF(COUNTIFS(日次入力!$A$4:$A$1500,"&gt;="&amp;DATE(2026,9,22),日次入力!$A$4:$A$1500,"&lt;="&amp;DATE(2026,9,28),日次入力!$C$4:$C$1500,"Metaウェビナー")=0,"",SUMIFS(日次入力!$E$4:$E$1500,日次入力!$A$4:$A$1500,"&gt;="&amp;DATE(2026,9,22),日次入力!$A$4:$A$1500,"&lt;="&amp;DATE(2026,9,28),日次入力!$C$4:$C$1500,"Metaウェビナー"))</f>
        <v/>
      </c>
      <c r="E30" s="42" t="str">
        <f aca="false">IF(COUNTIFS(日次入力!$A$4:$A$1500,"&gt;="&amp;DATE(2026,9,22),日次入力!$A$4:$A$1500,"&lt;="&amp;DATE(2026,9,28),日次入力!$C$4:$C$1500,"Metaウェビナー")=0,"",SUMIFS(日次入力!$F$4:$F$1500,日次入力!$A$4:$A$1500,"&gt;="&amp;DATE(2026,9,22),日次入力!$A$4:$A$1500,"&lt;="&amp;DATE(2026,9,28),日次入力!$C$4:$C$1500,"Metaウェビナー"))</f>
        <v/>
      </c>
      <c r="F30" s="42" t="str">
        <f aca="false">IF(COUNTIFS(日次入力!$A$4:$A$1500,"&gt;="&amp;DATE(2026,9,22),日次入力!$A$4:$A$1500,"&lt;="&amp;DATE(2026,9,28),日次入力!$C$4:$C$1500,"Metaウェビナー")=0,"",SUMIFS(日次入力!$G$4:$G$1500,日次入力!$A$4:$A$1500,"&gt;="&amp;DATE(2026,9,22),日次入力!$A$4:$A$1500,"&lt;="&amp;DATE(2026,9,28),日次入力!$C$4:$C$1500,"Metaウェビナー"))</f>
        <v/>
      </c>
      <c r="G30" s="15" t="str">
        <f aca="false">IFERROR(E30/D30,"")</f>
        <v/>
      </c>
      <c r="H30" s="37" t="str">
        <f aca="false">IFERROR(C30/E30,"")</f>
        <v/>
      </c>
      <c r="I30" s="37" t="str">
        <f aca="false">IFERROR(C30/D30*1000,"")</f>
        <v/>
      </c>
      <c r="J30" s="15" t="str">
        <f aca="false">IFERROR(F30/E30,"")</f>
        <v/>
      </c>
      <c r="K30" s="37" t="str">
        <f aca="false">IFERROR(C30/F30,"")</f>
        <v/>
      </c>
      <c r="L30" s="42" t="str">
        <f aca="false">IF(COUNTIFS(日次入力!$A$4:$A$1500,"&gt;="&amp;DATE(2026,9,22),日次入力!$A$4:$A$1500,"&lt;="&amp;DATE(2026,9,28),日次入力!$C$4:$C$1500,"Metaウェビナー")=0,"",SUMIFS(日次入力!$H$4:$H$1500,日次入力!$A$4:$A$1500,"&gt;="&amp;DATE(2026,9,22),日次入力!$A$4:$A$1500,"&lt;="&amp;DATE(2026,9,28),日次入力!$C$4:$C$1500,"Metaウェビナー"))</f>
        <v/>
      </c>
      <c r="M30" s="15" t="str">
        <f aca="false">IF(L30="","",IFERROR(L30/F30,""))</f>
        <v/>
      </c>
      <c r="N30" s="42" t="str">
        <f aca="false">IF(COUNTIFS(日次入力!$A$4:$A$1500,"&gt;="&amp;DATE(2026,9,22),日次入力!$A$4:$A$1500,"&lt;="&amp;DATE(2026,9,28),日次入力!$C$4:$C$1500,"Metaウェビナー")=0,"",SUMIFS(日次入力!$I$4:$I$1500,日次入力!$A$4:$A$1500,"&gt;="&amp;DATE(2026,9,22),日次入力!$A$4:$A$1500,"&lt;="&amp;DATE(2026,9,28),日次入力!$C$4:$C$1500,"Metaウェビナー"))</f>
        <v/>
      </c>
      <c r="O30" s="15" t="str">
        <f aca="false">IF(N30="","",IFERROR(N30/L30,""))</f>
        <v/>
      </c>
      <c r="P30" s="37" t="str">
        <f aca="false">IF(N30=0,"",IFERROR(C30/N30,""))</f>
        <v/>
      </c>
      <c r="Q30" s="38" t="str">
        <f aca="false">IF(N30=0,"",IFERROR(IF(C30/N30&lt;=用語集!$B$22,"◎ 許容内","✗ 超過"),"—"))</f>
        <v>—</v>
      </c>
      <c r="R30" s="39" t="str">
        <f aca="false">IFERROR(用語集!$B$22/P30,"")</f>
        <v/>
      </c>
    </row>
    <row r="31" customFormat="false" ht="15" hidden="false" customHeight="false" outlineLevel="0" collapsed="false">
      <c r="A31" s="34" t="s">
        <v>110</v>
      </c>
      <c r="B31" s="35" t="s">
        <v>111</v>
      </c>
      <c r="C31" s="41" t="str">
        <f aca="false">IF(COUNTIFS(日次入力!$A$4:$A$1500,"&gt;="&amp;DATE(2026,9,29),日次入力!$A$4:$A$1500,"&lt;="&amp;DATE(2026,10,5),日次入力!$C$4:$C$1500,"Metaウェビナー")=0,"",SUMIFS(日次入力!$D$4:$D$1500,日次入力!$A$4:$A$1500,"&gt;="&amp;DATE(2026,9,29),日次入力!$A$4:$A$1500,"&lt;="&amp;DATE(2026,10,5),日次入力!$C$4:$C$1500,"Metaウェビナー"))</f>
        <v/>
      </c>
      <c r="D31" s="42" t="str">
        <f aca="false">IF(COUNTIFS(日次入力!$A$4:$A$1500,"&gt;="&amp;DATE(2026,9,29),日次入力!$A$4:$A$1500,"&lt;="&amp;DATE(2026,10,5),日次入力!$C$4:$C$1500,"Metaウェビナー")=0,"",SUMIFS(日次入力!$E$4:$E$1500,日次入力!$A$4:$A$1500,"&gt;="&amp;DATE(2026,9,29),日次入力!$A$4:$A$1500,"&lt;="&amp;DATE(2026,10,5),日次入力!$C$4:$C$1500,"Metaウェビナー"))</f>
        <v/>
      </c>
      <c r="E31" s="42" t="str">
        <f aca="false">IF(COUNTIFS(日次入力!$A$4:$A$1500,"&gt;="&amp;DATE(2026,9,29),日次入力!$A$4:$A$1500,"&lt;="&amp;DATE(2026,10,5),日次入力!$C$4:$C$1500,"Metaウェビナー")=0,"",SUMIFS(日次入力!$F$4:$F$1500,日次入力!$A$4:$A$1500,"&gt;="&amp;DATE(2026,9,29),日次入力!$A$4:$A$1500,"&lt;="&amp;DATE(2026,10,5),日次入力!$C$4:$C$1500,"Metaウェビナー"))</f>
        <v/>
      </c>
      <c r="F31" s="42" t="str">
        <f aca="false">IF(COUNTIFS(日次入力!$A$4:$A$1500,"&gt;="&amp;DATE(2026,9,29),日次入力!$A$4:$A$1500,"&lt;="&amp;DATE(2026,10,5),日次入力!$C$4:$C$1500,"Metaウェビナー")=0,"",SUMIFS(日次入力!$G$4:$G$1500,日次入力!$A$4:$A$1500,"&gt;="&amp;DATE(2026,9,29),日次入力!$A$4:$A$1500,"&lt;="&amp;DATE(2026,10,5),日次入力!$C$4:$C$1500,"Metaウェビナー"))</f>
        <v/>
      </c>
      <c r="G31" s="15" t="str">
        <f aca="false">IFERROR(E31/D31,"")</f>
        <v/>
      </c>
      <c r="H31" s="37" t="str">
        <f aca="false">IFERROR(C31/E31,"")</f>
        <v/>
      </c>
      <c r="I31" s="37" t="str">
        <f aca="false">IFERROR(C31/D31*1000,"")</f>
        <v/>
      </c>
      <c r="J31" s="15" t="str">
        <f aca="false">IFERROR(F31/E31,"")</f>
        <v/>
      </c>
      <c r="K31" s="37" t="str">
        <f aca="false">IFERROR(C31/F31,"")</f>
        <v/>
      </c>
      <c r="L31" s="42" t="str">
        <f aca="false">IF(COUNTIFS(日次入力!$A$4:$A$1500,"&gt;="&amp;DATE(2026,9,29),日次入力!$A$4:$A$1500,"&lt;="&amp;DATE(2026,10,5),日次入力!$C$4:$C$1500,"Metaウェビナー")=0,"",SUMIFS(日次入力!$H$4:$H$1500,日次入力!$A$4:$A$1500,"&gt;="&amp;DATE(2026,9,29),日次入力!$A$4:$A$1500,"&lt;="&amp;DATE(2026,10,5),日次入力!$C$4:$C$1500,"Metaウェビナー"))</f>
        <v/>
      </c>
      <c r="M31" s="15" t="str">
        <f aca="false">IF(L31="","",IFERROR(L31/F31,""))</f>
        <v/>
      </c>
      <c r="N31" s="42" t="str">
        <f aca="false">IF(COUNTIFS(日次入力!$A$4:$A$1500,"&gt;="&amp;DATE(2026,9,29),日次入力!$A$4:$A$1500,"&lt;="&amp;DATE(2026,10,5),日次入力!$C$4:$C$1500,"Metaウェビナー")=0,"",SUMIFS(日次入力!$I$4:$I$1500,日次入力!$A$4:$A$1500,"&gt;="&amp;DATE(2026,9,29),日次入力!$A$4:$A$1500,"&lt;="&amp;DATE(2026,10,5),日次入力!$C$4:$C$1500,"Metaウェビナー"))</f>
        <v/>
      </c>
      <c r="O31" s="15" t="str">
        <f aca="false">IF(N31="","",IFERROR(N31/L31,""))</f>
        <v/>
      </c>
      <c r="P31" s="37" t="str">
        <f aca="false">IF(N31=0,"",IFERROR(C31/N31,""))</f>
        <v/>
      </c>
      <c r="Q31" s="38" t="str">
        <f aca="false">IF(N31=0,"",IFERROR(IF(C31/N31&lt;=用語集!$B$22,"◎ 許容内","✗ 超過"),"—"))</f>
        <v>—</v>
      </c>
      <c r="R31" s="39" t="str">
        <f aca="false">IFERROR(用語集!$B$22/P31,"")</f>
        <v/>
      </c>
    </row>
    <row r="32" customFormat="false" ht="15" hidden="false" customHeight="false" outlineLevel="0" collapsed="false">
      <c r="A32" s="34" t="s">
        <v>112</v>
      </c>
      <c r="B32" s="35" t="s">
        <v>113</v>
      </c>
      <c r="C32" s="41" t="str">
        <f aca="false">IF(COUNTIFS(日次入力!$A$4:$A$1500,"&gt;="&amp;DATE(2026,10,6),日次入力!$A$4:$A$1500,"&lt;="&amp;DATE(2026,10,12),日次入力!$C$4:$C$1500,"Metaウェビナー")=0,"",SUMIFS(日次入力!$D$4:$D$1500,日次入力!$A$4:$A$1500,"&gt;="&amp;DATE(2026,10,6),日次入力!$A$4:$A$1500,"&lt;="&amp;DATE(2026,10,12),日次入力!$C$4:$C$1500,"Metaウェビナー"))</f>
        <v/>
      </c>
      <c r="D32" s="42" t="str">
        <f aca="false">IF(COUNTIFS(日次入力!$A$4:$A$1500,"&gt;="&amp;DATE(2026,10,6),日次入力!$A$4:$A$1500,"&lt;="&amp;DATE(2026,10,12),日次入力!$C$4:$C$1500,"Metaウェビナー")=0,"",SUMIFS(日次入力!$E$4:$E$1500,日次入力!$A$4:$A$1500,"&gt;="&amp;DATE(2026,10,6),日次入力!$A$4:$A$1500,"&lt;="&amp;DATE(2026,10,12),日次入力!$C$4:$C$1500,"Metaウェビナー"))</f>
        <v/>
      </c>
      <c r="E32" s="42" t="str">
        <f aca="false">IF(COUNTIFS(日次入力!$A$4:$A$1500,"&gt;="&amp;DATE(2026,10,6),日次入力!$A$4:$A$1500,"&lt;="&amp;DATE(2026,10,12),日次入力!$C$4:$C$1500,"Metaウェビナー")=0,"",SUMIFS(日次入力!$F$4:$F$1500,日次入力!$A$4:$A$1500,"&gt;="&amp;DATE(2026,10,6),日次入力!$A$4:$A$1500,"&lt;="&amp;DATE(2026,10,12),日次入力!$C$4:$C$1500,"Metaウェビナー"))</f>
        <v/>
      </c>
      <c r="F32" s="42" t="str">
        <f aca="false">IF(COUNTIFS(日次入力!$A$4:$A$1500,"&gt;="&amp;DATE(2026,10,6),日次入力!$A$4:$A$1500,"&lt;="&amp;DATE(2026,10,12),日次入力!$C$4:$C$1500,"Metaウェビナー")=0,"",SUMIFS(日次入力!$G$4:$G$1500,日次入力!$A$4:$A$1500,"&gt;="&amp;DATE(2026,10,6),日次入力!$A$4:$A$1500,"&lt;="&amp;DATE(2026,10,12),日次入力!$C$4:$C$1500,"Metaウェビナー"))</f>
        <v/>
      </c>
      <c r="G32" s="15" t="str">
        <f aca="false">IFERROR(E32/D32,"")</f>
        <v/>
      </c>
      <c r="H32" s="37" t="str">
        <f aca="false">IFERROR(C32/E32,"")</f>
        <v/>
      </c>
      <c r="I32" s="37" t="str">
        <f aca="false">IFERROR(C32/D32*1000,"")</f>
        <v/>
      </c>
      <c r="J32" s="15" t="str">
        <f aca="false">IFERROR(F32/E32,"")</f>
        <v/>
      </c>
      <c r="K32" s="37" t="str">
        <f aca="false">IFERROR(C32/F32,"")</f>
        <v/>
      </c>
      <c r="L32" s="42" t="str">
        <f aca="false">IF(COUNTIFS(日次入力!$A$4:$A$1500,"&gt;="&amp;DATE(2026,10,6),日次入力!$A$4:$A$1500,"&lt;="&amp;DATE(2026,10,12),日次入力!$C$4:$C$1500,"Metaウェビナー")=0,"",SUMIFS(日次入力!$H$4:$H$1500,日次入力!$A$4:$A$1500,"&gt;="&amp;DATE(2026,10,6),日次入力!$A$4:$A$1500,"&lt;="&amp;DATE(2026,10,12),日次入力!$C$4:$C$1500,"Metaウェビナー"))</f>
        <v/>
      </c>
      <c r="M32" s="15" t="str">
        <f aca="false">IF(L32="","",IFERROR(L32/F32,""))</f>
        <v/>
      </c>
      <c r="N32" s="42" t="str">
        <f aca="false">IF(COUNTIFS(日次入力!$A$4:$A$1500,"&gt;="&amp;DATE(2026,10,6),日次入力!$A$4:$A$1500,"&lt;="&amp;DATE(2026,10,12),日次入力!$C$4:$C$1500,"Metaウェビナー")=0,"",SUMIFS(日次入力!$I$4:$I$1500,日次入力!$A$4:$A$1500,"&gt;="&amp;DATE(2026,10,6),日次入力!$A$4:$A$1500,"&lt;="&amp;DATE(2026,10,12),日次入力!$C$4:$C$1500,"Metaウェビナー"))</f>
        <v/>
      </c>
      <c r="O32" s="15" t="str">
        <f aca="false">IF(N32="","",IFERROR(N32/L32,""))</f>
        <v/>
      </c>
      <c r="P32" s="37" t="str">
        <f aca="false">IF(N32=0,"",IFERROR(C32/N32,""))</f>
        <v/>
      </c>
      <c r="Q32" s="38" t="str">
        <f aca="false">IF(N32=0,"",IFERROR(IF(C32/N32&lt;=用語集!$B$22,"◎ 許容内","✗ 超過"),"—"))</f>
        <v>—</v>
      </c>
      <c r="R32" s="39" t="str">
        <f aca="false">IFERROR(用語集!$B$22/P32,"")</f>
        <v/>
      </c>
    </row>
    <row r="33" customFormat="false" ht="15" hidden="false" customHeight="false" outlineLevel="0" collapsed="false">
      <c r="A33" s="34" t="s">
        <v>114</v>
      </c>
      <c r="B33" s="35" t="s">
        <v>115</v>
      </c>
      <c r="C33" s="41" t="str">
        <f aca="false">IF(COUNTIFS(日次入力!$A$4:$A$1500,"&gt;="&amp;DATE(2026,10,13),日次入力!$A$4:$A$1500,"&lt;="&amp;DATE(2026,10,19),日次入力!$C$4:$C$1500,"Metaウェビナー")=0,"",SUMIFS(日次入力!$D$4:$D$1500,日次入力!$A$4:$A$1500,"&gt;="&amp;DATE(2026,10,13),日次入力!$A$4:$A$1500,"&lt;="&amp;DATE(2026,10,19),日次入力!$C$4:$C$1500,"Metaウェビナー"))</f>
        <v/>
      </c>
      <c r="D33" s="42" t="str">
        <f aca="false">IF(COUNTIFS(日次入力!$A$4:$A$1500,"&gt;="&amp;DATE(2026,10,13),日次入力!$A$4:$A$1500,"&lt;="&amp;DATE(2026,10,19),日次入力!$C$4:$C$1500,"Metaウェビナー")=0,"",SUMIFS(日次入力!$E$4:$E$1500,日次入力!$A$4:$A$1500,"&gt;="&amp;DATE(2026,10,13),日次入力!$A$4:$A$1500,"&lt;="&amp;DATE(2026,10,19),日次入力!$C$4:$C$1500,"Metaウェビナー"))</f>
        <v/>
      </c>
      <c r="E33" s="42" t="str">
        <f aca="false">IF(COUNTIFS(日次入力!$A$4:$A$1500,"&gt;="&amp;DATE(2026,10,13),日次入力!$A$4:$A$1500,"&lt;="&amp;DATE(2026,10,19),日次入力!$C$4:$C$1500,"Metaウェビナー")=0,"",SUMIFS(日次入力!$F$4:$F$1500,日次入力!$A$4:$A$1500,"&gt;="&amp;DATE(2026,10,13),日次入力!$A$4:$A$1500,"&lt;="&amp;DATE(2026,10,19),日次入力!$C$4:$C$1500,"Metaウェビナー"))</f>
        <v/>
      </c>
      <c r="F33" s="42" t="str">
        <f aca="false">IF(COUNTIFS(日次入力!$A$4:$A$1500,"&gt;="&amp;DATE(2026,10,13),日次入力!$A$4:$A$1500,"&lt;="&amp;DATE(2026,10,19),日次入力!$C$4:$C$1500,"Metaウェビナー")=0,"",SUMIFS(日次入力!$G$4:$G$1500,日次入力!$A$4:$A$1500,"&gt;="&amp;DATE(2026,10,13),日次入力!$A$4:$A$1500,"&lt;="&amp;DATE(2026,10,19),日次入力!$C$4:$C$1500,"Metaウェビナー"))</f>
        <v/>
      </c>
      <c r="G33" s="15" t="str">
        <f aca="false">IFERROR(E33/D33,"")</f>
        <v/>
      </c>
      <c r="H33" s="37" t="str">
        <f aca="false">IFERROR(C33/E33,"")</f>
        <v/>
      </c>
      <c r="I33" s="37" t="str">
        <f aca="false">IFERROR(C33/D33*1000,"")</f>
        <v/>
      </c>
      <c r="J33" s="15" t="str">
        <f aca="false">IFERROR(F33/E33,"")</f>
        <v/>
      </c>
      <c r="K33" s="37" t="str">
        <f aca="false">IFERROR(C33/F33,"")</f>
        <v/>
      </c>
      <c r="L33" s="42" t="str">
        <f aca="false">IF(COUNTIFS(日次入力!$A$4:$A$1500,"&gt;="&amp;DATE(2026,10,13),日次入力!$A$4:$A$1500,"&lt;="&amp;DATE(2026,10,19),日次入力!$C$4:$C$1500,"Metaウェビナー")=0,"",SUMIFS(日次入力!$H$4:$H$1500,日次入力!$A$4:$A$1500,"&gt;="&amp;DATE(2026,10,13),日次入力!$A$4:$A$1500,"&lt;="&amp;DATE(2026,10,19),日次入力!$C$4:$C$1500,"Metaウェビナー"))</f>
        <v/>
      </c>
      <c r="M33" s="15" t="str">
        <f aca="false">IF(L33="","",IFERROR(L33/F33,""))</f>
        <v/>
      </c>
      <c r="N33" s="42" t="str">
        <f aca="false">IF(COUNTIFS(日次入力!$A$4:$A$1500,"&gt;="&amp;DATE(2026,10,13),日次入力!$A$4:$A$1500,"&lt;="&amp;DATE(2026,10,19),日次入力!$C$4:$C$1500,"Metaウェビナー")=0,"",SUMIFS(日次入力!$I$4:$I$1500,日次入力!$A$4:$A$1500,"&gt;="&amp;DATE(2026,10,13),日次入力!$A$4:$A$1500,"&lt;="&amp;DATE(2026,10,19),日次入力!$C$4:$C$1500,"Metaウェビナー"))</f>
        <v/>
      </c>
      <c r="O33" s="15" t="str">
        <f aca="false">IF(N33="","",IFERROR(N33/L33,""))</f>
        <v/>
      </c>
      <c r="P33" s="37" t="str">
        <f aca="false">IF(N33=0,"",IFERROR(C33/N33,""))</f>
        <v/>
      </c>
      <c r="Q33" s="38" t="str">
        <f aca="false">IF(N33=0,"",IFERROR(IF(C33/N33&lt;=用語集!$B$22,"◎ 許容内","✗ 超過"),"—"))</f>
        <v>—</v>
      </c>
      <c r="R33" s="39" t="str">
        <f aca="false">IFERROR(用語集!$B$22/P33,"")</f>
        <v/>
      </c>
    </row>
    <row r="34" customFormat="false" ht="15" hidden="false" customHeight="false" outlineLevel="0" collapsed="false">
      <c r="A34" s="34" t="s">
        <v>116</v>
      </c>
      <c r="B34" s="35" t="s">
        <v>117</v>
      </c>
      <c r="C34" s="41" t="str">
        <f aca="false">IF(COUNTIFS(日次入力!$A$4:$A$1500,"&gt;="&amp;DATE(2026,10,20),日次入力!$A$4:$A$1500,"&lt;="&amp;DATE(2026,10,26),日次入力!$C$4:$C$1500,"Metaウェビナー")=0,"",SUMIFS(日次入力!$D$4:$D$1500,日次入力!$A$4:$A$1500,"&gt;="&amp;DATE(2026,10,20),日次入力!$A$4:$A$1500,"&lt;="&amp;DATE(2026,10,26),日次入力!$C$4:$C$1500,"Metaウェビナー"))</f>
        <v/>
      </c>
      <c r="D34" s="42" t="str">
        <f aca="false">IF(COUNTIFS(日次入力!$A$4:$A$1500,"&gt;="&amp;DATE(2026,10,20),日次入力!$A$4:$A$1500,"&lt;="&amp;DATE(2026,10,26),日次入力!$C$4:$C$1500,"Metaウェビナー")=0,"",SUMIFS(日次入力!$E$4:$E$1500,日次入力!$A$4:$A$1500,"&gt;="&amp;DATE(2026,10,20),日次入力!$A$4:$A$1500,"&lt;="&amp;DATE(2026,10,26),日次入力!$C$4:$C$1500,"Metaウェビナー"))</f>
        <v/>
      </c>
      <c r="E34" s="42" t="str">
        <f aca="false">IF(COUNTIFS(日次入力!$A$4:$A$1500,"&gt;="&amp;DATE(2026,10,20),日次入力!$A$4:$A$1500,"&lt;="&amp;DATE(2026,10,26),日次入力!$C$4:$C$1500,"Metaウェビナー")=0,"",SUMIFS(日次入力!$F$4:$F$1500,日次入力!$A$4:$A$1500,"&gt;="&amp;DATE(2026,10,20),日次入力!$A$4:$A$1500,"&lt;="&amp;DATE(2026,10,26),日次入力!$C$4:$C$1500,"Metaウェビナー"))</f>
        <v/>
      </c>
      <c r="F34" s="42" t="str">
        <f aca="false">IF(COUNTIFS(日次入力!$A$4:$A$1500,"&gt;="&amp;DATE(2026,10,20),日次入力!$A$4:$A$1500,"&lt;="&amp;DATE(2026,10,26),日次入力!$C$4:$C$1500,"Metaウェビナー")=0,"",SUMIFS(日次入力!$G$4:$G$1500,日次入力!$A$4:$A$1500,"&gt;="&amp;DATE(2026,10,20),日次入力!$A$4:$A$1500,"&lt;="&amp;DATE(2026,10,26),日次入力!$C$4:$C$1500,"Metaウェビナー"))</f>
        <v/>
      </c>
      <c r="G34" s="15" t="str">
        <f aca="false">IFERROR(E34/D34,"")</f>
        <v/>
      </c>
      <c r="H34" s="37" t="str">
        <f aca="false">IFERROR(C34/E34,"")</f>
        <v/>
      </c>
      <c r="I34" s="37" t="str">
        <f aca="false">IFERROR(C34/D34*1000,"")</f>
        <v/>
      </c>
      <c r="J34" s="15" t="str">
        <f aca="false">IFERROR(F34/E34,"")</f>
        <v/>
      </c>
      <c r="K34" s="37" t="str">
        <f aca="false">IFERROR(C34/F34,"")</f>
        <v/>
      </c>
      <c r="L34" s="42" t="str">
        <f aca="false">IF(COUNTIFS(日次入力!$A$4:$A$1500,"&gt;="&amp;DATE(2026,10,20),日次入力!$A$4:$A$1500,"&lt;="&amp;DATE(2026,10,26),日次入力!$C$4:$C$1500,"Metaウェビナー")=0,"",SUMIFS(日次入力!$H$4:$H$1500,日次入力!$A$4:$A$1500,"&gt;="&amp;DATE(2026,10,20),日次入力!$A$4:$A$1500,"&lt;="&amp;DATE(2026,10,26),日次入力!$C$4:$C$1500,"Metaウェビナー"))</f>
        <v/>
      </c>
      <c r="M34" s="15" t="str">
        <f aca="false">IF(L34="","",IFERROR(L34/F34,""))</f>
        <v/>
      </c>
      <c r="N34" s="42" t="str">
        <f aca="false">IF(COUNTIFS(日次入力!$A$4:$A$1500,"&gt;="&amp;DATE(2026,10,20),日次入力!$A$4:$A$1500,"&lt;="&amp;DATE(2026,10,26),日次入力!$C$4:$C$1500,"Metaウェビナー")=0,"",SUMIFS(日次入力!$I$4:$I$1500,日次入力!$A$4:$A$1500,"&gt;="&amp;DATE(2026,10,20),日次入力!$A$4:$A$1500,"&lt;="&amp;DATE(2026,10,26),日次入力!$C$4:$C$1500,"Metaウェビナー"))</f>
        <v/>
      </c>
      <c r="O34" s="15" t="str">
        <f aca="false">IF(N34="","",IFERROR(N34/L34,""))</f>
        <v/>
      </c>
      <c r="P34" s="37" t="str">
        <f aca="false">IF(N34=0,"",IFERROR(C34/N34,""))</f>
        <v/>
      </c>
      <c r="Q34" s="38" t="str">
        <f aca="false">IF(N34=0,"",IFERROR(IF(C34/N34&lt;=用語集!$B$22,"◎ 許容内","✗ 超過"),"—"))</f>
        <v>—</v>
      </c>
      <c r="R34" s="39" t="str">
        <f aca="false">IFERROR(用語集!$B$22/P34,"")</f>
        <v/>
      </c>
    </row>
    <row r="35" customFormat="false" ht="15" hidden="false" customHeight="false" outlineLevel="0" collapsed="false">
      <c r="A35" s="34" t="s">
        <v>118</v>
      </c>
      <c r="B35" s="35" t="s">
        <v>119</v>
      </c>
      <c r="C35" s="41" t="str">
        <f aca="false">IF(COUNTIFS(日次入力!$A$4:$A$1500,"&gt;="&amp;DATE(2026,10,27),日次入力!$A$4:$A$1500,"&lt;="&amp;DATE(2026,11,2),日次入力!$C$4:$C$1500,"Metaウェビナー")=0,"",SUMIFS(日次入力!$D$4:$D$1500,日次入力!$A$4:$A$1500,"&gt;="&amp;DATE(2026,10,27),日次入力!$A$4:$A$1500,"&lt;="&amp;DATE(2026,11,2),日次入力!$C$4:$C$1500,"Metaウェビナー"))</f>
        <v/>
      </c>
      <c r="D35" s="42" t="str">
        <f aca="false">IF(COUNTIFS(日次入力!$A$4:$A$1500,"&gt;="&amp;DATE(2026,10,27),日次入力!$A$4:$A$1500,"&lt;="&amp;DATE(2026,11,2),日次入力!$C$4:$C$1500,"Metaウェビナー")=0,"",SUMIFS(日次入力!$E$4:$E$1500,日次入力!$A$4:$A$1500,"&gt;="&amp;DATE(2026,10,27),日次入力!$A$4:$A$1500,"&lt;="&amp;DATE(2026,11,2),日次入力!$C$4:$C$1500,"Metaウェビナー"))</f>
        <v/>
      </c>
      <c r="E35" s="42" t="str">
        <f aca="false">IF(COUNTIFS(日次入力!$A$4:$A$1500,"&gt;="&amp;DATE(2026,10,27),日次入力!$A$4:$A$1500,"&lt;="&amp;DATE(2026,11,2),日次入力!$C$4:$C$1500,"Metaウェビナー")=0,"",SUMIFS(日次入力!$F$4:$F$1500,日次入力!$A$4:$A$1500,"&gt;="&amp;DATE(2026,10,27),日次入力!$A$4:$A$1500,"&lt;="&amp;DATE(2026,11,2),日次入力!$C$4:$C$1500,"Metaウェビナー"))</f>
        <v/>
      </c>
      <c r="F35" s="42" t="str">
        <f aca="false">IF(COUNTIFS(日次入力!$A$4:$A$1500,"&gt;="&amp;DATE(2026,10,27),日次入力!$A$4:$A$1500,"&lt;="&amp;DATE(2026,11,2),日次入力!$C$4:$C$1500,"Metaウェビナー")=0,"",SUMIFS(日次入力!$G$4:$G$1500,日次入力!$A$4:$A$1500,"&gt;="&amp;DATE(2026,10,27),日次入力!$A$4:$A$1500,"&lt;="&amp;DATE(2026,11,2),日次入力!$C$4:$C$1500,"Metaウェビナー"))</f>
        <v/>
      </c>
      <c r="G35" s="15" t="str">
        <f aca="false">IFERROR(E35/D35,"")</f>
        <v/>
      </c>
      <c r="H35" s="37" t="str">
        <f aca="false">IFERROR(C35/E35,"")</f>
        <v/>
      </c>
      <c r="I35" s="37" t="str">
        <f aca="false">IFERROR(C35/D35*1000,"")</f>
        <v/>
      </c>
      <c r="J35" s="15" t="str">
        <f aca="false">IFERROR(F35/E35,"")</f>
        <v/>
      </c>
      <c r="K35" s="37" t="str">
        <f aca="false">IFERROR(C35/F35,"")</f>
        <v/>
      </c>
      <c r="L35" s="42" t="str">
        <f aca="false">IF(COUNTIFS(日次入力!$A$4:$A$1500,"&gt;="&amp;DATE(2026,10,27),日次入力!$A$4:$A$1500,"&lt;="&amp;DATE(2026,11,2),日次入力!$C$4:$C$1500,"Metaウェビナー")=0,"",SUMIFS(日次入力!$H$4:$H$1500,日次入力!$A$4:$A$1500,"&gt;="&amp;DATE(2026,10,27),日次入力!$A$4:$A$1500,"&lt;="&amp;DATE(2026,11,2),日次入力!$C$4:$C$1500,"Metaウェビナー"))</f>
        <v/>
      </c>
      <c r="M35" s="15" t="str">
        <f aca="false">IF(L35="","",IFERROR(L35/F35,""))</f>
        <v/>
      </c>
      <c r="N35" s="42" t="str">
        <f aca="false">IF(COUNTIFS(日次入力!$A$4:$A$1500,"&gt;="&amp;DATE(2026,10,27),日次入力!$A$4:$A$1500,"&lt;="&amp;DATE(2026,11,2),日次入力!$C$4:$C$1500,"Metaウェビナー")=0,"",SUMIFS(日次入力!$I$4:$I$1500,日次入力!$A$4:$A$1500,"&gt;="&amp;DATE(2026,10,27),日次入力!$A$4:$A$1500,"&lt;="&amp;DATE(2026,11,2),日次入力!$C$4:$C$1500,"Metaウェビナー"))</f>
        <v/>
      </c>
      <c r="O35" s="15" t="str">
        <f aca="false">IF(N35="","",IFERROR(N35/L35,""))</f>
        <v/>
      </c>
      <c r="P35" s="37" t="str">
        <f aca="false">IF(N35=0,"",IFERROR(C35/N35,""))</f>
        <v/>
      </c>
      <c r="Q35" s="38" t="str">
        <f aca="false">IF(N35=0,"",IFERROR(IF(C35/N35&lt;=用語集!$B$22,"◎ 許容内","✗ 超過"),"—"))</f>
        <v>—</v>
      </c>
      <c r="R35" s="39" t="str">
        <f aca="false">IFERROR(用語集!$B$22/P35,"")</f>
        <v/>
      </c>
    </row>
    <row r="36" customFormat="false" ht="15" hidden="false" customHeight="false" outlineLevel="0" collapsed="false">
      <c r="A36" s="34" t="s">
        <v>120</v>
      </c>
      <c r="B36" s="35" t="s">
        <v>121</v>
      </c>
      <c r="C36" s="41" t="str">
        <f aca="false">IF(COUNTIFS(日次入力!$A$4:$A$1500,"&gt;="&amp;DATE(2026,11,3),日次入力!$A$4:$A$1500,"&lt;="&amp;DATE(2026,11,9),日次入力!$C$4:$C$1500,"Metaウェビナー")=0,"",SUMIFS(日次入力!$D$4:$D$1500,日次入力!$A$4:$A$1500,"&gt;="&amp;DATE(2026,11,3),日次入力!$A$4:$A$1500,"&lt;="&amp;DATE(2026,11,9),日次入力!$C$4:$C$1500,"Metaウェビナー"))</f>
        <v/>
      </c>
      <c r="D36" s="42" t="str">
        <f aca="false">IF(COUNTIFS(日次入力!$A$4:$A$1500,"&gt;="&amp;DATE(2026,11,3),日次入力!$A$4:$A$1500,"&lt;="&amp;DATE(2026,11,9),日次入力!$C$4:$C$1500,"Metaウェビナー")=0,"",SUMIFS(日次入力!$E$4:$E$1500,日次入力!$A$4:$A$1500,"&gt;="&amp;DATE(2026,11,3),日次入力!$A$4:$A$1500,"&lt;="&amp;DATE(2026,11,9),日次入力!$C$4:$C$1500,"Metaウェビナー"))</f>
        <v/>
      </c>
      <c r="E36" s="42" t="str">
        <f aca="false">IF(COUNTIFS(日次入力!$A$4:$A$1500,"&gt;="&amp;DATE(2026,11,3),日次入力!$A$4:$A$1500,"&lt;="&amp;DATE(2026,11,9),日次入力!$C$4:$C$1500,"Metaウェビナー")=0,"",SUMIFS(日次入力!$F$4:$F$1500,日次入力!$A$4:$A$1500,"&gt;="&amp;DATE(2026,11,3),日次入力!$A$4:$A$1500,"&lt;="&amp;DATE(2026,11,9),日次入力!$C$4:$C$1500,"Metaウェビナー"))</f>
        <v/>
      </c>
      <c r="F36" s="42" t="str">
        <f aca="false">IF(COUNTIFS(日次入力!$A$4:$A$1500,"&gt;="&amp;DATE(2026,11,3),日次入力!$A$4:$A$1500,"&lt;="&amp;DATE(2026,11,9),日次入力!$C$4:$C$1500,"Metaウェビナー")=0,"",SUMIFS(日次入力!$G$4:$G$1500,日次入力!$A$4:$A$1500,"&gt;="&amp;DATE(2026,11,3),日次入力!$A$4:$A$1500,"&lt;="&amp;DATE(2026,11,9),日次入力!$C$4:$C$1500,"Metaウェビナー"))</f>
        <v/>
      </c>
      <c r="G36" s="15" t="str">
        <f aca="false">IFERROR(E36/D36,"")</f>
        <v/>
      </c>
      <c r="H36" s="37" t="str">
        <f aca="false">IFERROR(C36/E36,"")</f>
        <v/>
      </c>
      <c r="I36" s="37" t="str">
        <f aca="false">IFERROR(C36/D36*1000,"")</f>
        <v/>
      </c>
      <c r="J36" s="15" t="str">
        <f aca="false">IFERROR(F36/E36,"")</f>
        <v/>
      </c>
      <c r="K36" s="37" t="str">
        <f aca="false">IFERROR(C36/F36,"")</f>
        <v/>
      </c>
      <c r="L36" s="42" t="str">
        <f aca="false">IF(COUNTIFS(日次入力!$A$4:$A$1500,"&gt;="&amp;DATE(2026,11,3),日次入力!$A$4:$A$1500,"&lt;="&amp;DATE(2026,11,9),日次入力!$C$4:$C$1500,"Metaウェビナー")=0,"",SUMIFS(日次入力!$H$4:$H$1500,日次入力!$A$4:$A$1500,"&gt;="&amp;DATE(2026,11,3),日次入力!$A$4:$A$1500,"&lt;="&amp;DATE(2026,11,9),日次入力!$C$4:$C$1500,"Metaウェビナー"))</f>
        <v/>
      </c>
      <c r="M36" s="15" t="str">
        <f aca="false">IF(L36="","",IFERROR(L36/F36,""))</f>
        <v/>
      </c>
      <c r="N36" s="42" t="str">
        <f aca="false">IF(COUNTIFS(日次入力!$A$4:$A$1500,"&gt;="&amp;DATE(2026,11,3),日次入力!$A$4:$A$1500,"&lt;="&amp;DATE(2026,11,9),日次入力!$C$4:$C$1500,"Metaウェビナー")=0,"",SUMIFS(日次入力!$I$4:$I$1500,日次入力!$A$4:$A$1500,"&gt;="&amp;DATE(2026,11,3),日次入力!$A$4:$A$1500,"&lt;="&amp;DATE(2026,11,9),日次入力!$C$4:$C$1500,"Metaウェビナー"))</f>
        <v/>
      </c>
      <c r="O36" s="15" t="str">
        <f aca="false">IF(N36="","",IFERROR(N36/L36,""))</f>
        <v/>
      </c>
      <c r="P36" s="37" t="str">
        <f aca="false">IF(N36=0,"",IFERROR(C36/N36,""))</f>
        <v/>
      </c>
      <c r="Q36" s="38" t="str">
        <f aca="false">IF(N36=0,"",IFERROR(IF(C36/N36&lt;=用語集!$B$22,"◎ 許容内","✗ 超過"),"—"))</f>
        <v>—</v>
      </c>
      <c r="R36" s="39" t="str">
        <f aca="false">IFERROR(用語集!$B$22/P36,"")</f>
        <v/>
      </c>
    </row>
    <row r="37" customFormat="false" ht="15" hidden="false" customHeight="false" outlineLevel="0" collapsed="false">
      <c r="A37" s="34" t="s">
        <v>122</v>
      </c>
      <c r="B37" s="35" t="s">
        <v>123</v>
      </c>
      <c r="C37" s="41" t="str">
        <f aca="false">IF(COUNTIFS(日次入力!$A$4:$A$1500,"&gt;="&amp;DATE(2026,11,10),日次入力!$A$4:$A$1500,"&lt;="&amp;DATE(2026,11,16),日次入力!$C$4:$C$1500,"Metaウェビナー")=0,"",SUMIFS(日次入力!$D$4:$D$1500,日次入力!$A$4:$A$1500,"&gt;="&amp;DATE(2026,11,10),日次入力!$A$4:$A$1500,"&lt;="&amp;DATE(2026,11,16),日次入力!$C$4:$C$1500,"Metaウェビナー"))</f>
        <v/>
      </c>
      <c r="D37" s="42" t="str">
        <f aca="false">IF(COUNTIFS(日次入力!$A$4:$A$1500,"&gt;="&amp;DATE(2026,11,10),日次入力!$A$4:$A$1500,"&lt;="&amp;DATE(2026,11,16),日次入力!$C$4:$C$1500,"Metaウェビナー")=0,"",SUMIFS(日次入力!$E$4:$E$1500,日次入力!$A$4:$A$1500,"&gt;="&amp;DATE(2026,11,10),日次入力!$A$4:$A$1500,"&lt;="&amp;DATE(2026,11,16),日次入力!$C$4:$C$1500,"Metaウェビナー"))</f>
        <v/>
      </c>
      <c r="E37" s="42" t="str">
        <f aca="false">IF(COUNTIFS(日次入力!$A$4:$A$1500,"&gt;="&amp;DATE(2026,11,10),日次入力!$A$4:$A$1500,"&lt;="&amp;DATE(2026,11,16),日次入力!$C$4:$C$1500,"Metaウェビナー")=0,"",SUMIFS(日次入力!$F$4:$F$1500,日次入力!$A$4:$A$1500,"&gt;="&amp;DATE(2026,11,10),日次入力!$A$4:$A$1500,"&lt;="&amp;DATE(2026,11,16),日次入力!$C$4:$C$1500,"Metaウェビナー"))</f>
        <v/>
      </c>
      <c r="F37" s="42" t="str">
        <f aca="false">IF(COUNTIFS(日次入力!$A$4:$A$1500,"&gt;="&amp;DATE(2026,11,10),日次入力!$A$4:$A$1500,"&lt;="&amp;DATE(2026,11,16),日次入力!$C$4:$C$1500,"Metaウェビナー")=0,"",SUMIFS(日次入力!$G$4:$G$1500,日次入力!$A$4:$A$1500,"&gt;="&amp;DATE(2026,11,10),日次入力!$A$4:$A$1500,"&lt;="&amp;DATE(2026,11,16),日次入力!$C$4:$C$1500,"Metaウェビナー"))</f>
        <v/>
      </c>
      <c r="G37" s="15" t="str">
        <f aca="false">IFERROR(E37/D37,"")</f>
        <v/>
      </c>
      <c r="H37" s="37" t="str">
        <f aca="false">IFERROR(C37/E37,"")</f>
        <v/>
      </c>
      <c r="I37" s="37" t="str">
        <f aca="false">IFERROR(C37/D37*1000,"")</f>
        <v/>
      </c>
      <c r="J37" s="15" t="str">
        <f aca="false">IFERROR(F37/E37,"")</f>
        <v/>
      </c>
      <c r="K37" s="37" t="str">
        <f aca="false">IFERROR(C37/F37,"")</f>
        <v/>
      </c>
      <c r="L37" s="42" t="str">
        <f aca="false">IF(COUNTIFS(日次入力!$A$4:$A$1500,"&gt;="&amp;DATE(2026,11,10),日次入力!$A$4:$A$1500,"&lt;="&amp;DATE(2026,11,16),日次入力!$C$4:$C$1500,"Metaウェビナー")=0,"",SUMIFS(日次入力!$H$4:$H$1500,日次入力!$A$4:$A$1500,"&gt;="&amp;DATE(2026,11,10),日次入力!$A$4:$A$1500,"&lt;="&amp;DATE(2026,11,16),日次入力!$C$4:$C$1500,"Metaウェビナー"))</f>
        <v/>
      </c>
      <c r="M37" s="15" t="str">
        <f aca="false">IF(L37="","",IFERROR(L37/F37,""))</f>
        <v/>
      </c>
      <c r="N37" s="42" t="str">
        <f aca="false">IF(COUNTIFS(日次入力!$A$4:$A$1500,"&gt;="&amp;DATE(2026,11,10),日次入力!$A$4:$A$1500,"&lt;="&amp;DATE(2026,11,16),日次入力!$C$4:$C$1500,"Metaウェビナー")=0,"",SUMIFS(日次入力!$I$4:$I$1500,日次入力!$A$4:$A$1500,"&gt;="&amp;DATE(2026,11,10),日次入力!$A$4:$A$1500,"&lt;="&amp;DATE(2026,11,16),日次入力!$C$4:$C$1500,"Metaウェビナー"))</f>
        <v/>
      </c>
      <c r="O37" s="15" t="str">
        <f aca="false">IF(N37="","",IFERROR(N37/L37,""))</f>
        <v/>
      </c>
      <c r="P37" s="37" t="str">
        <f aca="false">IF(N37=0,"",IFERROR(C37/N37,""))</f>
        <v/>
      </c>
      <c r="Q37" s="38" t="str">
        <f aca="false">IF(N37=0,"",IFERROR(IF(C37/N37&lt;=用語集!$B$22,"◎ 許容内","✗ 超過"),"—"))</f>
        <v>—</v>
      </c>
      <c r="R37" s="39" t="str">
        <f aca="false">IFERROR(用語集!$B$22/P37,"")</f>
        <v/>
      </c>
    </row>
    <row r="38" customFormat="false" ht="15" hidden="false" customHeight="false" outlineLevel="0" collapsed="false">
      <c r="A38" s="34" t="s">
        <v>124</v>
      </c>
      <c r="B38" s="35" t="s">
        <v>125</v>
      </c>
      <c r="C38" s="41" t="str">
        <f aca="false">IF(COUNTIFS(日次入力!$A$4:$A$1500,"&gt;="&amp;DATE(2026,11,17),日次入力!$A$4:$A$1500,"&lt;="&amp;DATE(2026,11,23),日次入力!$C$4:$C$1500,"Metaウェビナー")=0,"",SUMIFS(日次入力!$D$4:$D$1500,日次入力!$A$4:$A$1500,"&gt;="&amp;DATE(2026,11,17),日次入力!$A$4:$A$1500,"&lt;="&amp;DATE(2026,11,23),日次入力!$C$4:$C$1500,"Metaウェビナー"))</f>
        <v/>
      </c>
      <c r="D38" s="42" t="str">
        <f aca="false">IF(COUNTIFS(日次入力!$A$4:$A$1500,"&gt;="&amp;DATE(2026,11,17),日次入力!$A$4:$A$1500,"&lt;="&amp;DATE(2026,11,23),日次入力!$C$4:$C$1500,"Metaウェビナー")=0,"",SUMIFS(日次入力!$E$4:$E$1500,日次入力!$A$4:$A$1500,"&gt;="&amp;DATE(2026,11,17),日次入力!$A$4:$A$1500,"&lt;="&amp;DATE(2026,11,23),日次入力!$C$4:$C$1500,"Metaウェビナー"))</f>
        <v/>
      </c>
      <c r="E38" s="42" t="str">
        <f aca="false">IF(COUNTIFS(日次入力!$A$4:$A$1500,"&gt;="&amp;DATE(2026,11,17),日次入力!$A$4:$A$1500,"&lt;="&amp;DATE(2026,11,23),日次入力!$C$4:$C$1500,"Metaウェビナー")=0,"",SUMIFS(日次入力!$F$4:$F$1500,日次入力!$A$4:$A$1500,"&gt;="&amp;DATE(2026,11,17),日次入力!$A$4:$A$1500,"&lt;="&amp;DATE(2026,11,23),日次入力!$C$4:$C$1500,"Metaウェビナー"))</f>
        <v/>
      </c>
      <c r="F38" s="42" t="str">
        <f aca="false">IF(COUNTIFS(日次入力!$A$4:$A$1500,"&gt;="&amp;DATE(2026,11,17),日次入力!$A$4:$A$1500,"&lt;="&amp;DATE(2026,11,23),日次入力!$C$4:$C$1500,"Metaウェビナー")=0,"",SUMIFS(日次入力!$G$4:$G$1500,日次入力!$A$4:$A$1500,"&gt;="&amp;DATE(2026,11,17),日次入力!$A$4:$A$1500,"&lt;="&amp;DATE(2026,11,23),日次入力!$C$4:$C$1500,"Metaウェビナー"))</f>
        <v/>
      </c>
      <c r="G38" s="15" t="str">
        <f aca="false">IFERROR(E38/D38,"")</f>
        <v/>
      </c>
      <c r="H38" s="37" t="str">
        <f aca="false">IFERROR(C38/E38,"")</f>
        <v/>
      </c>
      <c r="I38" s="37" t="str">
        <f aca="false">IFERROR(C38/D38*1000,"")</f>
        <v/>
      </c>
      <c r="J38" s="15" t="str">
        <f aca="false">IFERROR(F38/E38,"")</f>
        <v/>
      </c>
      <c r="K38" s="37" t="str">
        <f aca="false">IFERROR(C38/F38,"")</f>
        <v/>
      </c>
      <c r="L38" s="42" t="str">
        <f aca="false">IF(COUNTIFS(日次入力!$A$4:$A$1500,"&gt;="&amp;DATE(2026,11,17),日次入力!$A$4:$A$1500,"&lt;="&amp;DATE(2026,11,23),日次入力!$C$4:$C$1500,"Metaウェビナー")=0,"",SUMIFS(日次入力!$H$4:$H$1500,日次入力!$A$4:$A$1500,"&gt;="&amp;DATE(2026,11,17),日次入力!$A$4:$A$1500,"&lt;="&amp;DATE(2026,11,23),日次入力!$C$4:$C$1500,"Metaウェビナー"))</f>
        <v/>
      </c>
      <c r="M38" s="15" t="str">
        <f aca="false">IF(L38="","",IFERROR(L38/F38,""))</f>
        <v/>
      </c>
      <c r="N38" s="42" t="str">
        <f aca="false">IF(COUNTIFS(日次入力!$A$4:$A$1500,"&gt;="&amp;DATE(2026,11,17),日次入力!$A$4:$A$1500,"&lt;="&amp;DATE(2026,11,23),日次入力!$C$4:$C$1500,"Metaウェビナー")=0,"",SUMIFS(日次入力!$I$4:$I$1500,日次入力!$A$4:$A$1500,"&gt;="&amp;DATE(2026,11,17),日次入力!$A$4:$A$1500,"&lt;="&amp;DATE(2026,11,23),日次入力!$C$4:$C$1500,"Metaウェビナー"))</f>
        <v/>
      </c>
      <c r="O38" s="15" t="str">
        <f aca="false">IF(N38="","",IFERROR(N38/L38,""))</f>
        <v/>
      </c>
      <c r="P38" s="37" t="str">
        <f aca="false">IF(N38=0,"",IFERROR(C38/N38,""))</f>
        <v/>
      </c>
      <c r="Q38" s="38" t="str">
        <f aca="false">IF(N38=0,"",IFERROR(IF(C38/N38&lt;=用語集!$B$22,"◎ 許容内","✗ 超過"),"—"))</f>
        <v>—</v>
      </c>
      <c r="R38" s="39" t="str">
        <f aca="false">IFERROR(用語集!$B$22/P38,"")</f>
        <v/>
      </c>
    </row>
    <row r="39" customFormat="false" ht="15" hidden="false" customHeight="false" outlineLevel="0" collapsed="false">
      <c r="A39" s="34" t="s">
        <v>126</v>
      </c>
      <c r="B39" s="35" t="s">
        <v>127</v>
      </c>
      <c r="C39" s="41" t="str">
        <f aca="false">IF(COUNTIFS(日次入力!$A$4:$A$1500,"&gt;="&amp;DATE(2026,11,24),日次入力!$A$4:$A$1500,"&lt;="&amp;DATE(2026,11,30),日次入力!$C$4:$C$1500,"Metaウェビナー")=0,"",SUMIFS(日次入力!$D$4:$D$1500,日次入力!$A$4:$A$1500,"&gt;="&amp;DATE(2026,11,24),日次入力!$A$4:$A$1500,"&lt;="&amp;DATE(2026,11,30),日次入力!$C$4:$C$1500,"Metaウェビナー"))</f>
        <v/>
      </c>
      <c r="D39" s="42" t="str">
        <f aca="false">IF(COUNTIFS(日次入力!$A$4:$A$1500,"&gt;="&amp;DATE(2026,11,24),日次入力!$A$4:$A$1500,"&lt;="&amp;DATE(2026,11,30),日次入力!$C$4:$C$1500,"Metaウェビナー")=0,"",SUMIFS(日次入力!$E$4:$E$1500,日次入力!$A$4:$A$1500,"&gt;="&amp;DATE(2026,11,24),日次入力!$A$4:$A$1500,"&lt;="&amp;DATE(2026,11,30),日次入力!$C$4:$C$1500,"Metaウェビナー"))</f>
        <v/>
      </c>
      <c r="E39" s="42" t="str">
        <f aca="false">IF(COUNTIFS(日次入力!$A$4:$A$1500,"&gt;="&amp;DATE(2026,11,24),日次入力!$A$4:$A$1500,"&lt;="&amp;DATE(2026,11,30),日次入力!$C$4:$C$1500,"Metaウェビナー")=0,"",SUMIFS(日次入力!$F$4:$F$1500,日次入力!$A$4:$A$1500,"&gt;="&amp;DATE(2026,11,24),日次入力!$A$4:$A$1500,"&lt;="&amp;DATE(2026,11,30),日次入力!$C$4:$C$1500,"Metaウェビナー"))</f>
        <v/>
      </c>
      <c r="F39" s="42" t="str">
        <f aca="false">IF(COUNTIFS(日次入力!$A$4:$A$1500,"&gt;="&amp;DATE(2026,11,24),日次入力!$A$4:$A$1500,"&lt;="&amp;DATE(2026,11,30),日次入力!$C$4:$C$1500,"Metaウェビナー")=0,"",SUMIFS(日次入力!$G$4:$G$1500,日次入力!$A$4:$A$1500,"&gt;="&amp;DATE(2026,11,24),日次入力!$A$4:$A$1500,"&lt;="&amp;DATE(2026,11,30),日次入力!$C$4:$C$1500,"Metaウェビナー"))</f>
        <v/>
      </c>
      <c r="G39" s="15" t="str">
        <f aca="false">IFERROR(E39/D39,"")</f>
        <v/>
      </c>
      <c r="H39" s="37" t="str">
        <f aca="false">IFERROR(C39/E39,"")</f>
        <v/>
      </c>
      <c r="I39" s="37" t="str">
        <f aca="false">IFERROR(C39/D39*1000,"")</f>
        <v/>
      </c>
      <c r="J39" s="15" t="str">
        <f aca="false">IFERROR(F39/E39,"")</f>
        <v/>
      </c>
      <c r="K39" s="37" t="str">
        <f aca="false">IFERROR(C39/F39,"")</f>
        <v/>
      </c>
      <c r="L39" s="42" t="str">
        <f aca="false">IF(COUNTIFS(日次入力!$A$4:$A$1500,"&gt;="&amp;DATE(2026,11,24),日次入力!$A$4:$A$1500,"&lt;="&amp;DATE(2026,11,30),日次入力!$C$4:$C$1500,"Metaウェビナー")=0,"",SUMIFS(日次入力!$H$4:$H$1500,日次入力!$A$4:$A$1500,"&gt;="&amp;DATE(2026,11,24),日次入力!$A$4:$A$1500,"&lt;="&amp;DATE(2026,11,30),日次入力!$C$4:$C$1500,"Metaウェビナー"))</f>
        <v/>
      </c>
      <c r="M39" s="15" t="str">
        <f aca="false">IF(L39="","",IFERROR(L39/F39,""))</f>
        <v/>
      </c>
      <c r="N39" s="42" t="str">
        <f aca="false">IF(COUNTIFS(日次入力!$A$4:$A$1500,"&gt;="&amp;DATE(2026,11,24),日次入力!$A$4:$A$1500,"&lt;="&amp;DATE(2026,11,30),日次入力!$C$4:$C$1500,"Metaウェビナー")=0,"",SUMIFS(日次入力!$I$4:$I$1500,日次入力!$A$4:$A$1500,"&gt;="&amp;DATE(2026,11,24),日次入力!$A$4:$A$1500,"&lt;="&amp;DATE(2026,11,30),日次入力!$C$4:$C$1500,"Metaウェビナー"))</f>
        <v/>
      </c>
      <c r="O39" s="15" t="str">
        <f aca="false">IF(N39="","",IFERROR(N39/L39,""))</f>
        <v/>
      </c>
      <c r="P39" s="37" t="str">
        <f aca="false">IF(N39=0,"",IFERROR(C39/N39,""))</f>
        <v/>
      </c>
      <c r="Q39" s="38" t="str">
        <f aca="false">IF(N39=0,"",IFERROR(IF(C39/N39&lt;=用語集!$B$22,"◎ 許容内","✗ 超過"),"—"))</f>
        <v>—</v>
      </c>
      <c r="R39" s="39" t="str">
        <f aca="false">IFERROR(用語集!$B$22/P39,"")</f>
        <v/>
      </c>
    </row>
    <row r="40" customFormat="false" ht="15" hidden="false" customHeight="false" outlineLevel="0" collapsed="false">
      <c r="A40" s="34" t="s">
        <v>128</v>
      </c>
      <c r="B40" s="35" t="s">
        <v>129</v>
      </c>
      <c r="C40" s="41" t="str">
        <f aca="false">IF(COUNTIFS(日次入力!$A$4:$A$1500,"&gt;="&amp;DATE(2026,12,1),日次入力!$A$4:$A$1500,"&lt;="&amp;DATE(2026,12,7),日次入力!$C$4:$C$1500,"Metaウェビナー")=0,"",SUMIFS(日次入力!$D$4:$D$1500,日次入力!$A$4:$A$1500,"&gt;="&amp;DATE(2026,12,1),日次入力!$A$4:$A$1500,"&lt;="&amp;DATE(2026,12,7),日次入力!$C$4:$C$1500,"Metaウェビナー"))</f>
        <v/>
      </c>
      <c r="D40" s="42" t="str">
        <f aca="false">IF(COUNTIFS(日次入力!$A$4:$A$1500,"&gt;="&amp;DATE(2026,12,1),日次入力!$A$4:$A$1500,"&lt;="&amp;DATE(2026,12,7),日次入力!$C$4:$C$1500,"Metaウェビナー")=0,"",SUMIFS(日次入力!$E$4:$E$1500,日次入力!$A$4:$A$1500,"&gt;="&amp;DATE(2026,12,1),日次入力!$A$4:$A$1500,"&lt;="&amp;DATE(2026,12,7),日次入力!$C$4:$C$1500,"Metaウェビナー"))</f>
        <v/>
      </c>
      <c r="E40" s="42" t="str">
        <f aca="false">IF(COUNTIFS(日次入力!$A$4:$A$1500,"&gt;="&amp;DATE(2026,12,1),日次入力!$A$4:$A$1500,"&lt;="&amp;DATE(2026,12,7),日次入力!$C$4:$C$1500,"Metaウェビナー")=0,"",SUMIFS(日次入力!$F$4:$F$1500,日次入力!$A$4:$A$1500,"&gt;="&amp;DATE(2026,12,1),日次入力!$A$4:$A$1500,"&lt;="&amp;DATE(2026,12,7),日次入力!$C$4:$C$1500,"Metaウェビナー"))</f>
        <v/>
      </c>
      <c r="F40" s="42" t="str">
        <f aca="false">IF(COUNTIFS(日次入力!$A$4:$A$1500,"&gt;="&amp;DATE(2026,12,1),日次入力!$A$4:$A$1500,"&lt;="&amp;DATE(2026,12,7),日次入力!$C$4:$C$1500,"Metaウェビナー")=0,"",SUMIFS(日次入力!$G$4:$G$1500,日次入力!$A$4:$A$1500,"&gt;="&amp;DATE(2026,12,1),日次入力!$A$4:$A$1500,"&lt;="&amp;DATE(2026,12,7),日次入力!$C$4:$C$1500,"Metaウェビナー"))</f>
        <v/>
      </c>
      <c r="G40" s="15" t="str">
        <f aca="false">IFERROR(E40/D40,"")</f>
        <v/>
      </c>
      <c r="H40" s="37" t="str">
        <f aca="false">IFERROR(C40/E40,"")</f>
        <v/>
      </c>
      <c r="I40" s="37" t="str">
        <f aca="false">IFERROR(C40/D40*1000,"")</f>
        <v/>
      </c>
      <c r="J40" s="15" t="str">
        <f aca="false">IFERROR(F40/E40,"")</f>
        <v/>
      </c>
      <c r="K40" s="37" t="str">
        <f aca="false">IFERROR(C40/F40,"")</f>
        <v/>
      </c>
      <c r="L40" s="42" t="str">
        <f aca="false">IF(COUNTIFS(日次入力!$A$4:$A$1500,"&gt;="&amp;DATE(2026,12,1),日次入力!$A$4:$A$1500,"&lt;="&amp;DATE(2026,12,7),日次入力!$C$4:$C$1500,"Metaウェビナー")=0,"",SUMIFS(日次入力!$H$4:$H$1500,日次入力!$A$4:$A$1500,"&gt;="&amp;DATE(2026,12,1),日次入力!$A$4:$A$1500,"&lt;="&amp;DATE(2026,12,7),日次入力!$C$4:$C$1500,"Metaウェビナー"))</f>
        <v/>
      </c>
      <c r="M40" s="15" t="str">
        <f aca="false">IF(L40="","",IFERROR(L40/F40,""))</f>
        <v/>
      </c>
      <c r="N40" s="42" t="str">
        <f aca="false">IF(COUNTIFS(日次入力!$A$4:$A$1500,"&gt;="&amp;DATE(2026,12,1),日次入力!$A$4:$A$1500,"&lt;="&amp;DATE(2026,12,7),日次入力!$C$4:$C$1500,"Metaウェビナー")=0,"",SUMIFS(日次入力!$I$4:$I$1500,日次入力!$A$4:$A$1500,"&gt;="&amp;DATE(2026,12,1),日次入力!$A$4:$A$1500,"&lt;="&amp;DATE(2026,12,7),日次入力!$C$4:$C$1500,"Metaウェビナー"))</f>
        <v/>
      </c>
      <c r="O40" s="15" t="str">
        <f aca="false">IF(N40="","",IFERROR(N40/L40,""))</f>
        <v/>
      </c>
      <c r="P40" s="37" t="str">
        <f aca="false">IF(N40=0,"",IFERROR(C40/N40,""))</f>
        <v/>
      </c>
      <c r="Q40" s="38" t="str">
        <f aca="false">IF(N40=0,"",IFERROR(IF(C40/N40&lt;=用語集!$B$22,"◎ 許容内","✗ 超過"),"—"))</f>
        <v>—</v>
      </c>
      <c r="R40" s="39" t="str">
        <f aca="false">IFERROR(用語集!$B$22/P40,"")</f>
        <v/>
      </c>
    </row>
    <row r="41" customFormat="false" ht="15" hidden="false" customHeight="false" outlineLevel="0" collapsed="false">
      <c r="A41" s="34" t="s">
        <v>130</v>
      </c>
      <c r="B41" s="35" t="s">
        <v>131</v>
      </c>
      <c r="C41" s="41" t="str">
        <f aca="false">IF(COUNTIFS(日次入力!$A$4:$A$1500,"&gt;="&amp;DATE(2026,12,8),日次入力!$A$4:$A$1500,"&lt;="&amp;DATE(2026,12,14),日次入力!$C$4:$C$1500,"Metaウェビナー")=0,"",SUMIFS(日次入力!$D$4:$D$1500,日次入力!$A$4:$A$1500,"&gt;="&amp;DATE(2026,12,8),日次入力!$A$4:$A$1500,"&lt;="&amp;DATE(2026,12,14),日次入力!$C$4:$C$1500,"Metaウェビナー"))</f>
        <v/>
      </c>
      <c r="D41" s="42" t="str">
        <f aca="false">IF(COUNTIFS(日次入力!$A$4:$A$1500,"&gt;="&amp;DATE(2026,12,8),日次入力!$A$4:$A$1500,"&lt;="&amp;DATE(2026,12,14),日次入力!$C$4:$C$1500,"Metaウェビナー")=0,"",SUMIFS(日次入力!$E$4:$E$1500,日次入力!$A$4:$A$1500,"&gt;="&amp;DATE(2026,12,8),日次入力!$A$4:$A$1500,"&lt;="&amp;DATE(2026,12,14),日次入力!$C$4:$C$1500,"Metaウェビナー"))</f>
        <v/>
      </c>
      <c r="E41" s="42" t="str">
        <f aca="false">IF(COUNTIFS(日次入力!$A$4:$A$1500,"&gt;="&amp;DATE(2026,12,8),日次入力!$A$4:$A$1500,"&lt;="&amp;DATE(2026,12,14),日次入力!$C$4:$C$1500,"Metaウェビナー")=0,"",SUMIFS(日次入力!$F$4:$F$1500,日次入力!$A$4:$A$1500,"&gt;="&amp;DATE(2026,12,8),日次入力!$A$4:$A$1500,"&lt;="&amp;DATE(2026,12,14),日次入力!$C$4:$C$1500,"Metaウェビナー"))</f>
        <v/>
      </c>
      <c r="F41" s="42" t="str">
        <f aca="false">IF(COUNTIFS(日次入力!$A$4:$A$1500,"&gt;="&amp;DATE(2026,12,8),日次入力!$A$4:$A$1500,"&lt;="&amp;DATE(2026,12,14),日次入力!$C$4:$C$1500,"Metaウェビナー")=0,"",SUMIFS(日次入力!$G$4:$G$1500,日次入力!$A$4:$A$1500,"&gt;="&amp;DATE(2026,12,8),日次入力!$A$4:$A$1500,"&lt;="&amp;DATE(2026,12,14),日次入力!$C$4:$C$1500,"Metaウェビナー"))</f>
        <v/>
      </c>
      <c r="G41" s="15" t="str">
        <f aca="false">IFERROR(E41/D41,"")</f>
        <v/>
      </c>
      <c r="H41" s="37" t="str">
        <f aca="false">IFERROR(C41/E41,"")</f>
        <v/>
      </c>
      <c r="I41" s="37" t="str">
        <f aca="false">IFERROR(C41/D41*1000,"")</f>
        <v/>
      </c>
      <c r="J41" s="15" t="str">
        <f aca="false">IFERROR(F41/E41,"")</f>
        <v/>
      </c>
      <c r="K41" s="37" t="str">
        <f aca="false">IFERROR(C41/F41,"")</f>
        <v/>
      </c>
      <c r="L41" s="42" t="str">
        <f aca="false">IF(COUNTIFS(日次入力!$A$4:$A$1500,"&gt;="&amp;DATE(2026,12,8),日次入力!$A$4:$A$1500,"&lt;="&amp;DATE(2026,12,14),日次入力!$C$4:$C$1500,"Metaウェビナー")=0,"",SUMIFS(日次入力!$H$4:$H$1500,日次入力!$A$4:$A$1500,"&gt;="&amp;DATE(2026,12,8),日次入力!$A$4:$A$1500,"&lt;="&amp;DATE(2026,12,14),日次入力!$C$4:$C$1500,"Metaウェビナー"))</f>
        <v/>
      </c>
      <c r="M41" s="15" t="str">
        <f aca="false">IF(L41="","",IFERROR(L41/F41,""))</f>
        <v/>
      </c>
      <c r="N41" s="42" t="str">
        <f aca="false">IF(COUNTIFS(日次入力!$A$4:$A$1500,"&gt;="&amp;DATE(2026,12,8),日次入力!$A$4:$A$1500,"&lt;="&amp;DATE(2026,12,14),日次入力!$C$4:$C$1500,"Metaウェビナー")=0,"",SUMIFS(日次入力!$I$4:$I$1500,日次入力!$A$4:$A$1500,"&gt;="&amp;DATE(2026,12,8),日次入力!$A$4:$A$1500,"&lt;="&amp;DATE(2026,12,14),日次入力!$C$4:$C$1500,"Metaウェビナー"))</f>
        <v/>
      </c>
      <c r="O41" s="15" t="str">
        <f aca="false">IF(N41="","",IFERROR(N41/L41,""))</f>
        <v/>
      </c>
      <c r="P41" s="37" t="str">
        <f aca="false">IF(N41=0,"",IFERROR(C41/N41,""))</f>
        <v/>
      </c>
      <c r="Q41" s="38" t="str">
        <f aca="false">IF(N41=0,"",IFERROR(IF(C41/N41&lt;=用語集!$B$22,"◎ 許容内","✗ 超過"),"—"))</f>
        <v>—</v>
      </c>
      <c r="R41" s="39" t="str">
        <f aca="false">IFERROR(用語集!$B$22/P41,"")</f>
        <v/>
      </c>
    </row>
    <row r="42" customFormat="false" ht="15" hidden="false" customHeight="false" outlineLevel="0" collapsed="false">
      <c r="A42" s="34" t="s">
        <v>132</v>
      </c>
      <c r="B42" s="35" t="s">
        <v>133</v>
      </c>
      <c r="C42" s="41" t="str">
        <f aca="false">IF(COUNTIFS(日次入力!$A$4:$A$1500,"&gt;="&amp;DATE(2026,12,15),日次入力!$A$4:$A$1500,"&lt;="&amp;DATE(2026,12,21),日次入力!$C$4:$C$1500,"Metaウェビナー")=0,"",SUMIFS(日次入力!$D$4:$D$1500,日次入力!$A$4:$A$1500,"&gt;="&amp;DATE(2026,12,15),日次入力!$A$4:$A$1500,"&lt;="&amp;DATE(2026,12,21),日次入力!$C$4:$C$1500,"Metaウェビナー"))</f>
        <v/>
      </c>
      <c r="D42" s="42" t="str">
        <f aca="false">IF(COUNTIFS(日次入力!$A$4:$A$1500,"&gt;="&amp;DATE(2026,12,15),日次入力!$A$4:$A$1500,"&lt;="&amp;DATE(2026,12,21),日次入力!$C$4:$C$1500,"Metaウェビナー")=0,"",SUMIFS(日次入力!$E$4:$E$1500,日次入力!$A$4:$A$1500,"&gt;="&amp;DATE(2026,12,15),日次入力!$A$4:$A$1500,"&lt;="&amp;DATE(2026,12,21),日次入力!$C$4:$C$1500,"Metaウェビナー"))</f>
        <v/>
      </c>
      <c r="E42" s="42" t="str">
        <f aca="false">IF(COUNTIFS(日次入力!$A$4:$A$1500,"&gt;="&amp;DATE(2026,12,15),日次入力!$A$4:$A$1500,"&lt;="&amp;DATE(2026,12,21),日次入力!$C$4:$C$1500,"Metaウェビナー")=0,"",SUMIFS(日次入力!$F$4:$F$1500,日次入力!$A$4:$A$1500,"&gt;="&amp;DATE(2026,12,15),日次入力!$A$4:$A$1500,"&lt;="&amp;DATE(2026,12,21),日次入力!$C$4:$C$1500,"Metaウェビナー"))</f>
        <v/>
      </c>
      <c r="F42" s="42" t="str">
        <f aca="false">IF(COUNTIFS(日次入力!$A$4:$A$1500,"&gt;="&amp;DATE(2026,12,15),日次入力!$A$4:$A$1500,"&lt;="&amp;DATE(2026,12,21),日次入力!$C$4:$C$1500,"Metaウェビナー")=0,"",SUMIFS(日次入力!$G$4:$G$1500,日次入力!$A$4:$A$1500,"&gt;="&amp;DATE(2026,12,15),日次入力!$A$4:$A$1500,"&lt;="&amp;DATE(2026,12,21),日次入力!$C$4:$C$1500,"Metaウェビナー"))</f>
        <v/>
      </c>
      <c r="G42" s="15" t="str">
        <f aca="false">IFERROR(E42/D42,"")</f>
        <v/>
      </c>
      <c r="H42" s="37" t="str">
        <f aca="false">IFERROR(C42/E42,"")</f>
        <v/>
      </c>
      <c r="I42" s="37" t="str">
        <f aca="false">IFERROR(C42/D42*1000,"")</f>
        <v/>
      </c>
      <c r="J42" s="15" t="str">
        <f aca="false">IFERROR(F42/E42,"")</f>
        <v/>
      </c>
      <c r="K42" s="37" t="str">
        <f aca="false">IFERROR(C42/F42,"")</f>
        <v/>
      </c>
      <c r="L42" s="42" t="str">
        <f aca="false">IF(COUNTIFS(日次入力!$A$4:$A$1500,"&gt;="&amp;DATE(2026,12,15),日次入力!$A$4:$A$1500,"&lt;="&amp;DATE(2026,12,21),日次入力!$C$4:$C$1500,"Metaウェビナー")=0,"",SUMIFS(日次入力!$H$4:$H$1500,日次入力!$A$4:$A$1500,"&gt;="&amp;DATE(2026,12,15),日次入力!$A$4:$A$1500,"&lt;="&amp;DATE(2026,12,21),日次入力!$C$4:$C$1500,"Metaウェビナー"))</f>
        <v/>
      </c>
      <c r="M42" s="15" t="str">
        <f aca="false">IF(L42="","",IFERROR(L42/F42,""))</f>
        <v/>
      </c>
      <c r="N42" s="42" t="str">
        <f aca="false">IF(COUNTIFS(日次入力!$A$4:$A$1500,"&gt;="&amp;DATE(2026,12,15),日次入力!$A$4:$A$1500,"&lt;="&amp;DATE(2026,12,21),日次入力!$C$4:$C$1500,"Metaウェビナー")=0,"",SUMIFS(日次入力!$I$4:$I$1500,日次入力!$A$4:$A$1500,"&gt;="&amp;DATE(2026,12,15),日次入力!$A$4:$A$1500,"&lt;="&amp;DATE(2026,12,21),日次入力!$C$4:$C$1500,"Metaウェビナー"))</f>
        <v/>
      </c>
      <c r="O42" s="15" t="str">
        <f aca="false">IF(N42="","",IFERROR(N42/L42,""))</f>
        <v/>
      </c>
      <c r="P42" s="37" t="str">
        <f aca="false">IF(N42=0,"",IFERROR(C42/N42,""))</f>
        <v/>
      </c>
      <c r="Q42" s="38" t="str">
        <f aca="false">IF(N42=0,"",IFERROR(IF(C42/N42&lt;=用語集!$B$22,"◎ 許容内","✗ 超過"),"—"))</f>
        <v>—</v>
      </c>
      <c r="R42" s="39" t="str">
        <f aca="false">IFERROR(用語集!$B$22/P42,"")</f>
        <v/>
      </c>
    </row>
    <row r="43" customFormat="false" ht="15" hidden="false" customHeight="false" outlineLevel="0" collapsed="false">
      <c r="A43" s="34" t="s">
        <v>134</v>
      </c>
      <c r="B43" s="35" t="s">
        <v>135</v>
      </c>
      <c r="C43" s="41" t="str">
        <f aca="false">IF(COUNTIFS(日次入力!$A$4:$A$1500,"&gt;="&amp;DATE(2026,12,22),日次入力!$A$4:$A$1500,"&lt;="&amp;DATE(2026,12,28),日次入力!$C$4:$C$1500,"Metaウェビナー")=0,"",SUMIFS(日次入力!$D$4:$D$1500,日次入力!$A$4:$A$1500,"&gt;="&amp;DATE(2026,12,22),日次入力!$A$4:$A$1500,"&lt;="&amp;DATE(2026,12,28),日次入力!$C$4:$C$1500,"Metaウェビナー"))</f>
        <v/>
      </c>
      <c r="D43" s="42" t="str">
        <f aca="false">IF(COUNTIFS(日次入力!$A$4:$A$1500,"&gt;="&amp;DATE(2026,12,22),日次入力!$A$4:$A$1500,"&lt;="&amp;DATE(2026,12,28),日次入力!$C$4:$C$1500,"Metaウェビナー")=0,"",SUMIFS(日次入力!$E$4:$E$1500,日次入力!$A$4:$A$1500,"&gt;="&amp;DATE(2026,12,22),日次入力!$A$4:$A$1500,"&lt;="&amp;DATE(2026,12,28),日次入力!$C$4:$C$1500,"Metaウェビナー"))</f>
        <v/>
      </c>
      <c r="E43" s="42" t="str">
        <f aca="false">IF(COUNTIFS(日次入力!$A$4:$A$1500,"&gt;="&amp;DATE(2026,12,22),日次入力!$A$4:$A$1500,"&lt;="&amp;DATE(2026,12,28),日次入力!$C$4:$C$1500,"Metaウェビナー")=0,"",SUMIFS(日次入力!$F$4:$F$1500,日次入力!$A$4:$A$1500,"&gt;="&amp;DATE(2026,12,22),日次入力!$A$4:$A$1500,"&lt;="&amp;DATE(2026,12,28),日次入力!$C$4:$C$1500,"Metaウェビナー"))</f>
        <v/>
      </c>
      <c r="F43" s="42" t="str">
        <f aca="false">IF(COUNTIFS(日次入力!$A$4:$A$1500,"&gt;="&amp;DATE(2026,12,22),日次入力!$A$4:$A$1500,"&lt;="&amp;DATE(2026,12,28),日次入力!$C$4:$C$1500,"Metaウェビナー")=0,"",SUMIFS(日次入力!$G$4:$G$1500,日次入力!$A$4:$A$1500,"&gt;="&amp;DATE(2026,12,22),日次入力!$A$4:$A$1500,"&lt;="&amp;DATE(2026,12,28),日次入力!$C$4:$C$1500,"Metaウェビナー"))</f>
        <v/>
      </c>
      <c r="G43" s="15" t="str">
        <f aca="false">IFERROR(E43/D43,"")</f>
        <v/>
      </c>
      <c r="H43" s="37" t="str">
        <f aca="false">IFERROR(C43/E43,"")</f>
        <v/>
      </c>
      <c r="I43" s="37" t="str">
        <f aca="false">IFERROR(C43/D43*1000,"")</f>
        <v/>
      </c>
      <c r="J43" s="15" t="str">
        <f aca="false">IFERROR(F43/E43,"")</f>
        <v/>
      </c>
      <c r="K43" s="37" t="str">
        <f aca="false">IFERROR(C43/F43,"")</f>
        <v/>
      </c>
      <c r="L43" s="42" t="str">
        <f aca="false">IF(COUNTIFS(日次入力!$A$4:$A$1500,"&gt;="&amp;DATE(2026,12,22),日次入力!$A$4:$A$1500,"&lt;="&amp;DATE(2026,12,28),日次入力!$C$4:$C$1500,"Metaウェビナー")=0,"",SUMIFS(日次入力!$H$4:$H$1500,日次入力!$A$4:$A$1500,"&gt;="&amp;DATE(2026,12,22),日次入力!$A$4:$A$1500,"&lt;="&amp;DATE(2026,12,28),日次入力!$C$4:$C$1500,"Metaウェビナー"))</f>
        <v/>
      </c>
      <c r="M43" s="15" t="str">
        <f aca="false">IF(L43="","",IFERROR(L43/F43,""))</f>
        <v/>
      </c>
      <c r="N43" s="42" t="str">
        <f aca="false">IF(COUNTIFS(日次入力!$A$4:$A$1500,"&gt;="&amp;DATE(2026,12,22),日次入力!$A$4:$A$1500,"&lt;="&amp;DATE(2026,12,28),日次入力!$C$4:$C$1500,"Metaウェビナー")=0,"",SUMIFS(日次入力!$I$4:$I$1500,日次入力!$A$4:$A$1500,"&gt;="&amp;DATE(2026,12,22),日次入力!$A$4:$A$1500,"&lt;="&amp;DATE(2026,12,28),日次入力!$C$4:$C$1500,"Metaウェビナー"))</f>
        <v/>
      </c>
      <c r="O43" s="15" t="str">
        <f aca="false">IF(N43="","",IFERROR(N43/L43,""))</f>
        <v/>
      </c>
      <c r="P43" s="37" t="str">
        <f aca="false">IF(N43=0,"",IFERROR(C43/N43,""))</f>
        <v/>
      </c>
      <c r="Q43" s="38" t="str">
        <f aca="false">IF(N43=0,"",IFERROR(IF(C43/N43&lt;=用語集!$B$22,"◎ 許容内","✗ 超過"),"—"))</f>
        <v>—</v>
      </c>
      <c r="R43" s="39" t="str">
        <f aca="false">IFERROR(用語集!$B$22/P43,"")</f>
        <v/>
      </c>
    </row>
    <row r="44" customFormat="false" ht="15" hidden="false" customHeight="false" outlineLevel="0" collapsed="false">
      <c r="A44" s="34" t="s">
        <v>136</v>
      </c>
      <c r="B44" s="35" t="s">
        <v>137</v>
      </c>
      <c r="C44" s="41" t="str">
        <f aca="false">IF(COUNTIFS(日次入力!$A$4:$A$1500,"&gt;="&amp;DATE(2026,12,29),日次入力!$A$4:$A$1500,"&lt;="&amp;DATE(2027,1,4),日次入力!$C$4:$C$1500,"Metaウェビナー")=0,"",SUMIFS(日次入力!$D$4:$D$1500,日次入力!$A$4:$A$1500,"&gt;="&amp;DATE(2026,12,29),日次入力!$A$4:$A$1500,"&lt;="&amp;DATE(2027,1,4),日次入力!$C$4:$C$1500,"Metaウェビナー"))</f>
        <v/>
      </c>
      <c r="D44" s="42" t="str">
        <f aca="false">IF(COUNTIFS(日次入力!$A$4:$A$1500,"&gt;="&amp;DATE(2026,12,29),日次入力!$A$4:$A$1500,"&lt;="&amp;DATE(2027,1,4),日次入力!$C$4:$C$1500,"Metaウェビナー")=0,"",SUMIFS(日次入力!$E$4:$E$1500,日次入力!$A$4:$A$1500,"&gt;="&amp;DATE(2026,12,29),日次入力!$A$4:$A$1500,"&lt;="&amp;DATE(2027,1,4),日次入力!$C$4:$C$1500,"Metaウェビナー"))</f>
        <v/>
      </c>
      <c r="E44" s="42" t="str">
        <f aca="false">IF(COUNTIFS(日次入力!$A$4:$A$1500,"&gt;="&amp;DATE(2026,12,29),日次入力!$A$4:$A$1500,"&lt;="&amp;DATE(2027,1,4),日次入力!$C$4:$C$1500,"Metaウェビナー")=0,"",SUMIFS(日次入力!$F$4:$F$1500,日次入力!$A$4:$A$1500,"&gt;="&amp;DATE(2026,12,29),日次入力!$A$4:$A$1500,"&lt;="&amp;DATE(2027,1,4),日次入力!$C$4:$C$1500,"Metaウェビナー"))</f>
        <v/>
      </c>
      <c r="F44" s="42" t="str">
        <f aca="false">IF(COUNTIFS(日次入力!$A$4:$A$1500,"&gt;="&amp;DATE(2026,12,29),日次入力!$A$4:$A$1500,"&lt;="&amp;DATE(2027,1,4),日次入力!$C$4:$C$1500,"Metaウェビナー")=0,"",SUMIFS(日次入力!$G$4:$G$1500,日次入力!$A$4:$A$1500,"&gt;="&amp;DATE(2026,12,29),日次入力!$A$4:$A$1500,"&lt;="&amp;DATE(2027,1,4),日次入力!$C$4:$C$1500,"Metaウェビナー"))</f>
        <v/>
      </c>
      <c r="G44" s="15" t="str">
        <f aca="false">IFERROR(E44/D44,"")</f>
        <v/>
      </c>
      <c r="H44" s="37" t="str">
        <f aca="false">IFERROR(C44/E44,"")</f>
        <v/>
      </c>
      <c r="I44" s="37" t="str">
        <f aca="false">IFERROR(C44/D44*1000,"")</f>
        <v/>
      </c>
      <c r="J44" s="15" t="str">
        <f aca="false">IFERROR(F44/E44,"")</f>
        <v/>
      </c>
      <c r="K44" s="37" t="str">
        <f aca="false">IFERROR(C44/F44,"")</f>
        <v/>
      </c>
      <c r="L44" s="42" t="str">
        <f aca="false">IF(COUNTIFS(日次入力!$A$4:$A$1500,"&gt;="&amp;DATE(2026,12,29),日次入力!$A$4:$A$1500,"&lt;="&amp;DATE(2027,1,4),日次入力!$C$4:$C$1500,"Metaウェビナー")=0,"",SUMIFS(日次入力!$H$4:$H$1500,日次入力!$A$4:$A$1500,"&gt;="&amp;DATE(2026,12,29),日次入力!$A$4:$A$1500,"&lt;="&amp;DATE(2027,1,4),日次入力!$C$4:$C$1500,"Metaウェビナー"))</f>
        <v/>
      </c>
      <c r="M44" s="15" t="str">
        <f aca="false">IF(L44="","",IFERROR(L44/F44,""))</f>
        <v/>
      </c>
      <c r="N44" s="42" t="str">
        <f aca="false">IF(COUNTIFS(日次入力!$A$4:$A$1500,"&gt;="&amp;DATE(2026,12,29),日次入力!$A$4:$A$1500,"&lt;="&amp;DATE(2027,1,4),日次入力!$C$4:$C$1500,"Metaウェビナー")=0,"",SUMIFS(日次入力!$I$4:$I$1500,日次入力!$A$4:$A$1500,"&gt;="&amp;DATE(2026,12,29),日次入力!$A$4:$A$1500,"&lt;="&amp;DATE(2027,1,4),日次入力!$C$4:$C$1500,"Metaウェビナー"))</f>
        <v/>
      </c>
      <c r="O44" s="15" t="str">
        <f aca="false">IF(N44="","",IFERROR(N44/L44,""))</f>
        <v/>
      </c>
      <c r="P44" s="37" t="str">
        <f aca="false">IF(N44=0,"",IFERROR(C44/N44,""))</f>
        <v/>
      </c>
      <c r="Q44" s="38" t="str">
        <f aca="false">IF(N44=0,"",IFERROR(IF(C44/N44&lt;=用語集!$B$22,"◎ 許容内","✗ 超過"),"—"))</f>
        <v>—</v>
      </c>
      <c r="R44" s="39" t="str">
        <f aca="false">IFERROR(用語集!$B$22/P44,"")</f>
        <v/>
      </c>
    </row>
    <row r="45" customFormat="false" ht="15" hidden="false" customHeight="false" outlineLevel="0" collapsed="false">
      <c r="A45" s="34" t="s">
        <v>138</v>
      </c>
      <c r="B45" s="35" t="s">
        <v>139</v>
      </c>
      <c r="C45" s="41" t="str">
        <f aca="false">IF(COUNTIFS(日次入力!$A$4:$A$1500,"&gt;="&amp;DATE(2027,1,5),日次入力!$A$4:$A$1500,"&lt;="&amp;DATE(2027,1,11),日次入力!$C$4:$C$1500,"Metaウェビナー")=0,"",SUMIFS(日次入力!$D$4:$D$1500,日次入力!$A$4:$A$1500,"&gt;="&amp;DATE(2027,1,5),日次入力!$A$4:$A$1500,"&lt;="&amp;DATE(2027,1,11),日次入力!$C$4:$C$1500,"Metaウェビナー"))</f>
        <v/>
      </c>
      <c r="D45" s="42" t="str">
        <f aca="false">IF(COUNTIFS(日次入力!$A$4:$A$1500,"&gt;="&amp;DATE(2027,1,5),日次入力!$A$4:$A$1500,"&lt;="&amp;DATE(2027,1,11),日次入力!$C$4:$C$1500,"Metaウェビナー")=0,"",SUMIFS(日次入力!$E$4:$E$1500,日次入力!$A$4:$A$1500,"&gt;="&amp;DATE(2027,1,5),日次入力!$A$4:$A$1500,"&lt;="&amp;DATE(2027,1,11),日次入力!$C$4:$C$1500,"Metaウェビナー"))</f>
        <v/>
      </c>
      <c r="E45" s="42" t="str">
        <f aca="false">IF(COUNTIFS(日次入力!$A$4:$A$1500,"&gt;="&amp;DATE(2027,1,5),日次入力!$A$4:$A$1500,"&lt;="&amp;DATE(2027,1,11),日次入力!$C$4:$C$1500,"Metaウェビナー")=0,"",SUMIFS(日次入力!$F$4:$F$1500,日次入力!$A$4:$A$1500,"&gt;="&amp;DATE(2027,1,5),日次入力!$A$4:$A$1500,"&lt;="&amp;DATE(2027,1,11),日次入力!$C$4:$C$1500,"Metaウェビナー"))</f>
        <v/>
      </c>
      <c r="F45" s="42" t="str">
        <f aca="false">IF(COUNTIFS(日次入力!$A$4:$A$1500,"&gt;="&amp;DATE(2027,1,5),日次入力!$A$4:$A$1500,"&lt;="&amp;DATE(2027,1,11),日次入力!$C$4:$C$1500,"Metaウェビナー")=0,"",SUMIFS(日次入力!$G$4:$G$1500,日次入力!$A$4:$A$1500,"&gt;="&amp;DATE(2027,1,5),日次入力!$A$4:$A$1500,"&lt;="&amp;DATE(2027,1,11),日次入力!$C$4:$C$1500,"Metaウェビナー"))</f>
        <v/>
      </c>
      <c r="G45" s="15" t="str">
        <f aca="false">IFERROR(E45/D45,"")</f>
        <v/>
      </c>
      <c r="H45" s="37" t="str">
        <f aca="false">IFERROR(C45/E45,"")</f>
        <v/>
      </c>
      <c r="I45" s="37" t="str">
        <f aca="false">IFERROR(C45/D45*1000,"")</f>
        <v/>
      </c>
      <c r="J45" s="15" t="str">
        <f aca="false">IFERROR(F45/E45,"")</f>
        <v/>
      </c>
      <c r="K45" s="37" t="str">
        <f aca="false">IFERROR(C45/F45,"")</f>
        <v/>
      </c>
      <c r="L45" s="42" t="str">
        <f aca="false">IF(COUNTIFS(日次入力!$A$4:$A$1500,"&gt;="&amp;DATE(2027,1,5),日次入力!$A$4:$A$1500,"&lt;="&amp;DATE(2027,1,11),日次入力!$C$4:$C$1500,"Metaウェビナー")=0,"",SUMIFS(日次入力!$H$4:$H$1500,日次入力!$A$4:$A$1500,"&gt;="&amp;DATE(2027,1,5),日次入力!$A$4:$A$1500,"&lt;="&amp;DATE(2027,1,11),日次入力!$C$4:$C$1500,"Metaウェビナー"))</f>
        <v/>
      </c>
      <c r="M45" s="15" t="str">
        <f aca="false">IF(L45="","",IFERROR(L45/F45,""))</f>
        <v/>
      </c>
      <c r="N45" s="42" t="str">
        <f aca="false">IF(COUNTIFS(日次入力!$A$4:$A$1500,"&gt;="&amp;DATE(2027,1,5),日次入力!$A$4:$A$1500,"&lt;="&amp;DATE(2027,1,11),日次入力!$C$4:$C$1500,"Metaウェビナー")=0,"",SUMIFS(日次入力!$I$4:$I$1500,日次入力!$A$4:$A$1500,"&gt;="&amp;DATE(2027,1,5),日次入力!$A$4:$A$1500,"&lt;="&amp;DATE(2027,1,11),日次入力!$C$4:$C$1500,"Metaウェビナー"))</f>
        <v/>
      </c>
      <c r="O45" s="15" t="str">
        <f aca="false">IF(N45="","",IFERROR(N45/L45,""))</f>
        <v/>
      </c>
      <c r="P45" s="37" t="str">
        <f aca="false">IF(N45=0,"",IFERROR(C45/N45,""))</f>
        <v/>
      </c>
      <c r="Q45" s="38" t="str">
        <f aca="false">IF(N45=0,"",IFERROR(IF(C45/N45&lt;=用語集!$B$22,"◎ 許容内","✗ 超過"),"—"))</f>
        <v>—</v>
      </c>
      <c r="R45" s="39" t="str">
        <f aca="false">IFERROR(用語集!$B$22/P45,"")</f>
        <v/>
      </c>
    </row>
    <row r="46" customFormat="false" ht="15" hidden="false" customHeight="false" outlineLevel="0" collapsed="false">
      <c r="A46" s="34" t="s">
        <v>140</v>
      </c>
      <c r="B46" s="35" t="s">
        <v>141</v>
      </c>
      <c r="C46" s="41" t="str">
        <f aca="false">IF(COUNTIFS(日次入力!$A$4:$A$1500,"&gt;="&amp;DATE(2027,1,12),日次入力!$A$4:$A$1500,"&lt;="&amp;DATE(2027,1,18),日次入力!$C$4:$C$1500,"Metaウェビナー")=0,"",SUMIFS(日次入力!$D$4:$D$1500,日次入力!$A$4:$A$1500,"&gt;="&amp;DATE(2027,1,12),日次入力!$A$4:$A$1500,"&lt;="&amp;DATE(2027,1,18),日次入力!$C$4:$C$1500,"Metaウェビナー"))</f>
        <v/>
      </c>
      <c r="D46" s="42" t="str">
        <f aca="false">IF(COUNTIFS(日次入力!$A$4:$A$1500,"&gt;="&amp;DATE(2027,1,12),日次入力!$A$4:$A$1500,"&lt;="&amp;DATE(2027,1,18),日次入力!$C$4:$C$1500,"Metaウェビナー")=0,"",SUMIFS(日次入力!$E$4:$E$1500,日次入力!$A$4:$A$1500,"&gt;="&amp;DATE(2027,1,12),日次入力!$A$4:$A$1500,"&lt;="&amp;DATE(2027,1,18),日次入力!$C$4:$C$1500,"Metaウェビナー"))</f>
        <v/>
      </c>
      <c r="E46" s="42" t="str">
        <f aca="false">IF(COUNTIFS(日次入力!$A$4:$A$1500,"&gt;="&amp;DATE(2027,1,12),日次入力!$A$4:$A$1500,"&lt;="&amp;DATE(2027,1,18),日次入力!$C$4:$C$1500,"Metaウェビナー")=0,"",SUMIFS(日次入力!$F$4:$F$1500,日次入力!$A$4:$A$1500,"&gt;="&amp;DATE(2027,1,12),日次入力!$A$4:$A$1500,"&lt;="&amp;DATE(2027,1,18),日次入力!$C$4:$C$1500,"Metaウェビナー"))</f>
        <v/>
      </c>
      <c r="F46" s="42" t="str">
        <f aca="false">IF(COUNTIFS(日次入力!$A$4:$A$1500,"&gt;="&amp;DATE(2027,1,12),日次入力!$A$4:$A$1500,"&lt;="&amp;DATE(2027,1,18),日次入力!$C$4:$C$1500,"Metaウェビナー")=0,"",SUMIFS(日次入力!$G$4:$G$1500,日次入力!$A$4:$A$1500,"&gt;="&amp;DATE(2027,1,12),日次入力!$A$4:$A$1500,"&lt;="&amp;DATE(2027,1,18),日次入力!$C$4:$C$1500,"Metaウェビナー"))</f>
        <v/>
      </c>
      <c r="G46" s="15" t="str">
        <f aca="false">IFERROR(E46/D46,"")</f>
        <v/>
      </c>
      <c r="H46" s="37" t="str">
        <f aca="false">IFERROR(C46/E46,"")</f>
        <v/>
      </c>
      <c r="I46" s="37" t="str">
        <f aca="false">IFERROR(C46/D46*1000,"")</f>
        <v/>
      </c>
      <c r="J46" s="15" t="str">
        <f aca="false">IFERROR(F46/E46,"")</f>
        <v/>
      </c>
      <c r="K46" s="37" t="str">
        <f aca="false">IFERROR(C46/F46,"")</f>
        <v/>
      </c>
      <c r="L46" s="42" t="str">
        <f aca="false">IF(COUNTIFS(日次入力!$A$4:$A$1500,"&gt;="&amp;DATE(2027,1,12),日次入力!$A$4:$A$1500,"&lt;="&amp;DATE(2027,1,18),日次入力!$C$4:$C$1500,"Metaウェビナー")=0,"",SUMIFS(日次入力!$H$4:$H$1500,日次入力!$A$4:$A$1500,"&gt;="&amp;DATE(2027,1,12),日次入力!$A$4:$A$1500,"&lt;="&amp;DATE(2027,1,18),日次入力!$C$4:$C$1500,"Metaウェビナー"))</f>
        <v/>
      </c>
      <c r="M46" s="15" t="str">
        <f aca="false">IF(L46="","",IFERROR(L46/F46,""))</f>
        <v/>
      </c>
      <c r="N46" s="42" t="str">
        <f aca="false">IF(COUNTIFS(日次入力!$A$4:$A$1500,"&gt;="&amp;DATE(2027,1,12),日次入力!$A$4:$A$1500,"&lt;="&amp;DATE(2027,1,18),日次入力!$C$4:$C$1500,"Metaウェビナー")=0,"",SUMIFS(日次入力!$I$4:$I$1500,日次入力!$A$4:$A$1500,"&gt;="&amp;DATE(2027,1,12),日次入力!$A$4:$A$1500,"&lt;="&amp;DATE(2027,1,18),日次入力!$C$4:$C$1500,"Metaウェビナー"))</f>
        <v/>
      </c>
      <c r="O46" s="15" t="str">
        <f aca="false">IF(N46="","",IFERROR(N46/L46,""))</f>
        <v/>
      </c>
      <c r="P46" s="37" t="str">
        <f aca="false">IF(N46=0,"",IFERROR(C46/N46,""))</f>
        <v/>
      </c>
      <c r="Q46" s="38" t="str">
        <f aca="false">IF(N46=0,"",IFERROR(IF(C46/N46&lt;=用語集!$B$22,"◎ 許容内","✗ 超過"),"—"))</f>
        <v>—</v>
      </c>
      <c r="R46" s="39" t="str">
        <f aca="false">IFERROR(用語集!$B$22/P46,"")</f>
        <v/>
      </c>
    </row>
    <row r="47" customFormat="false" ht="15" hidden="false" customHeight="false" outlineLevel="0" collapsed="false">
      <c r="A47" s="34" t="s">
        <v>142</v>
      </c>
      <c r="B47" s="35" t="s">
        <v>143</v>
      </c>
      <c r="C47" s="41" t="str">
        <f aca="false">IF(COUNTIFS(日次入力!$A$4:$A$1500,"&gt;="&amp;DATE(2027,1,19),日次入力!$A$4:$A$1500,"&lt;="&amp;DATE(2027,1,25),日次入力!$C$4:$C$1500,"Metaウェビナー")=0,"",SUMIFS(日次入力!$D$4:$D$1500,日次入力!$A$4:$A$1500,"&gt;="&amp;DATE(2027,1,19),日次入力!$A$4:$A$1500,"&lt;="&amp;DATE(2027,1,25),日次入力!$C$4:$C$1500,"Metaウェビナー"))</f>
        <v/>
      </c>
      <c r="D47" s="42" t="str">
        <f aca="false">IF(COUNTIFS(日次入力!$A$4:$A$1500,"&gt;="&amp;DATE(2027,1,19),日次入力!$A$4:$A$1500,"&lt;="&amp;DATE(2027,1,25),日次入力!$C$4:$C$1500,"Metaウェビナー")=0,"",SUMIFS(日次入力!$E$4:$E$1500,日次入力!$A$4:$A$1500,"&gt;="&amp;DATE(2027,1,19),日次入力!$A$4:$A$1500,"&lt;="&amp;DATE(2027,1,25),日次入力!$C$4:$C$1500,"Metaウェビナー"))</f>
        <v/>
      </c>
      <c r="E47" s="42" t="str">
        <f aca="false">IF(COUNTIFS(日次入力!$A$4:$A$1500,"&gt;="&amp;DATE(2027,1,19),日次入力!$A$4:$A$1500,"&lt;="&amp;DATE(2027,1,25),日次入力!$C$4:$C$1500,"Metaウェビナー")=0,"",SUMIFS(日次入力!$F$4:$F$1500,日次入力!$A$4:$A$1500,"&gt;="&amp;DATE(2027,1,19),日次入力!$A$4:$A$1500,"&lt;="&amp;DATE(2027,1,25),日次入力!$C$4:$C$1500,"Metaウェビナー"))</f>
        <v/>
      </c>
      <c r="F47" s="42" t="str">
        <f aca="false">IF(COUNTIFS(日次入力!$A$4:$A$1500,"&gt;="&amp;DATE(2027,1,19),日次入力!$A$4:$A$1500,"&lt;="&amp;DATE(2027,1,25),日次入力!$C$4:$C$1500,"Metaウェビナー")=0,"",SUMIFS(日次入力!$G$4:$G$1500,日次入力!$A$4:$A$1500,"&gt;="&amp;DATE(2027,1,19),日次入力!$A$4:$A$1500,"&lt;="&amp;DATE(2027,1,25),日次入力!$C$4:$C$1500,"Metaウェビナー"))</f>
        <v/>
      </c>
      <c r="G47" s="15" t="str">
        <f aca="false">IFERROR(E47/D47,"")</f>
        <v/>
      </c>
      <c r="H47" s="37" t="str">
        <f aca="false">IFERROR(C47/E47,"")</f>
        <v/>
      </c>
      <c r="I47" s="37" t="str">
        <f aca="false">IFERROR(C47/D47*1000,"")</f>
        <v/>
      </c>
      <c r="J47" s="15" t="str">
        <f aca="false">IFERROR(F47/E47,"")</f>
        <v/>
      </c>
      <c r="K47" s="37" t="str">
        <f aca="false">IFERROR(C47/F47,"")</f>
        <v/>
      </c>
      <c r="L47" s="42" t="str">
        <f aca="false">IF(COUNTIFS(日次入力!$A$4:$A$1500,"&gt;="&amp;DATE(2027,1,19),日次入力!$A$4:$A$1500,"&lt;="&amp;DATE(2027,1,25),日次入力!$C$4:$C$1500,"Metaウェビナー")=0,"",SUMIFS(日次入力!$H$4:$H$1500,日次入力!$A$4:$A$1500,"&gt;="&amp;DATE(2027,1,19),日次入力!$A$4:$A$1500,"&lt;="&amp;DATE(2027,1,25),日次入力!$C$4:$C$1500,"Metaウェビナー"))</f>
        <v/>
      </c>
      <c r="M47" s="15" t="str">
        <f aca="false">IF(L47="","",IFERROR(L47/F47,""))</f>
        <v/>
      </c>
      <c r="N47" s="42" t="str">
        <f aca="false">IF(COUNTIFS(日次入力!$A$4:$A$1500,"&gt;="&amp;DATE(2027,1,19),日次入力!$A$4:$A$1500,"&lt;="&amp;DATE(2027,1,25),日次入力!$C$4:$C$1500,"Metaウェビナー")=0,"",SUMIFS(日次入力!$I$4:$I$1500,日次入力!$A$4:$A$1500,"&gt;="&amp;DATE(2027,1,19),日次入力!$A$4:$A$1500,"&lt;="&amp;DATE(2027,1,25),日次入力!$C$4:$C$1500,"Metaウェビナー"))</f>
        <v/>
      </c>
      <c r="O47" s="15" t="str">
        <f aca="false">IF(N47="","",IFERROR(N47/L47,""))</f>
        <v/>
      </c>
      <c r="P47" s="37" t="str">
        <f aca="false">IF(N47=0,"",IFERROR(C47/N47,""))</f>
        <v/>
      </c>
      <c r="Q47" s="38" t="str">
        <f aca="false">IF(N47=0,"",IFERROR(IF(C47/N47&lt;=用語集!$B$22,"◎ 許容内","✗ 超過"),"—"))</f>
        <v>—</v>
      </c>
      <c r="R47" s="39" t="str">
        <f aca="false">IFERROR(用語集!$B$22/P47,"")</f>
        <v/>
      </c>
    </row>
    <row r="48" customFormat="false" ht="15" hidden="false" customHeight="false" outlineLevel="0" collapsed="false">
      <c r="A48" s="34" t="s">
        <v>144</v>
      </c>
      <c r="B48" s="35" t="s">
        <v>145</v>
      </c>
      <c r="C48" s="41" t="str">
        <f aca="false">IF(COUNTIFS(日次入力!$A$4:$A$1500,"&gt;="&amp;DATE(2027,1,26),日次入力!$A$4:$A$1500,"&lt;="&amp;DATE(2027,2,1),日次入力!$C$4:$C$1500,"Metaウェビナー")=0,"",SUMIFS(日次入力!$D$4:$D$1500,日次入力!$A$4:$A$1500,"&gt;="&amp;DATE(2027,1,26),日次入力!$A$4:$A$1500,"&lt;="&amp;DATE(2027,2,1),日次入力!$C$4:$C$1500,"Metaウェビナー"))</f>
        <v/>
      </c>
      <c r="D48" s="42" t="str">
        <f aca="false">IF(COUNTIFS(日次入力!$A$4:$A$1500,"&gt;="&amp;DATE(2027,1,26),日次入力!$A$4:$A$1500,"&lt;="&amp;DATE(2027,2,1),日次入力!$C$4:$C$1500,"Metaウェビナー")=0,"",SUMIFS(日次入力!$E$4:$E$1500,日次入力!$A$4:$A$1500,"&gt;="&amp;DATE(2027,1,26),日次入力!$A$4:$A$1500,"&lt;="&amp;DATE(2027,2,1),日次入力!$C$4:$C$1500,"Metaウェビナー"))</f>
        <v/>
      </c>
      <c r="E48" s="42" t="str">
        <f aca="false">IF(COUNTIFS(日次入力!$A$4:$A$1500,"&gt;="&amp;DATE(2027,1,26),日次入力!$A$4:$A$1500,"&lt;="&amp;DATE(2027,2,1),日次入力!$C$4:$C$1500,"Metaウェビナー")=0,"",SUMIFS(日次入力!$F$4:$F$1500,日次入力!$A$4:$A$1500,"&gt;="&amp;DATE(2027,1,26),日次入力!$A$4:$A$1500,"&lt;="&amp;DATE(2027,2,1),日次入力!$C$4:$C$1500,"Metaウェビナー"))</f>
        <v/>
      </c>
      <c r="F48" s="42" t="str">
        <f aca="false">IF(COUNTIFS(日次入力!$A$4:$A$1500,"&gt;="&amp;DATE(2027,1,26),日次入力!$A$4:$A$1500,"&lt;="&amp;DATE(2027,2,1),日次入力!$C$4:$C$1500,"Metaウェビナー")=0,"",SUMIFS(日次入力!$G$4:$G$1500,日次入力!$A$4:$A$1500,"&gt;="&amp;DATE(2027,1,26),日次入力!$A$4:$A$1500,"&lt;="&amp;DATE(2027,2,1),日次入力!$C$4:$C$1500,"Metaウェビナー"))</f>
        <v/>
      </c>
      <c r="G48" s="15" t="str">
        <f aca="false">IFERROR(E48/D48,"")</f>
        <v/>
      </c>
      <c r="H48" s="37" t="str">
        <f aca="false">IFERROR(C48/E48,"")</f>
        <v/>
      </c>
      <c r="I48" s="37" t="str">
        <f aca="false">IFERROR(C48/D48*1000,"")</f>
        <v/>
      </c>
      <c r="J48" s="15" t="str">
        <f aca="false">IFERROR(F48/E48,"")</f>
        <v/>
      </c>
      <c r="K48" s="37" t="str">
        <f aca="false">IFERROR(C48/F48,"")</f>
        <v/>
      </c>
      <c r="L48" s="42" t="str">
        <f aca="false">IF(COUNTIFS(日次入力!$A$4:$A$1500,"&gt;="&amp;DATE(2027,1,26),日次入力!$A$4:$A$1500,"&lt;="&amp;DATE(2027,2,1),日次入力!$C$4:$C$1500,"Metaウェビナー")=0,"",SUMIFS(日次入力!$H$4:$H$1500,日次入力!$A$4:$A$1500,"&gt;="&amp;DATE(2027,1,26),日次入力!$A$4:$A$1500,"&lt;="&amp;DATE(2027,2,1),日次入力!$C$4:$C$1500,"Metaウェビナー"))</f>
        <v/>
      </c>
      <c r="M48" s="15" t="str">
        <f aca="false">IF(L48="","",IFERROR(L48/F48,""))</f>
        <v/>
      </c>
      <c r="N48" s="42" t="str">
        <f aca="false">IF(COUNTIFS(日次入力!$A$4:$A$1500,"&gt;="&amp;DATE(2027,1,26),日次入力!$A$4:$A$1500,"&lt;="&amp;DATE(2027,2,1),日次入力!$C$4:$C$1500,"Metaウェビナー")=0,"",SUMIFS(日次入力!$I$4:$I$1500,日次入力!$A$4:$A$1500,"&gt;="&amp;DATE(2027,1,26),日次入力!$A$4:$A$1500,"&lt;="&amp;DATE(2027,2,1),日次入力!$C$4:$C$1500,"Metaウェビナー"))</f>
        <v/>
      </c>
      <c r="O48" s="15" t="str">
        <f aca="false">IF(N48="","",IFERROR(N48/L48,""))</f>
        <v/>
      </c>
      <c r="P48" s="37" t="str">
        <f aca="false">IF(N48=0,"",IFERROR(C48/N48,""))</f>
        <v/>
      </c>
      <c r="Q48" s="38" t="str">
        <f aca="false">IF(N48=0,"",IFERROR(IF(C48/N48&lt;=用語集!$B$22,"◎ 許容内","✗ 超過"),"—"))</f>
        <v>—</v>
      </c>
      <c r="R48" s="39" t="str">
        <f aca="false">IFERROR(用語集!$B$22/P48,"")</f>
        <v/>
      </c>
    </row>
    <row r="49" customFormat="false" ht="15" hidden="false" customHeight="false" outlineLevel="0" collapsed="false">
      <c r="A49" s="34" t="s">
        <v>146</v>
      </c>
      <c r="B49" s="35" t="s">
        <v>147</v>
      </c>
      <c r="C49" s="41" t="str">
        <f aca="false">IF(COUNTIFS(日次入力!$A$4:$A$1500,"&gt;="&amp;DATE(2027,2,2),日次入力!$A$4:$A$1500,"&lt;="&amp;DATE(2027,2,8),日次入力!$C$4:$C$1500,"Metaウェビナー")=0,"",SUMIFS(日次入力!$D$4:$D$1500,日次入力!$A$4:$A$1500,"&gt;="&amp;DATE(2027,2,2),日次入力!$A$4:$A$1500,"&lt;="&amp;DATE(2027,2,8),日次入力!$C$4:$C$1500,"Metaウェビナー"))</f>
        <v/>
      </c>
      <c r="D49" s="42" t="str">
        <f aca="false">IF(COUNTIFS(日次入力!$A$4:$A$1500,"&gt;="&amp;DATE(2027,2,2),日次入力!$A$4:$A$1500,"&lt;="&amp;DATE(2027,2,8),日次入力!$C$4:$C$1500,"Metaウェビナー")=0,"",SUMIFS(日次入力!$E$4:$E$1500,日次入力!$A$4:$A$1500,"&gt;="&amp;DATE(2027,2,2),日次入力!$A$4:$A$1500,"&lt;="&amp;DATE(2027,2,8),日次入力!$C$4:$C$1500,"Metaウェビナー"))</f>
        <v/>
      </c>
      <c r="E49" s="42" t="str">
        <f aca="false">IF(COUNTIFS(日次入力!$A$4:$A$1500,"&gt;="&amp;DATE(2027,2,2),日次入力!$A$4:$A$1500,"&lt;="&amp;DATE(2027,2,8),日次入力!$C$4:$C$1500,"Metaウェビナー")=0,"",SUMIFS(日次入力!$F$4:$F$1500,日次入力!$A$4:$A$1500,"&gt;="&amp;DATE(2027,2,2),日次入力!$A$4:$A$1500,"&lt;="&amp;DATE(2027,2,8),日次入力!$C$4:$C$1500,"Metaウェビナー"))</f>
        <v/>
      </c>
      <c r="F49" s="42" t="str">
        <f aca="false">IF(COUNTIFS(日次入力!$A$4:$A$1500,"&gt;="&amp;DATE(2027,2,2),日次入力!$A$4:$A$1500,"&lt;="&amp;DATE(2027,2,8),日次入力!$C$4:$C$1500,"Metaウェビナー")=0,"",SUMIFS(日次入力!$G$4:$G$1500,日次入力!$A$4:$A$1500,"&gt;="&amp;DATE(2027,2,2),日次入力!$A$4:$A$1500,"&lt;="&amp;DATE(2027,2,8),日次入力!$C$4:$C$1500,"Metaウェビナー"))</f>
        <v/>
      </c>
      <c r="G49" s="15" t="str">
        <f aca="false">IFERROR(E49/D49,"")</f>
        <v/>
      </c>
      <c r="H49" s="37" t="str">
        <f aca="false">IFERROR(C49/E49,"")</f>
        <v/>
      </c>
      <c r="I49" s="37" t="str">
        <f aca="false">IFERROR(C49/D49*1000,"")</f>
        <v/>
      </c>
      <c r="J49" s="15" t="str">
        <f aca="false">IFERROR(F49/E49,"")</f>
        <v/>
      </c>
      <c r="K49" s="37" t="str">
        <f aca="false">IFERROR(C49/F49,"")</f>
        <v/>
      </c>
      <c r="L49" s="42" t="str">
        <f aca="false">IF(COUNTIFS(日次入力!$A$4:$A$1500,"&gt;="&amp;DATE(2027,2,2),日次入力!$A$4:$A$1500,"&lt;="&amp;DATE(2027,2,8),日次入力!$C$4:$C$1500,"Metaウェビナー")=0,"",SUMIFS(日次入力!$H$4:$H$1500,日次入力!$A$4:$A$1500,"&gt;="&amp;DATE(2027,2,2),日次入力!$A$4:$A$1500,"&lt;="&amp;DATE(2027,2,8),日次入力!$C$4:$C$1500,"Metaウェビナー"))</f>
        <v/>
      </c>
      <c r="M49" s="15" t="str">
        <f aca="false">IF(L49="","",IFERROR(L49/F49,""))</f>
        <v/>
      </c>
      <c r="N49" s="42" t="str">
        <f aca="false">IF(COUNTIFS(日次入力!$A$4:$A$1500,"&gt;="&amp;DATE(2027,2,2),日次入力!$A$4:$A$1500,"&lt;="&amp;DATE(2027,2,8),日次入力!$C$4:$C$1500,"Metaウェビナー")=0,"",SUMIFS(日次入力!$I$4:$I$1500,日次入力!$A$4:$A$1500,"&gt;="&amp;DATE(2027,2,2),日次入力!$A$4:$A$1500,"&lt;="&amp;DATE(2027,2,8),日次入力!$C$4:$C$1500,"Metaウェビナー"))</f>
        <v/>
      </c>
      <c r="O49" s="15" t="str">
        <f aca="false">IF(N49="","",IFERROR(N49/L49,""))</f>
        <v/>
      </c>
      <c r="P49" s="37" t="str">
        <f aca="false">IF(N49=0,"",IFERROR(C49/N49,""))</f>
        <v/>
      </c>
      <c r="Q49" s="38" t="str">
        <f aca="false">IF(N49=0,"",IFERROR(IF(C49/N49&lt;=用語集!$B$22,"◎ 許容内","✗ 超過"),"—"))</f>
        <v>—</v>
      </c>
      <c r="R49" s="39" t="str">
        <f aca="false">IFERROR(用語集!$B$22/P49,"")</f>
        <v/>
      </c>
    </row>
    <row r="50" customFormat="false" ht="15" hidden="false" customHeight="false" outlineLevel="0" collapsed="false">
      <c r="A50" s="34" t="s">
        <v>148</v>
      </c>
      <c r="B50" s="35" t="s">
        <v>149</v>
      </c>
      <c r="C50" s="41" t="str">
        <f aca="false">IF(COUNTIFS(日次入力!$A$4:$A$1500,"&gt;="&amp;DATE(2027,2,9),日次入力!$A$4:$A$1500,"&lt;="&amp;DATE(2027,2,15),日次入力!$C$4:$C$1500,"Metaウェビナー")=0,"",SUMIFS(日次入力!$D$4:$D$1500,日次入力!$A$4:$A$1500,"&gt;="&amp;DATE(2027,2,9),日次入力!$A$4:$A$1500,"&lt;="&amp;DATE(2027,2,15),日次入力!$C$4:$C$1500,"Metaウェビナー"))</f>
        <v/>
      </c>
      <c r="D50" s="42" t="str">
        <f aca="false">IF(COUNTIFS(日次入力!$A$4:$A$1500,"&gt;="&amp;DATE(2027,2,9),日次入力!$A$4:$A$1500,"&lt;="&amp;DATE(2027,2,15),日次入力!$C$4:$C$1500,"Metaウェビナー")=0,"",SUMIFS(日次入力!$E$4:$E$1500,日次入力!$A$4:$A$1500,"&gt;="&amp;DATE(2027,2,9),日次入力!$A$4:$A$1500,"&lt;="&amp;DATE(2027,2,15),日次入力!$C$4:$C$1500,"Metaウェビナー"))</f>
        <v/>
      </c>
      <c r="E50" s="42" t="str">
        <f aca="false">IF(COUNTIFS(日次入力!$A$4:$A$1500,"&gt;="&amp;DATE(2027,2,9),日次入力!$A$4:$A$1500,"&lt;="&amp;DATE(2027,2,15),日次入力!$C$4:$C$1500,"Metaウェビナー")=0,"",SUMIFS(日次入力!$F$4:$F$1500,日次入力!$A$4:$A$1500,"&gt;="&amp;DATE(2027,2,9),日次入力!$A$4:$A$1500,"&lt;="&amp;DATE(2027,2,15),日次入力!$C$4:$C$1500,"Metaウェビナー"))</f>
        <v/>
      </c>
      <c r="F50" s="42" t="str">
        <f aca="false">IF(COUNTIFS(日次入力!$A$4:$A$1500,"&gt;="&amp;DATE(2027,2,9),日次入力!$A$4:$A$1500,"&lt;="&amp;DATE(2027,2,15),日次入力!$C$4:$C$1500,"Metaウェビナー")=0,"",SUMIFS(日次入力!$G$4:$G$1500,日次入力!$A$4:$A$1500,"&gt;="&amp;DATE(2027,2,9),日次入力!$A$4:$A$1500,"&lt;="&amp;DATE(2027,2,15),日次入力!$C$4:$C$1500,"Metaウェビナー"))</f>
        <v/>
      </c>
      <c r="G50" s="15" t="str">
        <f aca="false">IFERROR(E50/D50,"")</f>
        <v/>
      </c>
      <c r="H50" s="37" t="str">
        <f aca="false">IFERROR(C50/E50,"")</f>
        <v/>
      </c>
      <c r="I50" s="37" t="str">
        <f aca="false">IFERROR(C50/D50*1000,"")</f>
        <v/>
      </c>
      <c r="J50" s="15" t="str">
        <f aca="false">IFERROR(F50/E50,"")</f>
        <v/>
      </c>
      <c r="K50" s="37" t="str">
        <f aca="false">IFERROR(C50/F50,"")</f>
        <v/>
      </c>
      <c r="L50" s="42" t="str">
        <f aca="false">IF(COUNTIFS(日次入力!$A$4:$A$1500,"&gt;="&amp;DATE(2027,2,9),日次入力!$A$4:$A$1500,"&lt;="&amp;DATE(2027,2,15),日次入力!$C$4:$C$1500,"Metaウェビナー")=0,"",SUMIFS(日次入力!$H$4:$H$1500,日次入力!$A$4:$A$1500,"&gt;="&amp;DATE(2027,2,9),日次入力!$A$4:$A$1500,"&lt;="&amp;DATE(2027,2,15),日次入力!$C$4:$C$1500,"Metaウェビナー"))</f>
        <v/>
      </c>
      <c r="M50" s="15" t="str">
        <f aca="false">IF(L50="","",IFERROR(L50/F50,""))</f>
        <v/>
      </c>
      <c r="N50" s="42" t="str">
        <f aca="false">IF(COUNTIFS(日次入力!$A$4:$A$1500,"&gt;="&amp;DATE(2027,2,9),日次入力!$A$4:$A$1500,"&lt;="&amp;DATE(2027,2,15),日次入力!$C$4:$C$1500,"Metaウェビナー")=0,"",SUMIFS(日次入力!$I$4:$I$1500,日次入力!$A$4:$A$1500,"&gt;="&amp;DATE(2027,2,9),日次入力!$A$4:$A$1500,"&lt;="&amp;DATE(2027,2,15),日次入力!$C$4:$C$1500,"Metaウェビナー"))</f>
        <v/>
      </c>
      <c r="O50" s="15" t="str">
        <f aca="false">IF(N50="","",IFERROR(N50/L50,""))</f>
        <v/>
      </c>
      <c r="P50" s="37" t="str">
        <f aca="false">IF(N50=0,"",IFERROR(C50/N50,""))</f>
        <v/>
      </c>
      <c r="Q50" s="38" t="str">
        <f aca="false">IF(N50=0,"",IFERROR(IF(C50/N50&lt;=用語集!$B$22,"◎ 許容内","✗ 超過"),"—"))</f>
        <v>—</v>
      </c>
      <c r="R50" s="39" t="str">
        <f aca="false">IFERROR(用語集!$B$22/P50,"")</f>
        <v/>
      </c>
    </row>
    <row r="51" customFormat="false" ht="15" hidden="false" customHeight="false" outlineLevel="0" collapsed="false">
      <c r="A51" s="34" t="s">
        <v>150</v>
      </c>
      <c r="B51" s="35" t="s">
        <v>151</v>
      </c>
      <c r="C51" s="41" t="str">
        <f aca="false">IF(COUNTIFS(日次入力!$A$4:$A$1500,"&gt;="&amp;DATE(2027,2,16),日次入力!$A$4:$A$1500,"&lt;="&amp;DATE(2027,2,22),日次入力!$C$4:$C$1500,"Metaウェビナー")=0,"",SUMIFS(日次入力!$D$4:$D$1500,日次入力!$A$4:$A$1500,"&gt;="&amp;DATE(2027,2,16),日次入力!$A$4:$A$1500,"&lt;="&amp;DATE(2027,2,22),日次入力!$C$4:$C$1500,"Metaウェビナー"))</f>
        <v/>
      </c>
      <c r="D51" s="42" t="str">
        <f aca="false">IF(COUNTIFS(日次入力!$A$4:$A$1500,"&gt;="&amp;DATE(2027,2,16),日次入力!$A$4:$A$1500,"&lt;="&amp;DATE(2027,2,22),日次入力!$C$4:$C$1500,"Metaウェビナー")=0,"",SUMIFS(日次入力!$E$4:$E$1500,日次入力!$A$4:$A$1500,"&gt;="&amp;DATE(2027,2,16),日次入力!$A$4:$A$1500,"&lt;="&amp;DATE(2027,2,22),日次入力!$C$4:$C$1500,"Metaウェビナー"))</f>
        <v/>
      </c>
      <c r="E51" s="42" t="str">
        <f aca="false">IF(COUNTIFS(日次入力!$A$4:$A$1500,"&gt;="&amp;DATE(2027,2,16),日次入力!$A$4:$A$1500,"&lt;="&amp;DATE(2027,2,22),日次入力!$C$4:$C$1500,"Metaウェビナー")=0,"",SUMIFS(日次入力!$F$4:$F$1500,日次入力!$A$4:$A$1500,"&gt;="&amp;DATE(2027,2,16),日次入力!$A$4:$A$1500,"&lt;="&amp;DATE(2027,2,22),日次入力!$C$4:$C$1500,"Metaウェビナー"))</f>
        <v/>
      </c>
      <c r="F51" s="42" t="str">
        <f aca="false">IF(COUNTIFS(日次入力!$A$4:$A$1500,"&gt;="&amp;DATE(2027,2,16),日次入力!$A$4:$A$1500,"&lt;="&amp;DATE(2027,2,22),日次入力!$C$4:$C$1500,"Metaウェビナー")=0,"",SUMIFS(日次入力!$G$4:$G$1500,日次入力!$A$4:$A$1500,"&gt;="&amp;DATE(2027,2,16),日次入力!$A$4:$A$1500,"&lt;="&amp;DATE(2027,2,22),日次入力!$C$4:$C$1500,"Metaウェビナー"))</f>
        <v/>
      </c>
      <c r="G51" s="15" t="str">
        <f aca="false">IFERROR(E51/D51,"")</f>
        <v/>
      </c>
      <c r="H51" s="37" t="str">
        <f aca="false">IFERROR(C51/E51,"")</f>
        <v/>
      </c>
      <c r="I51" s="37" t="str">
        <f aca="false">IFERROR(C51/D51*1000,"")</f>
        <v/>
      </c>
      <c r="J51" s="15" t="str">
        <f aca="false">IFERROR(F51/E51,"")</f>
        <v/>
      </c>
      <c r="K51" s="37" t="str">
        <f aca="false">IFERROR(C51/F51,"")</f>
        <v/>
      </c>
      <c r="L51" s="42" t="str">
        <f aca="false">IF(COUNTIFS(日次入力!$A$4:$A$1500,"&gt;="&amp;DATE(2027,2,16),日次入力!$A$4:$A$1500,"&lt;="&amp;DATE(2027,2,22),日次入力!$C$4:$C$1500,"Metaウェビナー")=0,"",SUMIFS(日次入力!$H$4:$H$1500,日次入力!$A$4:$A$1500,"&gt;="&amp;DATE(2027,2,16),日次入力!$A$4:$A$1500,"&lt;="&amp;DATE(2027,2,22),日次入力!$C$4:$C$1500,"Metaウェビナー"))</f>
        <v/>
      </c>
      <c r="M51" s="15" t="str">
        <f aca="false">IF(L51="","",IFERROR(L51/F51,""))</f>
        <v/>
      </c>
      <c r="N51" s="42" t="str">
        <f aca="false">IF(COUNTIFS(日次入力!$A$4:$A$1500,"&gt;="&amp;DATE(2027,2,16),日次入力!$A$4:$A$1500,"&lt;="&amp;DATE(2027,2,22),日次入力!$C$4:$C$1500,"Metaウェビナー")=0,"",SUMIFS(日次入力!$I$4:$I$1500,日次入力!$A$4:$A$1500,"&gt;="&amp;DATE(2027,2,16),日次入力!$A$4:$A$1500,"&lt;="&amp;DATE(2027,2,22),日次入力!$C$4:$C$1500,"Metaウェビナー"))</f>
        <v/>
      </c>
      <c r="O51" s="15" t="str">
        <f aca="false">IF(N51="","",IFERROR(N51/L51,""))</f>
        <v/>
      </c>
      <c r="P51" s="37" t="str">
        <f aca="false">IF(N51=0,"",IFERROR(C51/N51,""))</f>
        <v/>
      </c>
      <c r="Q51" s="38" t="str">
        <f aca="false">IF(N51=0,"",IFERROR(IF(C51/N51&lt;=用語集!$B$22,"◎ 許容内","✗ 超過"),"—"))</f>
        <v>—</v>
      </c>
      <c r="R51" s="39" t="str">
        <f aca="false">IFERROR(用語集!$B$22/P51,"")</f>
        <v/>
      </c>
    </row>
    <row r="52" customFormat="false" ht="15" hidden="false" customHeight="false" outlineLevel="0" collapsed="false">
      <c r="A52" s="34" t="s">
        <v>152</v>
      </c>
      <c r="B52" s="35" t="s">
        <v>153</v>
      </c>
      <c r="C52" s="41" t="str">
        <f aca="false">IF(COUNTIFS(日次入力!$A$4:$A$1500,"&gt;="&amp;DATE(2027,2,23),日次入力!$A$4:$A$1500,"&lt;="&amp;DATE(2027,3,1),日次入力!$C$4:$C$1500,"Metaウェビナー")=0,"",SUMIFS(日次入力!$D$4:$D$1500,日次入力!$A$4:$A$1500,"&gt;="&amp;DATE(2027,2,23),日次入力!$A$4:$A$1500,"&lt;="&amp;DATE(2027,3,1),日次入力!$C$4:$C$1500,"Metaウェビナー"))</f>
        <v/>
      </c>
      <c r="D52" s="42" t="str">
        <f aca="false">IF(COUNTIFS(日次入力!$A$4:$A$1500,"&gt;="&amp;DATE(2027,2,23),日次入力!$A$4:$A$1500,"&lt;="&amp;DATE(2027,3,1),日次入力!$C$4:$C$1500,"Metaウェビナー")=0,"",SUMIFS(日次入力!$E$4:$E$1500,日次入力!$A$4:$A$1500,"&gt;="&amp;DATE(2027,2,23),日次入力!$A$4:$A$1500,"&lt;="&amp;DATE(2027,3,1),日次入力!$C$4:$C$1500,"Metaウェビナー"))</f>
        <v/>
      </c>
      <c r="E52" s="42" t="str">
        <f aca="false">IF(COUNTIFS(日次入力!$A$4:$A$1500,"&gt;="&amp;DATE(2027,2,23),日次入力!$A$4:$A$1500,"&lt;="&amp;DATE(2027,3,1),日次入力!$C$4:$C$1500,"Metaウェビナー")=0,"",SUMIFS(日次入力!$F$4:$F$1500,日次入力!$A$4:$A$1500,"&gt;="&amp;DATE(2027,2,23),日次入力!$A$4:$A$1500,"&lt;="&amp;DATE(2027,3,1),日次入力!$C$4:$C$1500,"Metaウェビナー"))</f>
        <v/>
      </c>
      <c r="F52" s="42" t="str">
        <f aca="false">IF(COUNTIFS(日次入力!$A$4:$A$1500,"&gt;="&amp;DATE(2027,2,23),日次入力!$A$4:$A$1500,"&lt;="&amp;DATE(2027,3,1),日次入力!$C$4:$C$1500,"Metaウェビナー")=0,"",SUMIFS(日次入力!$G$4:$G$1500,日次入力!$A$4:$A$1500,"&gt;="&amp;DATE(2027,2,23),日次入力!$A$4:$A$1500,"&lt;="&amp;DATE(2027,3,1),日次入力!$C$4:$C$1500,"Metaウェビナー"))</f>
        <v/>
      </c>
      <c r="G52" s="15" t="str">
        <f aca="false">IFERROR(E52/D52,"")</f>
        <v/>
      </c>
      <c r="H52" s="37" t="str">
        <f aca="false">IFERROR(C52/E52,"")</f>
        <v/>
      </c>
      <c r="I52" s="37" t="str">
        <f aca="false">IFERROR(C52/D52*1000,"")</f>
        <v/>
      </c>
      <c r="J52" s="15" t="str">
        <f aca="false">IFERROR(F52/E52,"")</f>
        <v/>
      </c>
      <c r="K52" s="37" t="str">
        <f aca="false">IFERROR(C52/F52,"")</f>
        <v/>
      </c>
      <c r="L52" s="42" t="str">
        <f aca="false">IF(COUNTIFS(日次入力!$A$4:$A$1500,"&gt;="&amp;DATE(2027,2,23),日次入力!$A$4:$A$1500,"&lt;="&amp;DATE(2027,3,1),日次入力!$C$4:$C$1500,"Metaウェビナー")=0,"",SUMIFS(日次入力!$H$4:$H$1500,日次入力!$A$4:$A$1500,"&gt;="&amp;DATE(2027,2,23),日次入力!$A$4:$A$1500,"&lt;="&amp;DATE(2027,3,1),日次入力!$C$4:$C$1500,"Metaウェビナー"))</f>
        <v/>
      </c>
      <c r="M52" s="15" t="str">
        <f aca="false">IF(L52="","",IFERROR(L52/F52,""))</f>
        <v/>
      </c>
      <c r="N52" s="42" t="str">
        <f aca="false">IF(COUNTIFS(日次入力!$A$4:$A$1500,"&gt;="&amp;DATE(2027,2,23),日次入力!$A$4:$A$1500,"&lt;="&amp;DATE(2027,3,1),日次入力!$C$4:$C$1500,"Metaウェビナー")=0,"",SUMIFS(日次入力!$I$4:$I$1500,日次入力!$A$4:$A$1500,"&gt;="&amp;DATE(2027,2,23),日次入力!$A$4:$A$1500,"&lt;="&amp;DATE(2027,3,1),日次入力!$C$4:$C$1500,"Metaウェビナー"))</f>
        <v/>
      </c>
      <c r="O52" s="15" t="str">
        <f aca="false">IF(N52="","",IFERROR(N52/L52,""))</f>
        <v/>
      </c>
      <c r="P52" s="37" t="str">
        <f aca="false">IF(N52=0,"",IFERROR(C52/N52,""))</f>
        <v/>
      </c>
      <c r="Q52" s="38" t="str">
        <f aca="false">IF(N52=0,"",IFERROR(IF(C52/N52&lt;=用語集!$B$22,"◎ 許容内","✗ 超過"),"—"))</f>
        <v>—</v>
      </c>
      <c r="R52" s="39" t="str">
        <f aca="false">IFERROR(用語集!$B$22/P52,"")</f>
        <v/>
      </c>
    </row>
    <row r="53" customFormat="false" ht="15" hidden="false" customHeight="false" outlineLevel="0" collapsed="false">
      <c r="A53" s="34" t="s">
        <v>154</v>
      </c>
      <c r="B53" s="35" t="s">
        <v>155</v>
      </c>
      <c r="C53" s="41" t="str">
        <f aca="false">IF(COUNTIFS(日次入力!$A$4:$A$1500,"&gt;="&amp;DATE(2027,3,2),日次入力!$A$4:$A$1500,"&lt;="&amp;DATE(2027,3,8),日次入力!$C$4:$C$1500,"Metaウェビナー")=0,"",SUMIFS(日次入力!$D$4:$D$1500,日次入力!$A$4:$A$1500,"&gt;="&amp;DATE(2027,3,2),日次入力!$A$4:$A$1500,"&lt;="&amp;DATE(2027,3,8),日次入力!$C$4:$C$1500,"Metaウェビナー"))</f>
        <v/>
      </c>
      <c r="D53" s="42" t="str">
        <f aca="false">IF(COUNTIFS(日次入力!$A$4:$A$1500,"&gt;="&amp;DATE(2027,3,2),日次入力!$A$4:$A$1500,"&lt;="&amp;DATE(2027,3,8),日次入力!$C$4:$C$1500,"Metaウェビナー")=0,"",SUMIFS(日次入力!$E$4:$E$1500,日次入力!$A$4:$A$1500,"&gt;="&amp;DATE(2027,3,2),日次入力!$A$4:$A$1500,"&lt;="&amp;DATE(2027,3,8),日次入力!$C$4:$C$1500,"Metaウェビナー"))</f>
        <v/>
      </c>
      <c r="E53" s="42" t="str">
        <f aca="false">IF(COUNTIFS(日次入力!$A$4:$A$1500,"&gt;="&amp;DATE(2027,3,2),日次入力!$A$4:$A$1500,"&lt;="&amp;DATE(2027,3,8),日次入力!$C$4:$C$1500,"Metaウェビナー")=0,"",SUMIFS(日次入力!$F$4:$F$1500,日次入力!$A$4:$A$1500,"&gt;="&amp;DATE(2027,3,2),日次入力!$A$4:$A$1500,"&lt;="&amp;DATE(2027,3,8),日次入力!$C$4:$C$1500,"Metaウェビナー"))</f>
        <v/>
      </c>
      <c r="F53" s="42" t="str">
        <f aca="false">IF(COUNTIFS(日次入力!$A$4:$A$1500,"&gt;="&amp;DATE(2027,3,2),日次入力!$A$4:$A$1500,"&lt;="&amp;DATE(2027,3,8),日次入力!$C$4:$C$1500,"Metaウェビナー")=0,"",SUMIFS(日次入力!$G$4:$G$1500,日次入力!$A$4:$A$1500,"&gt;="&amp;DATE(2027,3,2),日次入力!$A$4:$A$1500,"&lt;="&amp;DATE(2027,3,8),日次入力!$C$4:$C$1500,"Metaウェビナー"))</f>
        <v/>
      </c>
      <c r="G53" s="15" t="str">
        <f aca="false">IFERROR(E53/D53,"")</f>
        <v/>
      </c>
      <c r="H53" s="37" t="str">
        <f aca="false">IFERROR(C53/E53,"")</f>
        <v/>
      </c>
      <c r="I53" s="37" t="str">
        <f aca="false">IFERROR(C53/D53*1000,"")</f>
        <v/>
      </c>
      <c r="J53" s="15" t="str">
        <f aca="false">IFERROR(F53/E53,"")</f>
        <v/>
      </c>
      <c r="K53" s="37" t="str">
        <f aca="false">IFERROR(C53/F53,"")</f>
        <v/>
      </c>
      <c r="L53" s="42" t="str">
        <f aca="false">IF(COUNTIFS(日次入力!$A$4:$A$1500,"&gt;="&amp;DATE(2027,3,2),日次入力!$A$4:$A$1500,"&lt;="&amp;DATE(2027,3,8),日次入力!$C$4:$C$1500,"Metaウェビナー")=0,"",SUMIFS(日次入力!$H$4:$H$1500,日次入力!$A$4:$A$1500,"&gt;="&amp;DATE(2027,3,2),日次入力!$A$4:$A$1500,"&lt;="&amp;DATE(2027,3,8),日次入力!$C$4:$C$1500,"Metaウェビナー"))</f>
        <v/>
      </c>
      <c r="M53" s="15" t="str">
        <f aca="false">IF(L53="","",IFERROR(L53/F53,""))</f>
        <v/>
      </c>
      <c r="N53" s="42" t="str">
        <f aca="false">IF(COUNTIFS(日次入力!$A$4:$A$1500,"&gt;="&amp;DATE(2027,3,2),日次入力!$A$4:$A$1500,"&lt;="&amp;DATE(2027,3,8),日次入力!$C$4:$C$1500,"Metaウェビナー")=0,"",SUMIFS(日次入力!$I$4:$I$1500,日次入力!$A$4:$A$1500,"&gt;="&amp;DATE(2027,3,2),日次入力!$A$4:$A$1500,"&lt;="&amp;DATE(2027,3,8),日次入力!$C$4:$C$1500,"Metaウェビナー"))</f>
        <v/>
      </c>
      <c r="O53" s="15" t="str">
        <f aca="false">IF(N53="","",IFERROR(N53/L53,""))</f>
        <v/>
      </c>
      <c r="P53" s="37" t="str">
        <f aca="false">IF(N53=0,"",IFERROR(C53/N53,""))</f>
        <v/>
      </c>
      <c r="Q53" s="38" t="str">
        <f aca="false">IF(N53=0,"",IFERROR(IF(C53/N53&lt;=用語集!$B$22,"◎ 許容内","✗ 超過"),"—"))</f>
        <v>—</v>
      </c>
      <c r="R53" s="39" t="str">
        <f aca="false">IFERROR(用語集!$B$22/P53,"")</f>
        <v/>
      </c>
    </row>
    <row r="54" customFormat="false" ht="15" hidden="false" customHeight="false" outlineLevel="0" collapsed="false">
      <c r="A54" s="34" t="s">
        <v>156</v>
      </c>
      <c r="B54" s="35" t="s">
        <v>157</v>
      </c>
      <c r="C54" s="41" t="str">
        <f aca="false">IF(COUNTIFS(日次入力!$A$4:$A$1500,"&gt;="&amp;DATE(2027,3,9),日次入力!$A$4:$A$1500,"&lt;="&amp;DATE(2027,3,15),日次入力!$C$4:$C$1500,"Metaウェビナー")=0,"",SUMIFS(日次入力!$D$4:$D$1500,日次入力!$A$4:$A$1500,"&gt;="&amp;DATE(2027,3,9),日次入力!$A$4:$A$1500,"&lt;="&amp;DATE(2027,3,15),日次入力!$C$4:$C$1500,"Metaウェビナー"))</f>
        <v/>
      </c>
      <c r="D54" s="42" t="str">
        <f aca="false">IF(COUNTIFS(日次入力!$A$4:$A$1500,"&gt;="&amp;DATE(2027,3,9),日次入力!$A$4:$A$1500,"&lt;="&amp;DATE(2027,3,15),日次入力!$C$4:$C$1500,"Metaウェビナー")=0,"",SUMIFS(日次入力!$E$4:$E$1500,日次入力!$A$4:$A$1500,"&gt;="&amp;DATE(2027,3,9),日次入力!$A$4:$A$1500,"&lt;="&amp;DATE(2027,3,15),日次入力!$C$4:$C$1500,"Metaウェビナー"))</f>
        <v/>
      </c>
      <c r="E54" s="42" t="str">
        <f aca="false">IF(COUNTIFS(日次入力!$A$4:$A$1500,"&gt;="&amp;DATE(2027,3,9),日次入力!$A$4:$A$1500,"&lt;="&amp;DATE(2027,3,15),日次入力!$C$4:$C$1500,"Metaウェビナー")=0,"",SUMIFS(日次入力!$F$4:$F$1500,日次入力!$A$4:$A$1500,"&gt;="&amp;DATE(2027,3,9),日次入力!$A$4:$A$1500,"&lt;="&amp;DATE(2027,3,15),日次入力!$C$4:$C$1500,"Metaウェビナー"))</f>
        <v/>
      </c>
      <c r="F54" s="42" t="str">
        <f aca="false">IF(COUNTIFS(日次入力!$A$4:$A$1500,"&gt;="&amp;DATE(2027,3,9),日次入力!$A$4:$A$1500,"&lt;="&amp;DATE(2027,3,15),日次入力!$C$4:$C$1500,"Metaウェビナー")=0,"",SUMIFS(日次入力!$G$4:$G$1500,日次入力!$A$4:$A$1500,"&gt;="&amp;DATE(2027,3,9),日次入力!$A$4:$A$1500,"&lt;="&amp;DATE(2027,3,15),日次入力!$C$4:$C$1500,"Metaウェビナー"))</f>
        <v/>
      </c>
      <c r="G54" s="15" t="str">
        <f aca="false">IFERROR(E54/D54,"")</f>
        <v/>
      </c>
      <c r="H54" s="37" t="str">
        <f aca="false">IFERROR(C54/E54,"")</f>
        <v/>
      </c>
      <c r="I54" s="37" t="str">
        <f aca="false">IFERROR(C54/D54*1000,"")</f>
        <v/>
      </c>
      <c r="J54" s="15" t="str">
        <f aca="false">IFERROR(F54/E54,"")</f>
        <v/>
      </c>
      <c r="K54" s="37" t="str">
        <f aca="false">IFERROR(C54/F54,"")</f>
        <v/>
      </c>
      <c r="L54" s="42" t="str">
        <f aca="false">IF(COUNTIFS(日次入力!$A$4:$A$1500,"&gt;="&amp;DATE(2027,3,9),日次入力!$A$4:$A$1500,"&lt;="&amp;DATE(2027,3,15),日次入力!$C$4:$C$1500,"Metaウェビナー")=0,"",SUMIFS(日次入力!$H$4:$H$1500,日次入力!$A$4:$A$1500,"&gt;="&amp;DATE(2027,3,9),日次入力!$A$4:$A$1500,"&lt;="&amp;DATE(2027,3,15),日次入力!$C$4:$C$1500,"Metaウェビナー"))</f>
        <v/>
      </c>
      <c r="M54" s="15" t="str">
        <f aca="false">IF(L54="","",IFERROR(L54/F54,""))</f>
        <v/>
      </c>
      <c r="N54" s="42" t="str">
        <f aca="false">IF(COUNTIFS(日次入力!$A$4:$A$1500,"&gt;="&amp;DATE(2027,3,9),日次入力!$A$4:$A$1500,"&lt;="&amp;DATE(2027,3,15),日次入力!$C$4:$C$1500,"Metaウェビナー")=0,"",SUMIFS(日次入力!$I$4:$I$1500,日次入力!$A$4:$A$1500,"&gt;="&amp;DATE(2027,3,9),日次入力!$A$4:$A$1500,"&lt;="&amp;DATE(2027,3,15),日次入力!$C$4:$C$1500,"Metaウェビナー"))</f>
        <v/>
      </c>
      <c r="O54" s="15" t="str">
        <f aca="false">IF(N54="","",IFERROR(N54/L54,""))</f>
        <v/>
      </c>
      <c r="P54" s="37" t="str">
        <f aca="false">IF(N54=0,"",IFERROR(C54/N54,""))</f>
        <v/>
      </c>
      <c r="Q54" s="38" t="str">
        <f aca="false">IF(N54=0,"",IFERROR(IF(C54/N54&lt;=用語集!$B$22,"◎ 許容内","✗ 超過"),"—"))</f>
        <v>—</v>
      </c>
      <c r="R54" s="39" t="str">
        <f aca="false">IFERROR(用語集!$B$22/P54,"")</f>
        <v/>
      </c>
    </row>
    <row r="55" customFormat="false" ht="15" hidden="false" customHeight="false" outlineLevel="0" collapsed="false">
      <c r="A55" s="34" t="s">
        <v>158</v>
      </c>
      <c r="B55" s="35" t="s">
        <v>159</v>
      </c>
      <c r="C55" s="41" t="str">
        <f aca="false">IF(COUNTIFS(日次入力!$A$4:$A$1500,"&gt;="&amp;DATE(2027,3,16),日次入力!$A$4:$A$1500,"&lt;="&amp;DATE(2027,3,22),日次入力!$C$4:$C$1500,"Metaウェビナー")=0,"",SUMIFS(日次入力!$D$4:$D$1500,日次入力!$A$4:$A$1500,"&gt;="&amp;DATE(2027,3,16),日次入力!$A$4:$A$1500,"&lt;="&amp;DATE(2027,3,22),日次入力!$C$4:$C$1500,"Metaウェビナー"))</f>
        <v/>
      </c>
      <c r="D55" s="42" t="str">
        <f aca="false">IF(COUNTIFS(日次入力!$A$4:$A$1500,"&gt;="&amp;DATE(2027,3,16),日次入力!$A$4:$A$1500,"&lt;="&amp;DATE(2027,3,22),日次入力!$C$4:$C$1500,"Metaウェビナー")=0,"",SUMIFS(日次入力!$E$4:$E$1500,日次入力!$A$4:$A$1500,"&gt;="&amp;DATE(2027,3,16),日次入力!$A$4:$A$1500,"&lt;="&amp;DATE(2027,3,22),日次入力!$C$4:$C$1500,"Metaウェビナー"))</f>
        <v/>
      </c>
      <c r="E55" s="42" t="str">
        <f aca="false">IF(COUNTIFS(日次入力!$A$4:$A$1500,"&gt;="&amp;DATE(2027,3,16),日次入力!$A$4:$A$1500,"&lt;="&amp;DATE(2027,3,22),日次入力!$C$4:$C$1500,"Metaウェビナー")=0,"",SUMIFS(日次入力!$F$4:$F$1500,日次入力!$A$4:$A$1500,"&gt;="&amp;DATE(2027,3,16),日次入力!$A$4:$A$1500,"&lt;="&amp;DATE(2027,3,22),日次入力!$C$4:$C$1500,"Metaウェビナー"))</f>
        <v/>
      </c>
      <c r="F55" s="42" t="str">
        <f aca="false">IF(COUNTIFS(日次入力!$A$4:$A$1500,"&gt;="&amp;DATE(2027,3,16),日次入力!$A$4:$A$1500,"&lt;="&amp;DATE(2027,3,22),日次入力!$C$4:$C$1500,"Metaウェビナー")=0,"",SUMIFS(日次入力!$G$4:$G$1500,日次入力!$A$4:$A$1500,"&gt;="&amp;DATE(2027,3,16),日次入力!$A$4:$A$1500,"&lt;="&amp;DATE(2027,3,22),日次入力!$C$4:$C$1500,"Metaウェビナー"))</f>
        <v/>
      </c>
      <c r="G55" s="15" t="str">
        <f aca="false">IFERROR(E55/D55,"")</f>
        <v/>
      </c>
      <c r="H55" s="37" t="str">
        <f aca="false">IFERROR(C55/E55,"")</f>
        <v/>
      </c>
      <c r="I55" s="37" t="str">
        <f aca="false">IFERROR(C55/D55*1000,"")</f>
        <v/>
      </c>
      <c r="J55" s="15" t="str">
        <f aca="false">IFERROR(F55/E55,"")</f>
        <v/>
      </c>
      <c r="K55" s="37" t="str">
        <f aca="false">IFERROR(C55/F55,"")</f>
        <v/>
      </c>
      <c r="L55" s="42" t="str">
        <f aca="false">IF(COUNTIFS(日次入力!$A$4:$A$1500,"&gt;="&amp;DATE(2027,3,16),日次入力!$A$4:$A$1500,"&lt;="&amp;DATE(2027,3,22),日次入力!$C$4:$C$1500,"Metaウェビナー")=0,"",SUMIFS(日次入力!$H$4:$H$1500,日次入力!$A$4:$A$1500,"&gt;="&amp;DATE(2027,3,16),日次入力!$A$4:$A$1500,"&lt;="&amp;DATE(2027,3,22),日次入力!$C$4:$C$1500,"Metaウェビナー"))</f>
        <v/>
      </c>
      <c r="M55" s="15" t="str">
        <f aca="false">IF(L55="","",IFERROR(L55/F55,""))</f>
        <v/>
      </c>
      <c r="N55" s="42" t="str">
        <f aca="false">IF(COUNTIFS(日次入力!$A$4:$A$1500,"&gt;="&amp;DATE(2027,3,16),日次入力!$A$4:$A$1500,"&lt;="&amp;DATE(2027,3,22),日次入力!$C$4:$C$1500,"Metaウェビナー")=0,"",SUMIFS(日次入力!$I$4:$I$1500,日次入力!$A$4:$A$1500,"&gt;="&amp;DATE(2027,3,16),日次入力!$A$4:$A$1500,"&lt;="&amp;DATE(2027,3,22),日次入力!$C$4:$C$1500,"Metaウェビナー"))</f>
        <v/>
      </c>
      <c r="O55" s="15" t="str">
        <f aca="false">IF(N55="","",IFERROR(N55/L55,""))</f>
        <v/>
      </c>
      <c r="P55" s="37" t="str">
        <f aca="false">IF(N55=0,"",IFERROR(C55/N55,""))</f>
        <v/>
      </c>
      <c r="Q55" s="38" t="str">
        <f aca="false">IF(N55=0,"",IFERROR(IF(C55/N55&lt;=用語集!$B$22,"◎ 許容内","✗ 超過"),"—"))</f>
        <v>—</v>
      </c>
      <c r="R55" s="39" t="str">
        <f aca="false">IFERROR(用語集!$B$22/P55,"")</f>
        <v/>
      </c>
    </row>
    <row r="56" customFormat="false" ht="15" hidden="false" customHeight="false" outlineLevel="0" collapsed="false">
      <c r="A56" s="34" t="s">
        <v>160</v>
      </c>
      <c r="B56" s="35" t="s">
        <v>161</v>
      </c>
      <c r="C56" s="41" t="str">
        <f aca="false">IF(COUNTIFS(日次入力!$A$4:$A$1500,"&gt;="&amp;DATE(2027,3,23),日次入力!$A$4:$A$1500,"&lt;="&amp;DATE(2027,3,29),日次入力!$C$4:$C$1500,"Metaウェビナー")=0,"",SUMIFS(日次入力!$D$4:$D$1500,日次入力!$A$4:$A$1500,"&gt;="&amp;DATE(2027,3,23),日次入力!$A$4:$A$1500,"&lt;="&amp;DATE(2027,3,29),日次入力!$C$4:$C$1500,"Metaウェビナー"))</f>
        <v/>
      </c>
      <c r="D56" s="42" t="str">
        <f aca="false">IF(COUNTIFS(日次入力!$A$4:$A$1500,"&gt;="&amp;DATE(2027,3,23),日次入力!$A$4:$A$1500,"&lt;="&amp;DATE(2027,3,29),日次入力!$C$4:$C$1500,"Metaウェビナー")=0,"",SUMIFS(日次入力!$E$4:$E$1500,日次入力!$A$4:$A$1500,"&gt;="&amp;DATE(2027,3,23),日次入力!$A$4:$A$1500,"&lt;="&amp;DATE(2027,3,29),日次入力!$C$4:$C$1500,"Metaウェビナー"))</f>
        <v/>
      </c>
      <c r="E56" s="42" t="str">
        <f aca="false">IF(COUNTIFS(日次入力!$A$4:$A$1500,"&gt;="&amp;DATE(2027,3,23),日次入力!$A$4:$A$1500,"&lt;="&amp;DATE(2027,3,29),日次入力!$C$4:$C$1500,"Metaウェビナー")=0,"",SUMIFS(日次入力!$F$4:$F$1500,日次入力!$A$4:$A$1500,"&gt;="&amp;DATE(2027,3,23),日次入力!$A$4:$A$1500,"&lt;="&amp;DATE(2027,3,29),日次入力!$C$4:$C$1500,"Metaウェビナー"))</f>
        <v/>
      </c>
      <c r="F56" s="42" t="str">
        <f aca="false">IF(COUNTIFS(日次入力!$A$4:$A$1500,"&gt;="&amp;DATE(2027,3,23),日次入力!$A$4:$A$1500,"&lt;="&amp;DATE(2027,3,29),日次入力!$C$4:$C$1500,"Metaウェビナー")=0,"",SUMIFS(日次入力!$G$4:$G$1500,日次入力!$A$4:$A$1500,"&gt;="&amp;DATE(2027,3,23),日次入力!$A$4:$A$1500,"&lt;="&amp;DATE(2027,3,29),日次入力!$C$4:$C$1500,"Metaウェビナー"))</f>
        <v/>
      </c>
      <c r="G56" s="15" t="str">
        <f aca="false">IFERROR(E56/D56,"")</f>
        <v/>
      </c>
      <c r="H56" s="37" t="str">
        <f aca="false">IFERROR(C56/E56,"")</f>
        <v/>
      </c>
      <c r="I56" s="37" t="str">
        <f aca="false">IFERROR(C56/D56*1000,"")</f>
        <v/>
      </c>
      <c r="J56" s="15" t="str">
        <f aca="false">IFERROR(F56/E56,"")</f>
        <v/>
      </c>
      <c r="K56" s="37" t="str">
        <f aca="false">IFERROR(C56/F56,"")</f>
        <v/>
      </c>
      <c r="L56" s="42" t="str">
        <f aca="false">IF(COUNTIFS(日次入力!$A$4:$A$1500,"&gt;="&amp;DATE(2027,3,23),日次入力!$A$4:$A$1500,"&lt;="&amp;DATE(2027,3,29),日次入力!$C$4:$C$1500,"Metaウェビナー")=0,"",SUMIFS(日次入力!$H$4:$H$1500,日次入力!$A$4:$A$1500,"&gt;="&amp;DATE(2027,3,23),日次入力!$A$4:$A$1500,"&lt;="&amp;DATE(2027,3,29),日次入力!$C$4:$C$1500,"Metaウェビナー"))</f>
        <v/>
      </c>
      <c r="M56" s="15" t="str">
        <f aca="false">IF(L56="","",IFERROR(L56/F56,""))</f>
        <v/>
      </c>
      <c r="N56" s="42" t="str">
        <f aca="false">IF(COUNTIFS(日次入力!$A$4:$A$1500,"&gt;="&amp;DATE(2027,3,23),日次入力!$A$4:$A$1500,"&lt;="&amp;DATE(2027,3,29),日次入力!$C$4:$C$1500,"Metaウェビナー")=0,"",SUMIFS(日次入力!$I$4:$I$1500,日次入力!$A$4:$A$1500,"&gt;="&amp;DATE(2027,3,23),日次入力!$A$4:$A$1500,"&lt;="&amp;DATE(2027,3,29),日次入力!$C$4:$C$1500,"Metaウェビナー"))</f>
        <v/>
      </c>
      <c r="O56" s="15" t="str">
        <f aca="false">IF(N56="","",IFERROR(N56/L56,""))</f>
        <v/>
      </c>
      <c r="P56" s="37" t="str">
        <f aca="false">IF(N56=0,"",IFERROR(C56/N56,""))</f>
        <v/>
      </c>
      <c r="Q56" s="38" t="str">
        <f aca="false">IF(N56=0,"",IFERROR(IF(C56/N56&lt;=用語集!$B$22,"◎ 許容内","✗ 超過"),"—"))</f>
        <v>—</v>
      </c>
      <c r="R56" s="39" t="str">
        <f aca="false">IFERROR(用語集!$B$22/P56,"")</f>
        <v/>
      </c>
    </row>
    <row r="57" customFormat="false" ht="15" hidden="false" customHeight="false" outlineLevel="0" collapsed="false">
      <c r="A57" s="34" t="s">
        <v>162</v>
      </c>
      <c r="B57" s="35" t="s">
        <v>163</v>
      </c>
      <c r="C57" s="41" t="str">
        <f aca="false">IF(COUNTIFS(日次入力!$A$4:$A$1500,"&gt;="&amp;DATE(2027,3,30),日次入力!$A$4:$A$1500,"&lt;="&amp;DATE(2027,4,5),日次入力!$C$4:$C$1500,"Metaウェビナー")=0,"",SUMIFS(日次入力!$D$4:$D$1500,日次入力!$A$4:$A$1500,"&gt;="&amp;DATE(2027,3,30),日次入力!$A$4:$A$1500,"&lt;="&amp;DATE(2027,4,5),日次入力!$C$4:$C$1500,"Metaウェビナー"))</f>
        <v/>
      </c>
      <c r="D57" s="42" t="str">
        <f aca="false">IF(COUNTIFS(日次入力!$A$4:$A$1500,"&gt;="&amp;DATE(2027,3,30),日次入力!$A$4:$A$1500,"&lt;="&amp;DATE(2027,4,5),日次入力!$C$4:$C$1500,"Metaウェビナー")=0,"",SUMIFS(日次入力!$E$4:$E$1500,日次入力!$A$4:$A$1500,"&gt;="&amp;DATE(2027,3,30),日次入力!$A$4:$A$1500,"&lt;="&amp;DATE(2027,4,5),日次入力!$C$4:$C$1500,"Metaウェビナー"))</f>
        <v/>
      </c>
      <c r="E57" s="42" t="str">
        <f aca="false">IF(COUNTIFS(日次入力!$A$4:$A$1500,"&gt;="&amp;DATE(2027,3,30),日次入力!$A$4:$A$1500,"&lt;="&amp;DATE(2027,4,5),日次入力!$C$4:$C$1500,"Metaウェビナー")=0,"",SUMIFS(日次入力!$F$4:$F$1500,日次入力!$A$4:$A$1500,"&gt;="&amp;DATE(2027,3,30),日次入力!$A$4:$A$1500,"&lt;="&amp;DATE(2027,4,5),日次入力!$C$4:$C$1500,"Metaウェビナー"))</f>
        <v/>
      </c>
      <c r="F57" s="42" t="str">
        <f aca="false">IF(COUNTIFS(日次入力!$A$4:$A$1500,"&gt;="&amp;DATE(2027,3,30),日次入力!$A$4:$A$1500,"&lt;="&amp;DATE(2027,4,5),日次入力!$C$4:$C$1500,"Metaウェビナー")=0,"",SUMIFS(日次入力!$G$4:$G$1500,日次入力!$A$4:$A$1500,"&gt;="&amp;DATE(2027,3,30),日次入力!$A$4:$A$1500,"&lt;="&amp;DATE(2027,4,5),日次入力!$C$4:$C$1500,"Metaウェビナー"))</f>
        <v/>
      </c>
      <c r="G57" s="15" t="str">
        <f aca="false">IFERROR(E57/D57,"")</f>
        <v/>
      </c>
      <c r="H57" s="37" t="str">
        <f aca="false">IFERROR(C57/E57,"")</f>
        <v/>
      </c>
      <c r="I57" s="37" t="str">
        <f aca="false">IFERROR(C57/D57*1000,"")</f>
        <v/>
      </c>
      <c r="J57" s="15" t="str">
        <f aca="false">IFERROR(F57/E57,"")</f>
        <v/>
      </c>
      <c r="K57" s="37" t="str">
        <f aca="false">IFERROR(C57/F57,"")</f>
        <v/>
      </c>
      <c r="L57" s="42" t="str">
        <f aca="false">IF(COUNTIFS(日次入力!$A$4:$A$1500,"&gt;="&amp;DATE(2027,3,30),日次入力!$A$4:$A$1500,"&lt;="&amp;DATE(2027,4,5),日次入力!$C$4:$C$1500,"Metaウェビナー")=0,"",SUMIFS(日次入力!$H$4:$H$1500,日次入力!$A$4:$A$1500,"&gt;="&amp;DATE(2027,3,30),日次入力!$A$4:$A$1500,"&lt;="&amp;DATE(2027,4,5),日次入力!$C$4:$C$1500,"Metaウェビナー"))</f>
        <v/>
      </c>
      <c r="M57" s="15" t="str">
        <f aca="false">IF(L57="","",IFERROR(L57/F57,""))</f>
        <v/>
      </c>
      <c r="N57" s="42" t="str">
        <f aca="false">IF(COUNTIFS(日次入力!$A$4:$A$1500,"&gt;="&amp;DATE(2027,3,30),日次入力!$A$4:$A$1500,"&lt;="&amp;DATE(2027,4,5),日次入力!$C$4:$C$1500,"Metaウェビナー")=0,"",SUMIFS(日次入力!$I$4:$I$1500,日次入力!$A$4:$A$1500,"&gt;="&amp;DATE(2027,3,30),日次入力!$A$4:$A$1500,"&lt;="&amp;DATE(2027,4,5),日次入力!$C$4:$C$1500,"Metaウェビナー"))</f>
        <v/>
      </c>
      <c r="O57" s="15" t="str">
        <f aca="false">IF(N57="","",IFERROR(N57/L57,""))</f>
        <v/>
      </c>
      <c r="P57" s="37" t="str">
        <f aca="false">IF(N57=0,"",IFERROR(C57/N57,""))</f>
        <v/>
      </c>
      <c r="Q57" s="38" t="str">
        <f aca="false">IF(N57=0,"",IFERROR(IF(C57/N57&lt;=用語集!$B$22,"◎ 許容内","✗ 超過"),"—"))</f>
        <v>—</v>
      </c>
      <c r="R57" s="39" t="str">
        <f aca="false">IFERROR(用語集!$B$22/P57,"")</f>
        <v/>
      </c>
    </row>
    <row r="58" customFormat="false" ht="15" hidden="false" customHeight="false" outlineLevel="0" collapsed="false">
      <c r="A58" s="43" t="s">
        <v>164</v>
      </c>
      <c r="B58" s="44"/>
      <c r="C58" s="45" t="n">
        <f aca="false">SUM(C6:C57)</f>
        <v>545218</v>
      </c>
      <c r="D58" s="46" t="n">
        <f aca="false">SUM(D6:D57)</f>
        <v>197232</v>
      </c>
      <c r="E58" s="46" t="n">
        <f aca="false">SUM(E6:E57)</f>
        <v>3412</v>
      </c>
      <c r="F58" s="46" t="n">
        <f aca="false">SUM(F6:F57)</f>
        <v>272</v>
      </c>
      <c r="G58" s="47" t="n">
        <f aca="false">IFERROR(E58/D58,"")</f>
        <v>0.0172994240285552</v>
      </c>
      <c r="H58" s="45" t="n">
        <f aca="false">IFERROR(C58/E58,"")</f>
        <v>159.794255568582</v>
      </c>
      <c r="I58" s="45" t="n">
        <f aca="false">IFERROR(C58/D58*1000,"")</f>
        <v>2764.34858440821</v>
      </c>
      <c r="J58" s="47" t="n">
        <f aca="false">IFERROR(F58/D58,"")</f>
        <v>0.0013790865579622</v>
      </c>
      <c r="K58" s="45" t="n">
        <f aca="false">IFERROR(C58/F58,"")</f>
        <v>2004.47794117647</v>
      </c>
      <c r="L58" s="46" t="n">
        <f aca="false">SUM(L6:L57)</f>
        <v>3</v>
      </c>
      <c r="M58" s="47" t="n">
        <f aca="false">IF(L58=0,"",IFERROR(L58/F58,""))</f>
        <v>0.0110294117647059</v>
      </c>
      <c r="N58" s="46" t="n">
        <f aca="false">SUM(N6:N57)</f>
        <v>0</v>
      </c>
      <c r="O58" s="47" t="n">
        <f aca="false">IF(L58=0,"",IFERROR(N58/L58,""))</f>
        <v>0</v>
      </c>
      <c r="P58" s="45" t="str">
        <f aca="false">IF(N58=0,"",IFERROR(C58/N58,""))</f>
        <v/>
      </c>
      <c r="Q58" s="43" t="str">
        <f aca="false">IF(N58=0,"",IFERROR(IF(C58/N58&lt;=用語集!$B$22,"◎ 許容内","✗ 超過"),"—"))</f>
        <v/>
      </c>
      <c r="R58" s="48" t="str">
        <f aca="false">IFERROR(用語集!$B$22/P58,"")</f>
        <v/>
      </c>
    </row>
    <row r="60" customFormat="false" ht="17.15" hidden="false" customHeight="false" outlineLevel="0" collapsed="false">
      <c r="A60" s="31" t="s">
        <v>165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</row>
    <row r="61" customFormat="false" ht="25.5" hidden="false" customHeight="true" outlineLevel="0" collapsed="false">
      <c r="A61" s="32" t="s">
        <v>48</v>
      </c>
      <c r="B61" s="32" t="s">
        <v>49</v>
      </c>
      <c r="C61" s="32" t="s">
        <v>35</v>
      </c>
      <c r="D61" s="33" t="s">
        <v>36</v>
      </c>
      <c r="E61" s="32" t="s">
        <v>37</v>
      </c>
      <c r="F61" s="33" t="s">
        <v>38</v>
      </c>
      <c r="G61" s="33" t="s">
        <v>50</v>
      </c>
      <c r="H61" s="33" t="s">
        <v>51</v>
      </c>
      <c r="I61" s="33" t="s">
        <v>52</v>
      </c>
      <c r="J61" s="33" t="s">
        <v>53</v>
      </c>
      <c r="K61" s="33" t="s">
        <v>54</v>
      </c>
      <c r="L61" s="32" t="s">
        <v>39</v>
      </c>
      <c r="M61" s="32" t="s">
        <v>55</v>
      </c>
      <c r="N61" s="32" t="s">
        <v>40</v>
      </c>
      <c r="O61" s="32" t="s">
        <v>23</v>
      </c>
      <c r="P61" s="33" t="s">
        <v>56</v>
      </c>
      <c r="Q61" s="32" t="s">
        <v>57</v>
      </c>
      <c r="R61" s="32" t="s">
        <v>58</v>
      </c>
    </row>
    <row r="62" customFormat="false" ht="15" hidden="false" customHeight="false" outlineLevel="0" collapsed="false">
      <c r="A62" s="34" t="s">
        <v>59</v>
      </c>
      <c r="B62" s="35" t="s">
        <v>60</v>
      </c>
      <c r="C62" s="36" t="n">
        <v>104849</v>
      </c>
      <c r="D62" s="12" t="n">
        <v>115662</v>
      </c>
      <c r="E62" s="12" t="n">
        <v>9658</v>
      </c>
      <c r="F62" s="12" t="n">
        <v>18</v>
      </c>
      <c r="G62" s="15" t="n">
        <f aca="false">IFERROR(E62/D62,"")</f>
        <v>0.0835019280316785</v>
      </c>
      <c r="H62" s="37" t="n">
        <f aca="false">IFERROR(C62/E62,"")</f>
        <v>10.8561814040174</v>
      </c>
      <c r="I62" s="37" t="n">
        <f aca="false">IFERROR(C62/D62*1000,"")</f>
        <v>906.512078297107</v>
      </c>
      <c r="J62" s="15" t="n">
        <f aca="false">IFERROR(F62/E62,"")</f>
        <v>0.00186373990474218</v>
      </c>
      <c r="K62" s="37" t="n">
        <f aca="false">IFERROR(C62/F62,"")</f>
        <v>5824.94444444444</v>
      </c>
      <c r="L62" s="12" t="n">
        <v>1</v>
      </c>
      <c r="M62" s="15" t="n">
        <f aca="false">IF(L62="","",IFERROR(L62/F62,""))</f>
        <v>0.0555555555555556</v>
      </c>
      <c r="N62" s="12"/>
      <c r="O62" s="15" t="str">
        <f aca="false">IF(N62="","",IFERROR(N62/L62,""))</f>
        <v/>
      </c>
      <c r="P62" s="37" t="str">
        <f aca="false">IF(N62=0,"",IFERROR(C62/N62,""))</f>
        <v/>
      </c>
      <c r="Q62" s="38" t="str">
        <f aca="false">IF(N62=0,"",IFERROR(IF(C62/N62&lt;=用語集!$B$22,"◎ 許容内","✗ 超過"),"—"))</f>
        <v/>
      </c>
      <c r="R62" s="39" t="str">
        <f aca="false">IFERROR(用語集!$B$22/P62,"")</f>
        <v/>
      </c>
    </row>
    <row r="63" customFormat="false" ht="15" hidden="false" customHeight="false" outlineLevel="0" collapsed="false">
      <c r="A63" s="34" t="s">
        <v>61</v>
      </c>
      <c r="B63" s="35" t="s">
        <v>62</v>
      </c>
      <c r="C63" s="36" t="n">
        <v>45827</v>
      </c>
      <c r="D63" s="12" t="n">
        <v>19906</v>
      </c>
      <c r="E63" s="12" t="n">
        <v>561</v>
      </c>
      <c r="F63" s="12" t="n">
        <v>51</v>
      </c>
      <c r="G63" s="15" t="n">
        <f aca="false">IFERROR(E63/D63,"")</f>
        <v>0.0281824575504873</v>
      </c>
      <c r="H63" s="37" t="n">
        <f aca="false">IFERROR(C63/E63,"")</f>
        <v>81.6880570409982</v>
      </c>
      <c r="I63" s="37" t="n">
        <f aca="false">IFERROR(C63/D63*1000,"")</f>
        <v>2302.17019993972</v>
      </c>
      <c r="J63" s="15" t="n">
        <f aca="false">IFERROR(F63/E63,"")</f>
        <v>0.0909090909090909</v>
      </c>
      <c r="K63" s="37" t="n">
        <f aca="false">IFERROR(C63/F63,"")</f>
        <v>898.56862745098</v>
      </c>
      <c r="L63" s="12" t="n">
        <v>2</v>
      </c>
      <c r="M63" s="15" t="n">
        <f aca="false">IF(L63="","",IFERROR(L63/F63,""))</f>
        <v>0.0392156862745098</v>
      </c>
      <c r="N63" s="12"/>
      <c r="O63" s="15" t="str">
        <f aca="false">IF(N63="","",IFERROR(N63/L63,""))</f>
        <v/>
      </c>
      <c r="P63" s="37" t="str">
        <f aca="false">IF(N63=0,"",IFERROR(C63/N63,""))</f>
        <v/>
      </c>
      <c r="Q63" s="38" t="str">
        <f aca="false">IF(N63=0,"",IFERROR(IF(C63/N63&lt;=用語集!$B$22,"◎ 許容内","✗ 超過"),"—"))</f>
        <v/>
      </c>
      <c r="R63" s="39" t="str">
        <f aca="false">IFERROR(用語集!$B$22/P63,"")</f>
        <v/>
      </c>
    </row>
    <row r="64" customFormat="false" ht="15" hidden="false" customHeight="false" outlineLevel="0" collapsed="false">
      <c r="A64" s="34" t="s">
        <v>63</v>
      </c>
      <c r="B64" s="35" t="s">
        <v>64</v>
      </c>
      <c r="C64" s="36" t="n">
        <v>58556</v>
      </c>
      <c r="D64" s="12" t="n">
        <v>18969</v>
      </c>
      <c r="E64" s="12" t="n">
        <v>644</v>
      </c>
      <c r="F64" s="12" t="n">
        <v>22</v>
      </c>
      <c r="G64" s="15" t="n">
        <f aca="false">IFERROR(E64/D64,"")</f>
        <v>0.0339501291581001</v>
      </c>
      <c r="H64" s="37" t="n">
        <f aca="false">IFERROR(C64/E64,"")</f>
        <v>90.9254658385093</v>
      </c>
      <c r="I64" s="37" t="n">
        <f aca="false">IFERROR(C64/D64*1000,"")</f>
        <v>3086.93130897781</v>
      </c>
      <c r="J64" s="15" t="n">
        <f aca="false">IFERROR(F64/E64,"")</f>
        <v>0.0341614906832298</v>
      </c>
      <c r="K64" s="37" t="n">
        <f aca="false">IFERROR(C64/F64,"")</f>
        <v>2661.63636363636</v>
      </c>
      <c r="L64" s="12" t="n">
        <v>2</v>
      </c>
      <c r="M64" s="15" t="n">
        <f aca="false">IF(L64="","",IFERROR(L64/F64,""))</f>
        <v>0.0909090909090909</v>
      </c>
      <c r="N64" s="12"/>
      <c r="O64" s="15" t="str">
        <f aca="false">IF(N64="","",IFERROR(N64/L64,""))</f>
        <v/>
      </c>
      <c r="P64" s="37" t="str">
        <f aca="false">IF(N64=0,"",IFERROR(C64/N64,""))</f>
        <v/>
      </c>
      <c r="Q64" s="38" t="str">
        <f aca="false">IF(N64=0,"",IFERROR(IF(C64/N64&lt;=用語集!$B$22,"◎ 許容内","✗ 超過"),"—"))</f>
        <v/>
      </c>
      <c r="R64" s="39" t="str">
        <f aca="false">IFERROR(用語集!$B$22/P64,"")</f>
        <v/>
      </c>
    </row>
    <row r="65" customFormat="false" ht="15" hidden="false" customHeight="false" outlineLevel="0" collapsed="false">
      <c r="A65" s="34" t="s">
        <v>65</v>
      </c>
      <c r="B65" s="35" t="s">
        <v>66</v>
      </c>
      <c r="C65" s="36" t="n">
        <v>79731</v>
      </c>
      <c r="D65" s="12" t="n">
        <v>24236</v>
      </c>
      <c r="E65" s="12" t="n">
        <v>621</v>
      </c>
      <c r="F65" s="12" t="n">
        <v>34</v>
      </c>
      <c r="G65" s="15" t="n">
        <f aca="false">IFERROR(E65/D65,"")</f>
        <v>0.025623040105628</v>
      </c>
      <c r="H65" s="37" t="n">
        <f aca="false">IFERROR(C65/E65,"")</f>
        <v>128.391304347826</v>
      </c>
      <c r="I65" s="37" t="n">
        <f aca="false">IFERROR(C65/D65*1000,"")</f>
        <v>3289.77554051824</v>
      </c>
      <c r="J65" s="15" t="n">
        <f aca="false">IFERROR(F65/E65,"")</f>
        <v>0.0547504025764895</v>
      </c>
      <c r="K65" s="37" t="n">
        <f aca="false">IFERROR(C65/F65,"")</f>
        <v>2345.02941176471</v>
      </c>
      <c r="L65" s="12" t="n">
        <v>1</v>
      </c>
      <c r="M65" s="15" t="n">
        <f aca="false">IF(L65="","",IFERROR(L65/F65,""))</f>
        <v>0.0294117647058824</v>
      </c>
      <c r="N65" s="12"/>
      <c r="O65" s="15" t="str">
        <f aca="false">IF(N65="","",IFERROR(N65/L65,""))</f>
        <v/>
      </c>
      <c r="P65" s="37" t="str">
        <f aca="false">IF(N65=0,"",IFERROR(C65/N65,""))</f>
        <v/>
      </c>
      <c r="Q65" s="38" t="str">
        <f aca="false">IF(N65=0,"",IFERROR(IF(C65/N65&lt;=用語集!$B$22,"◎ 許容内","✗ 超過"),"—"))</f>
        <v/>
      </c>
      <c r="R65" s="39" t="str">
        <f aca="false">IFERROR(用語集!$B$22/P65,"")</f>
        <v/>
      </c>
    </row>
    <row r="66" customFormat="false" ht="15" hidden="false" customHeight="false" outlineLevel="0" collapsed="false">
      <c r="A66" s="34" t="s">
        <v>68</v>
      </c>
      <c r="B66" s="35" t="s">
        <v>69</v>
      </c>
      <c r="C66" s="36" t="n">
        <v>105749</v>
      </c>
      <c r="D66" s="12" t="n">
        <v>26723</v>
      </c>
      <c r="E66" s="12" t="n">
        <v>867</v>
      </c>
      <c r="F66" s="12" t="n">
        <v>35</v>
      </c>
      <c r="G66" s="15" t="n">
        <f aca="false">IFERROR(E66/D66,"")</f>
        <v>0.0324439621300004</v>
      </c>
      <c r="H66" s="37" t="n">
        <f aca="false">IFERROR(C66/E66,"")</f>
        <v>121.971164936563</v>
      </c>
      <c r="I66" s="37" t="n">
        <f aca="false">IFERROR(C66/D66*1000,"")</f>
        <v>3957.22785615388</v>
      </c>
      <c r="J66" s="15" t="n">
        <f aca="false">IFERROR(F66/E66,"")</f>
        <v>0.0403690888119954</v>
      </c>
      <c r="K66" s="37" t="n">
        <f aca="false">IFERROR(C66/F66,"")</f>
        <v>3021.4</v>
      </c>
      <c r="L66" s="12" t="n">
        <v>2</v>
      </c>
      <c r="M66" s="15" t="n">
        <f aca="false">IF(L66="","",IFERROR(L66/F66,""))</f>
        <v>0.0571428571428571</v>
      </c>
      <c r="N66" s="12"/>
      <c r="O66" s="15" t="str">
        <f aca="false">IF(N66="","",IFERROR(N66/L66,""))</f>
        <v/>
      </c>
      <c r="P66" s="37" t="str">
        <f aca="false">IF(N66=0,"",IFERROR(C66/N66,""))</f>
        <v/>
      </c>
      <c r="Q66" s="38" t="str">
        <f aca="false">IF(N66=0,"",IFERROR(IF(C66/N66&lt;=用語集!$B$22,"◎ 許容内","✗ 超過"),"—"))</f>
        <v/>
      </c>
      <c r="R66" s="39" t="str">
        <f aca="false">IFERROR(用語集!$B$22/P66,"")</f>
        <v/>
      </c>
    </row>
    <row r="67" customFormat="false" ht="15" hidden="false" customHeight="false" outlineLevel="0" collapsed="false">
      <c r="A67" s="34" t="s">
        <v>70</v>
      </c>
      <c r="B67" s="35" t="s">
        <v>71</v>
      </c>
      <c r="C67" s="36" t="n">
        <v>105217</v>
      </c>
      <c r="D67" s="12" t="n">
        <v>23468</v>
      </c>
      <c r="E67" s="12" t="n">
        <v>800</v>
      </c>
      <c r="F67" s="12" t="n">
        <v>31</v>
      </c>
      <c r="G67" s="15" t="n">
        <f aca="false">IFERROR(E67/D67,"")</f>
        <v>0.0340889722174876</v>
      </c>
      <c r="H67" s="37" t="n">
        <f aca="false">IFERROR(C67/E67,"")</f>
        <v>131.52125</v>
      </c>
      <c r="I67" s="37" t="n">
        <f aca="false">IFERROR(C67/D67*1000,"")</f>
        <v>4483.42423725925</v>
      </c>
      <c r="J67" s="15" t="n">
        <f aca="false">IFERROR(F67/E67,"")</f>
        <v>0.03875</v>
      </c>
      <c r="K67" s="37" t="n">
        <f aca="false">IFERROR(C67/F67,"")</f>
        <v>3394.09677419355</v>
      </c>
      <c r="L67" s="12" t="n">
        <v>3</v>
      </c>
      <c r="M67" s="15" t="n">
        <f aca="false">IF(L67="","",IFERROR(L67/F67,""))</f>
        <v>0.0967741935483871</v>
      </c>
      <c r="N67" s="12"/>
      <c r="O67" s="15" t="str">
        <f aca="false">IF(N67="","",IFERROR(N67/L67,""))</f>
        <v/>
      </c>
      <c r="P67" s="37" t="str">
        <f aca="false">IF(N67=0,"",IFERROR(C67/N67,""))</f>
        <v/>
      </c>
      <c r="Q67" s="38" t="str">
        <f aca="false">IF(N67=0,"",IFERROR(IF(C67/N67&lt;=用語集!$B$22,"◎ 許容内","✗ 超過"),"—"))</f>
        <v/>
      </c>
      <c r="R67" s="39" t="str">
        <f aca="false">IFERROR(用語集!$B$22/P67,"")</f>
        <v/>
      </c>
    </row>
    <row r="68" customFormat="false" ht="17.15" hidden="false" customHeight="false" outlineLevel="0" collapsed="false">
      <c r="A68" s="34" t="s">
        <v>72</v>
      </c>
      <c r="B68" s="35" t="s">
        <v>73</v>
      </c>
      <c r="C68" s="36" t="n">
        <v>105644</v>
      </c>
      <c r="D68" s="12" t="n">
        <v>22405</v>
      </c>
      <c r="E68" s="12" t="n">
        <v>806</v>
      </c>
      <c r="F68" s="12" t="n">
        <v>41</v>
      </c>
      <c r="G68" s="15" t="n">
        <f aca="false">IFERROR(E68/D68,"")</f>
        <v>0.0359741129212229</v>
      </c>
      <c r="H68" s="37" t="n">
        <f aca="false">IFERROR(C68/E68,"")</f>
        <v>131.071960297767</v>
      </c>
      <c r="I68" s="37" t="n">
        <f aca="false">IFERROR(C68/D68*1000,"")</f>
        <v>4715.19750055791</v>
      </c>
      <c r="J68" s="15" t="n">
        <f aca="false">IFERROR(F68/E68,"")</f>
        <v>0.0508684863523573</v>
      </c>
      <c r="K68" s="37" t="n">
        <f aca="false">IFERROR(C68/F68,"")</f>
        <v>2576.68292682927</v>
      </c>
      <c r="L68" s="12" t="n">
        <v>2</v>
      </c>
      <c r="M68" s="15" t="n">
        <f aca="false">IF(L68="","",IFERROR(L68/F68,""))</f>
        <v>0.0487804878048781</v>
      </c>
      <c r="N68" s="12" t="n">
        <v>1</v>
      </c>
      <c r="O68" s="15" t="n">
        <f aca="false">IF(N68="","",IFERROR(N68/L68,""))</f>
        <v>0.5</v>
      </c>
      <c r="P68" s="37" t="n">
        <f aca="false">IF(N68=0,"",IFERROR(C68/N68,""))</f>
        <v>105644</v>
      </c>
      <c r="Q68" s="38" t="str">
        <f aca="false">IF(N68=0,"",IFERROR(IF(C68/N68&lt;=用語集!$B$22,"◎ 許容内","✗ 超過"),"—"))</f>
        <v>◎ 許容内</v>
      </c>
      <c r="R68" s="39" t="n">
        <f aca="false">IFERROR(用語集!$B$22/P68,"")</f>
        <v>2.90598614213775</v>
      </c>
    </row>
    <row r="69" customFormat="false" ht="15" hidden="false" customHeight="false" outlineLevel="0" collapsed="false">
      <c r="A69" s="34" t="s">
        <v>74</v>
      </c>
      <c r="B69" s="35" t="s">
        <v>75</v>
      </c>
      <c r="C69" s="36" t="n">
        <v>103424</v>
      </c>
      <c r="D69" s="12" t="n">
        <v>20757</v>
      </c>
      <c r="E69" s="12" t="n">
        <v>628</v>
      </c>
      <c r="F69" s="12" t="n">
        <v>25</v>
      </c>
      <c r="G69" s="15" t="n">
        <f aca="false">IFERROR(E69/D69,"")</f>
        <v>0.0302548537842656</v>
      </c>
      <c r="H69" s="37" t="n">
        <f aca="false">IFERROR(C69/E69,"")</f>
        <v>164.687898089172</v>
      </c>
      <c r="I69" s="37" t="n">
        <f aca="false">IFERROR(C69/D69*1000,"")</f>
        <v>4982.60827672592</v>
      </c>
      <c r="J69" s="15" t="n">
        <f aca="false">IFERROR(F69/E69,"")</f>
        <v>0.0398089171974522</v>
      </c>
      <c r="K69" s="37" t="n">
        <f aca="false">IFERROR(C69/F69,"")</f>
        <v>4136.96</v>
      </c>
      <c r="L69" s="12" t="n">
        <v>1</v>
      </c>
      <c r="M69" s="15" t="n">
        <f aca="false">IF(L69="","",IFERROR(L69/F69,""))</f>
        <v>0.04</v>
      </c>
      <c r="N69" s="12"/>
      <c r="O69" s="15" t="str">
        <f aca="false">IF(N69="","",IFERROR(N69/L69,""))</f>
        <v/>
      </c>
      <c r="P69" s="37" t="str">
        <f aca="false">IF(N69=0,"",IFERROR(C69/N69,""))</f>
        <v/>
      </c>
      <c r="Q69" s="38" t="str">
        <f aca="false">IF(N69=0,"",IFERROR(IF(C69/N69&lt;=用語集!$B$22,"◎ 許容内","✗ 超過"),"—"))</f>
        <v/>
      </c>
      <c r="R69" s="39" t="str">
        <f aca="false">IFERROR(用語集!$B$22/P69,"")</f>
        <v/>
      </c>
    </row>
    <row r="70" customFormat="false" ht="15" hidden="false" customHeight="false" outlineLevel="0" collapsed="false">
      <c r="A70" s="34" t="s">
        <v>76</v>
      </c>
      <c r="B70" s="35" t="s">
        <v>77</v>
      </c>
      <c r="C70" s="36" t="n">
        <v>137186</v>
      </c>
      <c r="D70" s="12" t="n">
        <v>26913</v>
      </c>
      <c r="E70" s="12" t="n">
        <v>828</v>
      </c>
      <c r="F70" s="12" t="n">
        <v>28</v>
      </c>
      <c r="G70" s="15" t="n">
        <f aca="false">IFERROR(E70/D70,"")</f>
        <v>0.0307658009140564</v>
      </c>
      <c r="H70" s="37" t="n">
        <f aca="false">IFERROR(C70/E70,"")</f>
        <v>165.683574879227</v>
      </c>
      <c r="I70" s="37" t="n">
        <f aca="false">IFERROR(C70/D70*1000,"")</f>
        <v>5097.38787946346</v>
      </c>
      <c r="J70" s="15" t="n">
        <f aca="false">IFERROR(F70/E70,"")</f>
        <v>0.0338164251207729</v>
      </c>
      <c r="K70" s="37" t="n">
        <f aca="false">IFERROR(C70/F70,"")</f>
        <v>4899.5</v>
      </c>
      <c r="L70" s="12"/>
      <c r="M70" s="15" t="str">
        <f aca="false">IF(L70="","",IFERROR(L70/F70,""))</f>
        <v/>
      </c>
      <c r="N70" s="12"/>
      <c r="O70" s="15" t="str">
        <f aca="false">IF(N70="","",IFERROR(N70/L70,""))</f>
        <v/>
      </c>
      <c r="P70" s="37" t="str">
        <f aca="false">IF(N70=0,"",IFERROR(C70/N70,""))</f>
        <v/>
      </c>
      <c r="Q70" s="38" t="str">
        <f aca="false">IF(N70=0,"",IFERROR(IF(C70/N70&lt;=用語集!$B$22,"◎ 許容内","✗ 超過"),"—"))</f>
        <v/>
      </c>
      <c r="R70" s="39" t="str">
        <f aca="false">IFERROR(用語集!$B$22/P70,"")</f>
        <v/>
      </c>
    </row>
    <row r="71" customFormat="false" ht="15" hidden="false" customHeight="false" outlineLevel="0" collapsed="false">
      <c r="A71" s="34" t="s">
        <v>78</v>
      </c>
      <c r="B71" s="35" t="s">
        <v>79</v>
      </c>
      <c r="C71" s="41" t="n">
        <f aca="false">IF(COUNTIFS(日次入力!$A$4:$A$1500,"&gt;="&amp;DATE(2026,6,9),日次入力!$A$4:$A$1500,"&lt;="&amp;DATE(2026,6,15),日次入力!$C$4:$C$1500,"Meta介護校")=0,"",SUMIFS(日次入力!$D$4:$D$1500,日次入力!$A$4:$A$1500,"&gt;="&amp;DATE(2026,6,9),日次入力!$A$4:$A$1500,"&lt;="&amp;DATE(2026,6,15),日次入力!$C$4:$C$1500,"Meta介護校"))</f>
        <v>98142</v>
      </c>
      <c r="D71" s="42" t="n">
        <f aca="false">IF(COUNTIFS(日次入力!$A$4:$A$1500,"&gt;="&amp;DATE(2026,6,9),日次入力!$A$4:$A$1500,"&lt;="&amp;DATE(2026,6,15),日次入力!$C$4:$C$1500,"Meta介護校")=0,"",SUMIFS(日次入力!$E$4:$E$1500,日次入力!$A$4:$A$1500,"&gt;="&amp;DATE(2026,6,9),日次入力!$A$4:$A$1500,"&lt;="&amp;DATE(2026,6,15),日次入力!$C$4:$C$1500,"Meta介護校"))</f>
        <v>16863</v>
      </c>
      <c r="E71" s="42" t="n">
        <f aca="false">IF(COUNTIFS(日次入力!$A$4:$A$1500,"&gt;="&amp;DATE(2026,6,9),日次入力!$A$4:$A$1500,"&lt;="&amp;DATE(2026,6,15),日次入力!$C$4:$C$1500,"Meta介護校")=0,"",SUMIFS(日次入力!$F$4:$F$1500,日次入力!$A$4:$A$1500,"&gt;="&amp;DATE(2026,6,9),日次入力!$A$4:$A$1500,"&lt;="&amp;DATE(2026,6,15),日次入力!$C$4:$C$1500,"Meta介護校"))</f>
        <v>465</v>
      </c>
      <c r="F71" s="42" t="n">
        <f aca="false">IF(COUNTIFS(日次入力!$A$4:$A$1500,"&gt;="&amp;DATE(2026,6,9),日次入力!$A$4:$A$1500,"&lt;="&amp;DATE(2026,6,15),日次入力!$C$4:$C$1500,"Meta介護校")=0,"",SUMIFS(日次入力!$G$4:$G$1500,日次入力!$A$4:$A$1500,"&gt;="&amp;DATE(2026,6,9),日次入力!$A$4:$A$1500,"&lt;="&amp;DATE(2026,6,15),日次入力!$C$4:$C$1500,"Meta介護校"))</f>
        <v>19</v>
      </c>
      <c r="G71" s="15" t="n">
        <f aca="false">IFERROR(E71/D71,"")</f>
        <v>0.0275751645614659</v>
      </c>
      <c r="H71" s="37" t="n">
        <f aca="false">IFERROR(C71/E71,"")</f>
        <v>211.058064516129</v>
      </c>
      <c r="I71" s="37" t="n">
        <f aca="false">IFERROR(C71/D71*1000,"")</f>
        <v>5819.96086105675</v>
      </c>
      <c r="J71" s="15" t="n">
        <f aca="false">IFERROR(F71/E71,"")</f>
        <v>0.0408602150537634</v>
      </c>
      <c r="K71" s="37" t="n">
        <f aca="false">IFERROR(C71/F71,"")</f>
        <v>5165.36842105263</v>
      </c>
      <c r="L71" s="42" t="n">
        <f aca="false">IF(COUNTIFS(日次入力!$A$4:$A$1500,"&gt;="&amp;DATE(2026,6,9),日次入力!$A$4:$A$1500,"&lt;="&amp;DATE(2026,6,15),日次入力!$C$4:$C$1500,"Meta介護校")=0,"",SUMIFS(日次入力!$H$4:$H$1500,日次入力!$A$4:$A$1500,"&gt;="&amp;DATE(2026,6,9),日次入力!$A$4:$A$1500,"&lt;="&amp;DATE(2026,6,15),日次入力!$C$4:$C$1500,"Meta介護校"))</f>
        <v>0</v>
      </c>
      <c r="M71" s="15" t="n">
        <f aca="false">IF(L71="","",IFERROR(L71/F71,""))</f>
        <v>0</v>
      </c>
      <c r="N71" s="42" t="n">
        <f aca="false">IF(COUNTIFS(日次入力!$A$4:$A$1500,"&gt;="&amp;DATE(2026,6,9),日次入力!$A$4:$A$1500,"&lt;="&amp;DATE(2026,6,15),日次入力!$C$4:$C$1500,"Meta介護校")=0,"",SUMIFS(日次入力!$I$4:$I$1500,日次入力!$A$4:$A$1500,"&gt;="&amp;DATE(2026,6,9),日次入力!$A$4:$A$1500,"&lt;="&amp;DATE(2026,6,15),日次入力!$C$4:$C$1500,"Meta介護校"))</f>
        <v>0</v>
      </c>
      <c r="O71" s="15" t="str">
        <f aca="false">IF(N71="","",IFERROR(N71/L71,""))</f>
        <v/>
      </c>
      <c r="P71" s="37" t="str">
        <f aca="false">IF(N71=0,"",IFERROR(C71/N71,""))</f>
        <v/>
      </c>
      <c r="Q71" s="38" t="str">
        <f aca="false">IF(N71=0,"",IFERROR(IF(C71/N71&lt;=用語集!$B$22,"◎ 許容内","✗ 超過"),"—"))</f>
        <v/>
      </c>
      <c r="R71" s="39" t="str">
        <f aca="false">IFERROR(用語集!$B$22/P71,"")</f>
        <v/>
      </c>
    </row>
    <row r="72" customFormat="false" ht="15" hidden="false" customHeight="false" outlineLevel="0" collapsed="false">
      <c r="A72" s="34" t="s">
        <v>80</v>
      </c>
      <c r="B72" s="35" t="s">
        <v>81</v>
      </c>
      <c r="C72" s="41" t="n">
        <f aca="false">IF(COUNTIFS(日次入力!$A$4:$A$1500,"&gt;="&amp;DATE(2026,6,16),日次入力!$A$4:$A$1500,"&lt;="&amp;DATE(2026,6,22),日次入力!$C$4:$C$1500,"Meta介護校")=0,"",SUMIFS(日次入力!$D$4:$D$1500,日次入力!$A$4:$A$1500,"&gt;="&amp;DATE(2026,6,16),日次入力!$A$4:$A$1500,"&lt;="&amp;DATE(2026,6,22),日次入力!$C$4:$C$1500,"Meta介護校"))</f>
        <v>102707</v>
      </c>
      <c r="D72" s="42" t="n">
        <f aca="false">IF(COUNTIFS(日次入力!$A$4:$A$1500,"&gt;="&amp;DATE(2026,6,16),日次入力!$A$4:$A$1500,"&lt;="&amp;DATE(2026,6,22),日次入力!$C$4:$C$1500,"Meta介護校")=0,"",SUMIFS(日次入力!$E$4:$E$1500,日次入力!$A$4:$A$1500,"&gt;="&amp;DATE(2026,6,16),日次入力!$A$4:$A$1500,"&lt;="&amp;DATE(2026,6,22),日次入力!$C$4:$C$1500,"Meta介護校"))</f>
        <v>32282</v>
      </c>
      <c r="E72" s="42" t="n">
        <f aca="false">IF(COUNTIFS(日次入力!$A$4:$A$1500,"&gt;="&amp;DATE(2026,6,16),日次入力!$A$4:$A$1500,"&lt;="&amp;DATE(2026,6,22),日次入力!$C$4:$C$1500,"Meta介護校")=0,"",SUMIFS(日次入力!$F$4:$F$1500,日次入力!$A$4:$A$1500,"&gt;="&amp;DATE(2026,6,16),日次入力!$A$4:$A$1500,"&lt;="&amp;DATE(2026,6,22),日次入力!$C$4:$C$1500,"Meta介護校"))</f>
        <v>773</v>
      </c>
      <c r="F72" s="42" t="n">
        <f aca="false">IF(COUNTIFS(日次入力!$A$4:$A$1500,"&gt;="&amp;DATE(2026,6,16),日次入力!$A$4:$A$1500,"&lt;="&amp;DATE(2026,6,22),日次入力!$C$4:$C$1500,"Meta介護校")=0,"",SUMIFS(日次入力!$G$4:$G$1500,日次入力!$A$4:$A$1500,"&gt;="&amp;DATE(2026,6,16),日次入力!$A$4:$A$1500,"&lt;="&amp;DATE(2026,6,22),日次入力!$C$4:$C$1500,"Meta介護校"))</f>
        <v>26</v>
      </c>
      <c r="G72" s="15" t="n">
        <f aca="false">IFERROR(E72/D72,"")</f>
        <v>0.0239452326373831</v>
      </c>
      <c r="H72" s="37" t="n">
        <f aca="false">IFERROR(C72/E72,"")</f>
        <v>132.868046571798</v>
      </c>
      <c r="I72" s="37" t="n">
        <f aca="false">IFERROR(C72/D72*1000,"")</f>
        <v>3181.55628523635</v>
      </c>
      <c r="J72" s="15" t="n">
        <f aca="false">IFERROR(F72/E72,"")</f>
        <v>0.0336351875808538</v>
      </c>
      <c r="K72" s="37" t="n">
        <f aca="false">IFERROR(C72/F72,"")</f>
        <v>3950.26923076923</v>
      </c>
      <c r="L72" s="42" t="n">
        <f aca="false">IF(COUNTIFS(日次入力!$A$4:$A$1500,"&gt;="&amp;DATE(2026,6,16),日次入力!$A$4:$A$1500,"&lt;="&amp;DATE(2026,6,22),日次入力!$C$4:$C$1500,"Meta介護校")=0,"",SUMIFS(日次入力!$H$4:$H$1500,日次入力!$A$4:$A$1500,"&gt;="&amp;DATE(2026,6,16),日次入力!$A$4:$A$1500,"&lt;="&amp;DATE(2026,6,22),日次入力!$C$4:$C$1500,"Meta介護校"))</f>
        <v>2</v>
      </c>
      <c r="M72" s="15" t="n">
        <f aca="false">IF(L72="","",IFERROR(L72/F72,""))</f>
        <v>0.0769230769230769</v>
      </c>
      <c r="N72" s="42" t="n">
        <f aca="false">IF(COUNTIFS(日次入力!$A$4:$A$1500,"&gt;="&amp;DATE(2026,6,16),日次入力!$A$4:$A$1500,"&lt;="&amp;DATE(2026,6,22),日次入力!$C$4:$C$1500,"Meta介護校")=0,"",SUMIFS(日次入力!$I$4:$I$1500,日次入力!$A$4:$A$1500,"&gt;="&amp;DATE(2026,6,16),日次入力!$A$4:$A$1500,"&lt;="&amp;DATE(2026,6,22),日次入力!$C$4:$C$1500,"Meta介護校"))</f>
        <v>0</v>
      </c>
      <c r="O72" s="15" t="n">
        <f aca="false">IF(N72="","",IFERROR(N72/L72,""))</f>
        <v>0</v>
      </c>
      <c r="P72" s="37" t="str">
        <f aca="false">IF(N72=0,"",IFERROR(C72/N72,""))</f>
        <v/>
      </c>
      <c r="Q72" s="38" t="str">
        <f aca="false">IF(N72=0,"",IFERROR(IF(C72/N72&lt;=用語集!$B$22,"◎ 許容内","✗ 超過"),"—"))</f>
        <v/>
      </c>
      <c r="R72" s="39" t="str">
        <f aca="false">IFERROR(用語集!$B$22/P72,"")</f>
        <v/>
      </c>
    </row>
    <row r="73" customFormat="false" ht="15" hidden="false" customHeight="false" outlineLevel="0" collapsed="false">
      <c r="A73" s="34" t="s">
        <v>82</v>
      </c>
      <c r="B73" s="35" t="s">
        <v>83</v>
      </c>
      <c r="C73" s="41" t="str">
        <f aca="false">IF(COUNTIFS(日次入力!$A$4:$A$1500,"&gt;="&amp;DATE(2026,6,23),日次入力!$A$4:$A$1500,"&lt;="&amp;DATE(2026,6,29),日次入力!$C$4:$C$1500,"Meta介護校")=0,"",SUMIFS(日次入力!$D$4:$D$1500,日次入力!$A$4:$A$1500,"&gt;="&amp;DATE(2026,6,23),日次入力!$A$4:$A$1500,"&lt;="&amp;DATE(2026,6,29),日次入力!$C$4:$C$1500,"Meta介護校"))</f>
        <v/>
      </c>
      <c r="D73" s="42" t="str">
        <f aca="false">IF(COUNTIFS(日次入力!$A$4:$A$1500,"&gt;="&amp;DATE(2026,6,23),日次入力!$A$4:$A$1500,"&lt;="&amp;DATE(2026,6,29),日次入力!$C$4:$C$1500,"Meta介護校")=0,"",SUMIFS(日次入力!$E$4:$E$1500,日次入力!$A$4:$A$1500,"&gt;="&amp;DATE(2026,6,23),日次入力!$A$4:$A$1500,"&lt;="&amp;DATE(2026,6,29),日次入力!$C$4:$C$1500,"Meta介護校"))</f>
        <v/>
      </c>
      <c r="E73" s="42" t="str">
        <f aca="false">IF(COUNTIFS(日次入力!$A$4:$A$1500,"&gt;="&amp;DATE(2026,6,23),日次入力!$A$4:$A$1500,"&lt;="&amp;DATE(2026,6,29),日次入力!$C$4:$C$1500,"Meta介護校")=0,"",SUMIFS(日次入力!$F$4:$F$1500,日次入力!$A$4:$A$1500,"&gt;="&amp;DATE(2026,6,23),日次入力!$A$4:$A$1500,"&lt;="&amp;DATE(2026,6,29),日次入力!$C$4:$C$1500,"Meta介護校"))</f>
        <v/>
      </c>
      <c r="F73" s="42" t="str">
        <f aca="false">IF(COUNTIFS(日次入力!$A$4:$A$1500,"&gt;="&amp;DATE(2026,6,23),日次入力!$A$4:$A$1500,"&lt;="&amp;DATE(2026,6,29),日次入力!$C$4:$C$1500,"Meta介護校")=0,"",SUMIFS(日次入力!$G$4:$G$1500,日次入力!$A$4:$A$1500,"&gt;="&amp;DATE(2026,6,23),日次入力!$A$4:$A$1500,"&lt;="&amp;DATE(2026,6,29),日次入力!$C$4:$C$1500,"Meta介護校"))</f>
        <v/>
      </c>
      <c r="G73" s="15" t="str">
        <f aca="false">IFERROR(E73/D73,"")</f>
        <v/>
      </c>
      <c r="H73" s="37" t="str">
        <f aca="false">IFERROR(C73/E73,"")</f>
        <v/>
      </c>
      <c r="I73" s="37" t="str">
        <f aca="false">IFERROR(C73/D73*1000,"")</f>
        <v/>
      </c>
      <c r="J73" s="15" t="str">
        <f aca="false">IFERROR(F73/E73,"")</f>
        <v/>
      </c>
      <c r="K73" s="37" t="str">
        <f aca="false">IFERROR(C73/F73,"")</f>
        <v/>
      </c>
      <c r="L73" s="42" t="str">
        <f aca="false">IF(COUNTIFS(日次入力!$A$4:$A$1500,"&gt;="&amp;DATE(2026,6,23),日次入力!$A$4:$A$1500,"&lt;="&amp;DATE(2026,6,29),日次入力!$C$4:$C$1500,"Meta介護校")=0,"",SUMIFS(日次入力!$H$4:$H$1500,日次入力!$A$4:$A$1500,"&gt;="&amp;DATE(2026,6,23),日次入力!$A$4:$A$1500,"&lt;="&amp;DATE(2026,6,29),日次入力!$C$4:$C$1500,"Meta介護校"))</f>
        <v/>
      </c>
      <c r="M73" s="15" t="str">
        <f aca="false">IF(L73="","",IFERROR(L73/F73,""))</f>
        <v/>
      </c>
      <c r="N73" s="42" t="str">
        <f aca="false">IF(COUNTIFS(日次入力!$A$4:$A$1500,"&gt;="&amp;DATE(2026,6,23),日次入力!$A$4:$A$1500,"&lt;="&amp;DATE(2026,6,29),日次入力!$C$4:$C$1500,"Meta介護校")=0,"",SUMIFS(日次入力!$I$4:$I$1500,日次入力!$A$4:$A$1500,"&gt;="&amp;DATE(2026,6,23),日次入力!$A$4:$A$1500,"&lt;="&amp;DATE(2026,6,29),日次入力!$C$4:$C$1500,"Meta介護校"))</f>
        <v/>
      </c>
      <c r="O73" s="15" t="str">
        <f aca="false">IF(N73="","",IFERROR(N73/L73,""))</f>
        <v/>
      </c>
      <c r="P73" s="37" t="str">
        <f aca="false">IF(N73=0,"",IFERROR(C73/N73,""))</f>
        <v/>
      </c>
      <c r="Q73" s="38" t="str">
        <f aca="false">IF(N73=0,"",IFERROR(IF(C73/N73&lt;=用語集!$B$22,"◎ 許容内","✗ 超過"),"—"))</f>
        <v>—</v>
      </c>
      <c r="R73" s="39" t="str">
        <f aca="false">IFERROR(用語集!$B$22/P73,"")</f>
        <v/>
      </c>
    </row>
    <row r="74" customFormat="false" ht="15" hidden="false" customHeight="false" outlineLevel="0" collapsed="false">
      <c r="A74" s="34" t="s">
        <v>84</v>
      </c>
      <c r="B74" s="35" t="s">
        <v>85</v>
      </c>
      <c r="C74" s="41" t="str">
        <f aca="false">IF(COUNTIFS(日次入力!$A$4:$A$1500,"&gt;="&amp;DATE(2026,6,30),日次入力!$A$4:$A$1500,"&lt;="&amp;DATE(2026,7,6),日次入力!$C$4:$C$1500,"Meta介護校")=0,"",SUMIFS(日次入力!$D$4:$D$1500,日次入力!$A$4:$A$1500,"&gt;="&amp;DATE(2026,6,30),日次入力!$A$4:$A$1500,"&lt;="&amp;DATE(2026,7,6),日次入力!$C$4:$C$1500,"Meta介護校"))</f>
        <v/>
      </c>
      <c r="D74" s="42" t="str">
        <f aca="false">IF(COUNTIFS(日次入力!$A$4:$A$1500,"&gt;="&amp;DATE(2026,6,30),日次入力!$A$4:$A$1500,"&lt;="&amp;DATE(2026,7,6),日次入力!$C$4:$C$1500,"Meta介護校")=0,"",SUMIFS(日次入力!$E$4:$E$1500,日次入力!$A$4:$A$1500,"&gt;="&amp;DATE(2026,6,30),日次入力!$A$4:$A$1500,"&lt;="&amp;DATE(2026,7,6),日次入力!$C$4:$C$1500,"Meta介護校"))</f>
        <v/>
      </c>
      <c r="E74" s="42" t="str">
        <f aca="false">IF(COUNTIFS(日次入力!$A$4:$A$1500,"&gt;="&amp;DATE(2026,6,30),日次入力!$A$4:$A$1500,"&lt;="&amp;DATE(2026,7,6),日次入力!$C$4:$C$1500,"Meta介護校")=0,"",SUMIFS(日次入力!$F$4:$F$1500,日次入力!$A$4:$A$1500,"&gt;="&amp;DATE(2026,6,30),日次入力!$A$4:$A$1500,"&lt;="&amp;DATE(2026,7,6),日次入力!$C$4:$C$1500,"Meta介護校"))</f>
        <v/>
      </c>
      <c r="F74" s="42" t="str">
        <f aca="false">IF(COUNTIFS(日次入力!$A$4:$A$1500,"&gt;="&amp;DATE(2026,6,30),日次入力!$A$4:$A$1500,"&lt;="&amp;DATE(2026,7,6),日次入力!$C$4:$C$1500,"Meta介護校")=0,"",SUMIFS(日次入力!$G$4:$G$1500,日次入力!$A$4:$A$1500,"&gt;="&amp;DATE(2026,6,30),日次入力!$A$4:$A$1500,"&lt;="&amp;DATE(2026,7,6),日次入力!$C$4:$C$1500,"Meta介護校"))</f>
        <v/>
      </c>
      <c r="G74" s="15" t="str">
        <f aca="false">IFERROR(E74/D74,"")</f>
        <v/>
      </c>
      <c r="H74" s="37" t="str">
        <f aca="false">IFERROR(C74/E74,"")</f>
        <v/>
      </c>
      <c r="I74" s="37" t="str">
        <f aca="false">IFERROR(C74/D74*1000,"")</f>
        <v/>
      </c>
      <c r="J74" s="15" t="str">
        <f aca="false">IFERROR(F74/E74,"")</f>
        <v/>
      </c>
      <c r="K74" s="37" t="str">
        <f aca="false">IFERROR(C74/F74,"")</f>
        <v/>
      </c>
      <c r="L74" s="42" t="str">
        <f aca="false">IF(COUNTIFS(日次入力!$A$4:$A$1500,"&gt;="&amp;DATE(2026,6,30),日次入力!$A$4:$A$1500,"&lt;="&amp;DATE(2026,7,6),日次入力!$C$4:$C$1500,"Meta介護校")=0,"",SUMIFS(日次入力!$H$4:$H$1500,日次入力!$A$4:$A$1500,"&gt;="&amp;DATE(2026,6,30),日次入力!$A$4:$A$1500,"&lt;="&amp;DATE(2026,7,6),日次入力!$C$4:$C$1500,"Meta介護校"))</f>
        <v/>
      </c>
      <c r="M74" s="15" t="str">
        <f aca="false">IF(L74="","",IFERROR(L74/F74,""))</f>
        <v/>
      </c>
      <c r="N74" s="42" t="str">
        <f aca="false">IF(COUNTIFS(日次入力!$A$4:$A$1500,"&gt;="&amp;DATE(2026,6,30),日次入力!$A$4:$A$1500,"&lt;="&amp;DATE(2026,7,6),日次入力!$C$4:$C$1500,"Meta介護校")=0,"",SUMIFS(日次入力!$I$4:$I$1500,日次入力!$A$4:$A$1500,"&gt;="&amp;DATE(2026,6,30),日次入力!$A$4:$A$1500,"&lt;="&amp;DATE(2026,7,6),日次入力!$C$4:$C$1500,"Meta介護校"))</f>
        <v/>
      </c>
      <c r="O74" s="15" t="str">
        <f aca="false">IF(N74="","",IFERROR(N74/L74,""))</f>
        <v/>
      </c>
      <c r="P74" s="37" t="str">
        <f aca="false">IF(N74=0,"",IFERROR(C74/N74,""))</f>
        <v/>
      </c>
      <c r="Q74" s="38" t="str">
        <f aca="false">IF(N74=0,"",IFERROR(IF(C74/N74&lt;=用語集!$B$22,"◎ 許容内","✗ 超過"),"—"))</f>
        <v>—</v>
      </c>
      <c r="R74" s="39" t="str">
        <f aca="false">IFERROR(用語集!$B$22/P74,"")</f>
        <v/>
      </c>
    </row>
    <row r="75" customFormat="false" ht="15" hidden="false" customHeight="false" outlineLevel="0" collapsed="false">
      <c r="A75" s="34" t="s">
        <v>86</v>
      </c>
      <c r="B75" s="35" t="s">
        <v>87</v>
      </c>
      <c r="C75" s="41" t="str">
        <f aca="false">IF(COUNTIFS(日次入力!$A$4:$A$1500,"&gt;="&amp;DATE(2026,7,7),日次入力!$A$4:$A$1500,"&lt;="&amp;DATE(2026,7,13),日次入力!$C$4:$C$1500,"Meta介護校")=0,"",SUMIFS(日次入力!$D$4:$D$1500,日次入力!$A$4:$A$1500,"&gt;="&amp;DATE(2026,7,7),日次入力!$A$4:$A$1500,"&lt;="&amp;DATE(2026,7,13),日次入力!$C$4:$C$1500,"Meta介護校"))</f>
        <v/>
      </c>
      <c r="D75" s="42" t="str">
        <f aca="false">IF(COUNTIFS(日次入力!$A$4:$A$1500,"&gt;="&amp;DATE(2026,7,7),日次入力!$A$4:$A$1500,"&lt;="&amp;DATE(2026,7,13),日次入力!$C$4:$C$1500,"Meta介護校")=0,"",SUMIFS(日次入力!$E$4:$E$1500,日次入力!$A$4:$A$1500,"&gt;="&amp;DATE(2026,7,7),日次入力!$A$4:$A$1500,"&lt;="&amp;DATE(2026,7,13),日次入力!$C$4:$C$1500,"Meta介護校"))</f>
        <v/>
      </c>
      <c r="E75" s="42" t="str">
        <f aca="false">IF(COUNTIFS(日次入力!$A$4:$A$1500,"&gt;="&amp;DATE(2026,7,7),日次入力!$A$4:$A$1500,"&lt;="&amp;DATE(2026,7,13),日次入力!$C$4:$C$1500,"Meta介護校")=0,"",SUMIFS(日次入力!$F$4:$F$1500,日次入力!$A$4:$A$1500,"&gt;="&amp;DATE(2026,7,7),日次入力!$A$4:$A$1500,"&lt;="&amp;DATE(2026,7,13),日次入力!$C$4:$C$1500,"Meta介護校"))</f>
        <v/>
      </c>
      <c r="F75" s="42" t="str">
        <f aca="false">IF(COUNTIFS(日次入力!$A$4:$A$1500,"&gt;="&amp;DATE(2026,7,7),日次入力!$A$4:$A$1500,"&lt;="&amp;DATE(2026,7,13),日次入力!$C$4:$C$1500,"Meta介護校")=0,"",SUMIFS(日次入力!$G$4:$G$1500,日次入力!$A$4:$A$1500,"&gt;="&amp;DATE(2026,7,7),日次入力!$A$4:$A$1500,"&lt;="&amp;DATE(2026,7,13),日次入力!$C$4:$C$1500,"Meta介護校"))</f>
        <v/>
      </c>
      <c r="G75" s="15" t="str">
        <f aca="false">IFERROR(E75/D75,"")</f>
        <v/>
      </c>
      <c r="H75" s="37" t="str">
        <f aca="false">IFERROR(C75/E75,"")</f>
        <v/>
      </c>
      <c r="I75" s="37" t="str">
        <f aca="false">IFERROR(C75/D75*1000,"")</f>
        <v/>
      </c>
      <c r="J75" s="15" t="str">
        <f aca="false">IFERROR(F75/E75,"")</f>
        <v/>
      </c>
      <c r="K75" s="37" t="str">
        <f aca="false">IFERROR(C75/F75,"")</f>
        <v/>
      </c>
      <c r="L75" s="42" t="str">
        <f aca="false">IF(COUNTIFS(日次入力!$A$4:$A$1500,"&gt;="&amp;DATE(2026,7,7),日次入力!$A$4:$A$1500,"&lt;="&amp;DATE(2026,7,13),日次入力!$C$4:$C$1500,"Meta介護校")=0,"",SUMIFS(日次入力!$H$4:$H$1500,日次入力!$A$4:$A$1500,"&gt;="&amp;DATE(2026,7,7),日次入力!$A$4:$A$1500,"&lt;="&amp;DATE(2026,7,13),日次入力!$C$4:$C$1500,"Meta介護校"))</f>
        <v/>
      </c>
      <c r="M75" s="15" t="str">
        <f aca="false">IF(L75="","",IFERROR(L75/F75,""))</f>
        <v/>
      </c>
      <c r="N75" s="42" t="str">
        <f aca="false">IF(COUNTIFS(日次入力!$A$4:$A$1500,"&gt;="&amp;DATE(2026,7,7),日次入力!$A$4:$A$1500,"&lt;="&amp;DATE(2026,7,13),日次入力!$C$4:$C$1500,"Meta介護校")=0,"",SUMIFS(日次入力!$I$4:$I$1500,日次入力!$A$4:$A$1500,"&gt;="&amp;DATE(2026,7,7),日次入力!$A$4:$A$1500,"&lt;="&amp;DATE(2026,7,13),日次入力!$C$4:$C$1500,"Meta介護校"))</f>
        <v/>
      </c>
      <c r="O75" s="15" t="str">
        <f aca="false">IF(N75="","",IFERROR(N75/L75,""))</f>
        <v/>
      </c>
      <c r="P75" s="37" t="str">
        <f aca="false">IF(N75=0,"",IFERROR(C75/N75,""))</f>
        <v/>
      </c>
      <c r="Q75" s="38" t="str">
        <f aca="false">IF(N75=0,"",IFERROR(IF(C75/N75&lt;=用語集!$B$22,"◎ 許容内","✗ 超過"),"—"))</f>
        <v>—</v>
      </c>
      <c r="R75" s="39" t="str">
        <f aca="false">IFERROR(用語集!$B$22/P75,"")</f>
        <v/>
      </c>
    </row>
    <row r="76" customFormat="false" ht="15" hidden="false" customHeight="false" outlineLevel="0" collapsed="false">
      <c r="A76" s="34" t="s">
        <v>88</v>
      </c>
      <c r="B76" s="35" t="s">
        <v>89</v>
      </c>
      <c r="C76" s="41" t="str">
        <f aca="false">IF(COUNTIFS(日次入力!$A$4:$A$1500,"&gt;="&amp;DATE(2026,7,14),日次入力!$A$4:$A$1500,"&lt;="&amp;DATE(2026,7,20),日次入力!$C$4:$C$1500,"Meta介護校")=0,"",SUMIFS(日次入力!$D$4:$D$1500,日次入力!$A$4:$A$1500,"&gt;="&amp;DATE(2026,7,14),日次入力!$A$4:$A$1500,"&lt;="&amp;DATE(2026,7,20),日次入力!$C$4:$C$1500,"Meta介護校"))</f>
        <v/>
      </c>
      <c r="D76" s="42" t="str">
        <f aca="false">IF(COUNTIFS(日次入力!$A$4:$A$1500,"&gt;="&amp;DATE(2026,7,14),日次入力!$A$4:$A$1500,"&lt;="&amp;DATE(2026,7,20),日次入力!$C$4:$C$1500,"Meta介護校")=0,"",SUMIFS(日次入力!$E$4:$E$1500,日次入力!$A$4:$A$1500,"&gt;="&amp;DATE(2026,7,14),日次入力!$A$4:$A$1500,"&lt;="&amp;DATE(2026,7,20),日次入力!$C$4:$C$1500,"Meta介護校"))</f>
        <v/>
      </c>
      <c r="E76" s="42" t="str">
        <f aca="false">IF(COUNTIFS(日次入力!$A$4:$A$1500,"&gt;="&amp;DATE(2026,7,14),日次入力!$A$4:$A$1500,"&lt;="&amp;DATE(2026,7,20),日次入力!$C$4:$C$1500,"Meta介護校")=0,"",SUMIFS(日次入力!$F$4:$F$1500,日次入力!$A$4:$A$1500,"&gt;="&amp;DATE(2026,7,14),日次入力!$A$4:$A$1500,"&lt;="&amp;DATE(2026,7,20),日次入力!$C$4:$C$1500,"Meta介護校"))</f>
        <v/>
      </c>
      <c r="F76" s="42" t="str">
        <f aca="false">IF(COUNTIFS(日次入力!$A$4:$A$1500,"&gt;="&amp;DATE(2026,7,14),日次入力!$A$4:$A$1500,"&lt;="&amp;DATE(2026,7,20),日次入力!$C$4:$C$1500,"Meta介護校")=0,"",SUMIFS(日次入力!$G$4:$G$1500,日次入力!$A$4:$A$1500,"&gt;="&amp;DATE(2026,7,14),日次入力!$A$4:$A$1500,"&lt;="&amp;DATE(2026,7,20),日次入力!$C$4:$C$1500,"Meta介護校"))</f>
        <v/>
      </c>
      <c r="G76" s="15" t="str">
        <f aca="false">IFERROR(E76/D76,"")</f>
        <v/>
      </c>
      <c r="H76" s="37" t="str">
        <f aca="false">IFERROR(C76/E76,"")</f>
        <v/>
      </c>
      <c r="I76" s="37" t="str">
        <f aca="false">IFERROR(C76/D76*1000,"")</f>
        <v/>
      </c>
      <c r="J76" s="15" t="str">
        <f aca="false">IFERROR(F76/E76,"")</f>
        <v/>
      </c>
      <c r="K76" s="37" t="str">
        <f aca="false">IFERROR(C76/F76,"")</f>
        <v/>
      </c>
      <c r="L76" s="42" t="str">
        <f aca="false">IF(COUNTIFS(日次入力!$A$4:$A$1500,"&gt;="&amp;DATE(2026,7,14),日次入力!$A$4:$A$1500,"&lt;="&amp;DATE(2026,7,20),日次入力!$C$4:$C$1500,"Meta介護校")=0,"",SUMIFS(日次入力!$H$4:$H$1500,日次入力!$A$4:$A$1500,"&gt;="&amp;DATE(2026,7,14),日次入力!$A$4:$A$1500,"&lt;="&amp;DATE(2026,7,20),日次入力!$C$4:$C$1500,"Meta介護校"))</f>
        <v/>
      </c>
      <c r="M76" s="15" t="str">
        <f aca="false">IF(L76="","",IFERROR(L76/F76,""))</f>
        <v/>
      </c>
      <c r="N76" s="42" t="str">
        <f aca="false">IF(COUNTIFS(日次入力!$A$4:$A$1500,"&gt;="&amp;DATE(2026,7,14),日次入力!$A$4:$A$1500,"&lt;="&amp;DATE(2026,7,20),日次入力!$C$4:$C$1500,"Meta介護校")=0,"",SUMIFS(日次入力!$I$4:$I$1500,日次入力!$A$4:$A$1500,"&gt;="&amp;DATE(2026,7,14),日次入力!$A$4:$A$1500,"&lt;="&amp;DATE(2026,7,20),日次入力!$C$4:$C$1500,"Meta介護校"))</f>
        <v/>
      </c>
      <c r="O76" s="15" t="str">
        <f aca="false">IF(N76="","",IFERROR(N76/L76,""))</f>
        <v/>
      </c>
      <c r="P76" s="37" t="str">
        <f aca="false">IF(N76=0,"",IFERROR(C76/N76,""))</f>
        <v/>
      </c>
      <c r="Q76" s="38" t="str">
        <f aca="false">IF(N76=0,"",IFERROR(IF(C76/N76&lt;=用語集!$B$22,"◎ 許容内","✗ 超過"),"—"))</f>
        <v>—</v>
      </c>
      <c r="R76" s="39" t="str">
        <f aca="false">IFERROR(用語集!$B$22/P76,"")</f>
        <v/>
      </c>
    </row>
    <row r="77" customFormat="false" ht="15" hidden="false" customHeight="false" outlineLevel="0" collapsed="false">
      <c r="A77" s="34" t="s">
        <v>90</v>
      </c>
      <c r="B77" s="35" t="s">
        <v>91</v>
      </c>
      <c r="C77" s="41" t="str">
        <f aca="false">IF(COUNTIFS(日次入力!$A$4:$A$1500,"&gt;="&amp;DATE(2026,7,21),日次入力!$A$4:$A$1500,"&lt;="&amp;DATE(2026,7,27),日次入力!$C$4:$C$1500,"Meta介護校")=0,"",SUMIFS(日次入力!$D$4:$D$1500,日次入力!$A$4:$A$1500,"&gt;="&amp;DATE(2026,7,21),日次入力!$A$4:$A$1500,"&lt;="&amp;DATE(2026,7,27),日次入力!$C$4:$C$1500,"Meta介護校"))</f>
        <v/>
      </c>
      <c r="D77" s="42" t="str">
        <f aca="false">IF(COUNTIFS(日次入力!$A$4:$A$1500,"&gt;="&amp;DATE(2026,7,21),日次入力!$A$4:$A$1500,"&lt;="&amp;DATE(2026,7,27),日次入力!$C$4:$C$1500,"Meta介護校")=0,"",SUMIFS(日次入力!$E$4:$E$1500,日次入力!$A$4:$A$1500,"&gt;="&amp;DATE(2026,7,21),日次入力!$A$4:$A$1500,"&lt;="&amp;DATE(2026,7,27),日次入力!$C$4:$C$1500,"Meta介護校"))</f>
        <v/>
      </c>
      <c r="E77" s="42" t="str">
        <f aca="false">IF(COUNTIFS(日次入力!$A$4:$A$1500,"&gt;="&amp;DATE(2026,7,21),日次入力!$A$4:$A$1500,"&lt;="&amp;DATE(2026,7,27),日次入力!$C$4:$C$1500,"Meta介護校")=0,"",SUMIFS(日次入力!$F$4:$F$1500,日次入力!$A$4:$A$1500,"&gt;="&amp;DATE(2026,7,21),日次入力!$A$4:$A$1500,"&lt;="&amp;DATE(2026,7,27),日次入力!$C$4:$C$1500,"Meta介護校"))</f>
        <v/>
      </c>
      <c r="F77" s="42" t="str">
        <f aca="false">IF(COUNTIFS(日次入力!$A$4:$A$1500,"&gt;="&amp;DATE(2026,7,21),日次入力!$A$4:$A$1500,"&lt;="&amp;DATE(2026,7,27),日次入力!$C$4:$C$1500,"Meta介護校")=0,"",SUMIFS(日次入力!$G$4:$G$1500,日次入力!$A$4:$A$1500,"&gt;="&amp;DATE(2026,7,21),日次入力!$A$4:$A$1500,"&lt;="&amp;DATE(2026,7,27),日次入力!$C$4:$C$1500,"Meta介護校"))</f>
        <v/>
      </c>
      <c r="G77" s="15" t="str">
        <f aca="false">IFERROR(E77/D77,"")</f>
        <v/>
      </c>
      <c r="H77" s="37" t="str">
        <f aca="false">IFERROR(C77/E77,"")</f>
        <v/>
      </c>
      <c r="I77" s="37" t="str">
        <f aca="false">IFERROR(C77/D77*1000,"")</f>
        <v/>
      </c>
      <c r="J77" s="15" t="str">
        <f aca="false">IFERROR(F77/E77,"")</f>
        <v/>
      </c>
      <c r="K77" s="37" t="str">
        <f aca="false">IFERROR(C77/F77,"")</f>
        <v/>
      </c>
      <c r="L77" s="42" t="str">
        <f aca="false">IF(COUNTIFS(日次入力!$A$4:$A$1500,"&gt;="&amp;DATE(2026,7,21),日次入力!$A$4:$A$1500,"&lt;="&amp;DATE(2026,7,27),日次入力!$C$4:$C$1500,"Meta介護校")=0,"",SUMIFS(日次入力!$H$4:$H$1500,日次入力!$A$4:$A$1500,"&gt;="&amp;DATE(2026,7,21),日次入力!$A$4:$A$1500,"&lt;="&amp;DATE(2026,7,27),日次入力!$C$4:$C$1500,"Meta介護校"))</f>
        <v/>
      </c>
      <c r="M77" s="15" t="str">
        <f aca="false">IF(L77="","",IFERROR(L77/F77,""))</f>
        <v/>
      </c>
      <c r="N77" s="42" t="str">
        <f aca="false">IF(COUNTIFS(日次入力!$A$4:$A$1500,"&gt;="&amp;DATE(2026,7,21),日次入力!$A$4:$A$1500,"&lt;="&amp;DATE(2026,7,27),日次入力!$C$4:$C$1500,"Meta介護校")=0,"",SUMIFS(日次入力!$I$4:$I$1500,日次入力!$A$4:$A$1500,"&gt;="&amp;DATE(2026,7,21),日次入力!$A$4:$A$1500,"&lt;="&amp;DATE(2026,7,27),日次入力!$C$4:$C$1500,"Meta介護校"))</f>
        <v/>
      </c>
      <c r="O77" s="15" t="str">
        <f aca="false">IF(N77="","",IFERROR(N77/L77,""))</f>
        <v/>
      </c>
      <c r="P77" s="37" t="str">
        <f aca="false">IF(N77=0,"",IFERROR(C77/N77,""))</f>
        <v/>
      </c>
      <c r="Q77" s="38" t="str">
        <f aca="false">IF(N77=0,"",IFERROR(IF(C77/N77&lt;=用語集!$B$22,"◎ 許容内","✗ 超過"),"—"))</f>
        <v>—</v>
      </c>
      <c r="R77" s="39" t="str">
        <f aca="false">IFERROR(用語集!$B$22/P77,"")</f>
        <v/>
      </c>
    </row>
    <row r="78" customFormat="false" ht="15" hidden="false" customHeight="false" outlineLevel="0" collapsed="false">
      <c r="A78" s="34" t="s">
        <v>92</v>
      </c>
      <c r="B78" s="35" t="s">
        <v>93</v>
      </c>
      <c r="C78" s="41" t="str">
        <f aca="false">IF(COUNTIFS(日次入力!$A$4:$A$1500,"&gt;="&amp;DATE(2026,7,28),日次入力!$A$4:$A$1500,"&lt;="&amp;DATE(2026,8,3),日次入力!$C$4:$C$1500,"Meta介護校")=0,"",SUMIFS(日次入力!$D$4:$D$1500,日次入力!$A$4:$A$1500,"&gt;="&amp;DATE(2026,7,28),日次入力!$A$4:$A$1500,"&lt;="&amp;DATE(2026,8,3),日次入力!$C$4:$C$1500,"Meta介護校"))</f>
        <v/>
      </c>
      <c r="D78" s="42" t="str">
        <f aca="false">IF(COUNTIFS(日次入力!$A$4:$A$1500,"&gt;="&amp;DATE(2026,7,28),日次入力!$A$4:$A$1500,"&lt;="&amp;DATE(2026,8,3),日次入力!$C$4:$C$1500,"Meta介護校")=0,"",SUMIFS(日次入力!$E$4:$E$1500,日次入力!$A$4:$A$1500,"&gt;="&amp;DATE(2026,7,28),日次入力!$A$4:$A$1500,"&lt;="&amp;DATE(2026,8,3),日次入力!$C$4:$C$1500,"Meta介護校"))</f>
        <v/>
      </c>
      <c r="E78" s="42" t="str">
        <f aca="false">IF(COUNTIFS(日次入力!$A$4:$A$1500,"&gt;="&amp;DATE(2026,7,28),日次入力!$A$4:$A$1500,"&lt;="&amp;DATE(2026,8,3),日次入力!$C$4:$C$1500,"Meta介護校")=0,"",SUMIFS(日次入力!$F$4:$F$1500,日次入力!$A$4:$A$1500,"&gt;="&amp;DATE(2026,7,28),日次入力!$A$4:$A$1500,"&lt;="&amp;DATE(2026,8,3),日次入力!$C$4:$C$1500,"Meta介護校"))</f>
        <v/>
      </c>
      <c r="F78" s="42" t="str">
        <f aca="false">IF(COUNTIFS(日次入力!$A$4:$A$1500,"&gt;="&amp;DATE(2026,7,28),日次入力!$A$4:$A$1500,"&lt;="&amp;DATE(2026,8,3),日次入力!$C$4:$C$1500,"Meta介護校")=0,"",SUMIFS(日次入力!$G$4:$G$1500,日次入力!$A$4:$A$1500,"&gt;="&amp;DATE(2026,7,28),日次入力!$A$4:$A$1500,"&lt;="&amp;DATE(2026,8,3),日次入力!$C$4:$C$1500,"Meta介護校"))</f>
        <v/>
      </c>
      <c r="G78" s="15" t="str">
        <f aca="false">IFERROR(E78/D78,"")</f>
        <v/>
      </c>
      <c r="H78" s="37" t="str">
        <f aca="false">IFERROR(C78/E78,"")</f>
        <v/>
      </c>
      <c r="I78" s="37" t="str">
        <f aca="false">IFERROR(C78/D78*1000,"")</f>
        <v/>
      </c>
      <c r="J78" s="15" t="str">
        <f aca="false">IFERROR(F78/E78,"")</f>
        <v/>
      </c>
      <c r="K78" s="37" t="str">
        <f aca="false">IFERROR(C78/F78,"")</f>
        <v/>
      </c>
      <c r="L78" s="42" t="str">
        <f aca="false">IF(COUNTIFS(日次入力!$A$4:$A$1500,"&gt;="&amp;DATE(2026,7,28),日次入力!$A$4:$A$1500,"&lt;="&amp;DATE(2026,8,3),日次入力!$C$4:$C$1500,"Meta介護校")=0,"",SUMIFS(日次入力!$H$4:$H$1500,日次入力!$A$4:$A$1500,"&gt;="&amp;DATE(2026,7,28),日次入力!$A$4:$A$1500,"&lt;="&amp;DATE(2026,8,3),日次入力!$C$4:$C$1500,"Meta介護校"))</f>
        <v/>
      </c>
      <c r="M78" s="15" t="str">
        <f aca="false">IF(L78="","",IFERROR(L78/F78,""))</f>
        <v/>
      </c>
      <c r="N78" s="42" t="str">
        <f aca="false">IF(COUNTIFS(日次入力!$A$4:$A$1500,"&gt;="&amp;DATE(2026,7,28),日次入力!$A$4:$A$1500,"&lt;="&amp;DATE(2026,8,3),日次入力!$C$4:$C$1500,"Meta介護校")=0,"",SUMIFS(日次入力!$I$4:$I$1500,日次入力!$A$4:$A$1500,"&gt;="&amp;DATE(2026,7,28),日次入力!$A$4:$A$1500,"&lt;="&amp;DATE(2026,8,3),日次入力!$C$4:$C$1500,"Meta介護校"))</f>
        <v/>
      </c>
      <c r="O78" s="15" t="str">
        <f aca="false">IF(N78="","",IFERROR(N78/L78,""))</f>
        <v/>
      </c>
      <c r="P78" s="37" t="str">
        <f aca="false">IF(N78=0,"",IFERROR(C78/N78,""))</f>
        <v/>
      </c>
      <c r="Q78" s="38" t="str">
        <f aca="false">IF(N78=0,"",IFERROR(IF(C78/N78&lt;=用語集!$B$22,"◎ 許容内","✗ 超過"),"—"))</f>
        <v>—</v>
      </c>
      <c r="R78" s="39" t="str">
        <f aca="false">IFERROR(用語集!$B$22/P78,"")</f>
        <v/>
      </c>
    </row>
    <row r="79" customFormat="false" ht="15" hidden="false" customHeight="false" outlineLevel="0" collapsed="false">
      <c r="A79" s="34" t="s">
        <v>94</v>
      </c>
      <c r="B79" s="35" t="s">
        <v>95</v>
      </c>
      <c r="C79" s="41" t="str">
        <f aca="false">IF(COUNTIFS(日次入力!$A$4:$A$1500,"&gt;="&amp;DATE(2026,8,4),日次入力!$A$4:$A$1500,"&lt;="&amp;DATE(2026,8,10),日次入力!$C$4:$C$1500,"Meta介護校")=0,"",SUMIFS(日次入力!$D$4:$D$1500,日次入力!$A$4:$A$1500,"&gt;="&amp;DATE(2026,8,4),日次入力!$A$4:$A$1500,"&lt;="&amp;DATE(2026,8,10),日次入力!$C$4:$C$1500,"Meta介護校"))</f>
        <v/>
      </c>
      <c r="D79" s="42" t="str">
        <f aca="false">IF(COUNTIFS(日次入力!$A$4:$A$1500,"&gt;="&amp;DATE(2026,8,4),日次入力!$A$4:$A$1500,"&lt;="&amp;DATE(2026,8,10),日次入力!$C$4:$C$1500,"Meta介護校")=0,"",SUMIFS(日次入力!$E$4:$E$1500,日次入力!$A$4:$A$1500,"&gt;="&amp;DATE(2026,8,4),日次入力!$A$4:$A$1500,"&lt;="&amp;DATE(2026,8,10),日次入力!$C$4:$C$1500,"Meta介護校"))</f>
        <v/>
      </c>
      <c r="E79" s="42" t="str">
        <f aca="false">IF(COUNTIFS(日次入力!$A$4:$A$1500,"&gt;="&amp;DATE(2026,8,4),日次入力!$A$4:$A$1500,"&lt;="&amp;DATE(2026,8,10),日次入力!$C$4:$C$1500,"Meta介護校")=0,"",SUMIFS(日次入力!$F$4:$F$1500,日次入力!$A$4:$A$1500,"&gt;="&amp;DATE(2026,8,4),日次入力!$A$4:$A$1500,"&lt;="&amp;DATE(2026,8,10),日次入力!$C$4:$C$1500,"Meta介護校"))</f>
        <v/>
      </c>
      <c r="F79" s="42" t="str">
        <f aca="false">IF(COUNTIFS(日次入力!$A$4:$A$1500,"&gt;="&amp;DATE(2026,8,4),日次入力!$A$4:$A$1500,"&lt;="&amp;DATE(2026,8,10),日次入力!$C$4:$C$1500,"Meta介護校")=0,"",SUMIFS(日次入力!$G$4:$G$1500,日次入力!$A$4:$A$1500,"&gt;="&amp;DATE(2026,8,4),日次入力!$A$4:$A$1500,"&lt;="&amp;DATE(2026,8,10),日次入力!$C$4:$C$1500,"Meta介護校"))</f>
        <v/>
      </c>
      <c r="G79" s="15" t="str">
        <f aca="false">IFERROR(E79/D79,"")</f>
        <v/>
      </c>
      <c r="H79" s="37" t="str">
        <f aca="false">IFERROR(C79/E79,"")</f>
        <v/>
      </c>
      <c r="I79" s="37" t="str">
        <f aca="false">IFERROR(C79/D79*1000,"")</f>
        <v/>
      </c>
      <c r="J79" s="15" t="str">
        <f aca="false">IFERROR(F79/E79,"")</f>
        <v/>
      </c>
      <c r="K79" s="37" t="str">
        <f aca="false">IFERROR(C79/F79,"")</f>
        <v/>
      </c>
      <c r="L79" s="42" t="str">
        <f aca="false">IF(COUNTIFS(日次入力!$A$4:$A$1500,"&gt;="&amp;DATE(2026,8,4),日次入力!$A$4:$A$1500,"&lt;="&amp;DATE(2026,8,10),日次入力!$C$4:$C$1500,"Meta介護校")=0,"",SUMIFS(日次入力!$H$4:$H$1500,日次入力!$A$4:$A$1500,"&gt;="&amp;DATE(2026,8,4),日次入力!$A$4:$A$1500,"&lt;="&amp;DATE(2026,8,10),日次入力!$C$4:$C$1500,"Meta介護校"))</f>
        <v/>
      </c>
      <c r="M79" s="15" t="str">
        <f aca="false">IF(L79="","",IFERROR(L79/F79,""))</f>
        <v/>
      </c>
      <c r="N79" s="42" t="str">
        <f aca="false">IF(COUNTIFS(日次入力!$A$4:$A$1500,"&gt;="&amp;DATE(2026,8,4),日次入力!$A$4:$A$1500,"&lt;="&amp;DATE(2026,8,10),日次入力!$C$4:$C$1500,"Meta介護校")=0,"",SUMIFS(日次入力!$I$4:$I$1500,日次入力!$A$4:$A$1500,"&gt;="&amp;DATE(2026,8,4),日次入力!$A$4:$A$1500,"&lt;="&amp;DATE(2026,8,10),日次入力!$C$4:$C$1500,"Meta介護校"))</f>
        <v/>
      </c>
      <c r="O79" s="15" t="str">
        <f aca="false">IF(N79="","",IFERROR(N79/L79,""))</f>
        <v/>
      </c>
      <c r="P79" s="37" t="str">
        <f aca="false">IF(N79=0,"",IFERROR(C79/N79,""))</f>
        <v/>
      </c>
      <c r="Q79" s="38" t="str">
        <f aca="false">IF(N79=0,"",IFERROR(IF(C79/N79&lt;=用語集!$B$22,"◎ 許容内","✗ 超過"),"—"))</f>
        <v>—</v>
      </c>
      <c r="R79" s="39" t="str">
        <f aca="false">IFERROR(用語集!$B$22/P79,"")</f>
        <v/>
      </c>
    </row>
    <row r="80" customFormat="false" ht="15" hidden="false" customHeight="false" outlineLevel="0" collapsed="false">
      <c r="A80" s="34" t="s">
        <v>96</v>
      </c>
      <c r="B80" s="35" t="s">
        <v>97</v>
      </c>
      <c r="C80" s="41" t="str">
        <f aca="false">IF(COUNTIFS(日次入力!$A$4:$A$1500,"&gt;="&amp;DATE(2026,8,11),日次入力!$A$4:$A$1500,"&lt;="&amp;DATE(2026,8,17),日次入力!$C$4:$C$1500,"Meta介護校")=0,"",SUMIFS(日次入力!$D$4:$D$1500,日次入力!$A$4:$A$1500,"&gt;="&amp;DATE(2026,8,11),日次入力!$A$4:$A$1500,"&lt;="&amp;DATE(2026,8,17),日次入力!$C$4:$C$1500,"Meta介護校"))</f>
        <v/>
      </c>
      <c r="D80" s="42" t="str">
        <f aca="false">IF(COUNTIFS(日次入力!$A$4:$A$1500,"&gt;="&amp;DATE(2026,8,11),日次入力!$A$4:$A$1500,"&lt;="&amp;DATE(2026,8,17),日次入力!$C$4:$C$1500,"Meta介護校")=0,"",SUMIFS(日次入力!$E$4:$E$1500,日次入力!$A$4:$A$1500,"&gt;="&amp;DATE(2026,8,11),日次入力!$A$4:$A$1500,"&lt;="&amp;DATE(2026,8,17),日次入力!$C$4:$C$1500,"Meta介護校"))</f>
        <v/>
      </c>
      <c r="E80" s="42" t="str">
        <f aca="false">IF(COUNTIFS(日次入力!$A$4:$A$1500,"&gt;="&amp;DATE(2026,8,11),日次入力!$A$4:$A$1500,"&lt;="&amp;DATE(2026,8,17),日次入力!$C$4:$C$1500,"Meta介護校")=0,"",SUMIFS(日次入力!$F$4:$F$1500,日次入力!$A$4:$A$1500,"&gt;="&amp;DATE(2026,8,11),日次入力!$A$4:$A$1500,"&lt;="&amp;DATE(2026,8,17),日次入力!$C$4:$C$1500,"Meta介護校"))</f>
        <v/>
      </c>
      <c r="F80" s="42" t="str">
        <f aca="false">IF(COUNTIFS(日次入力!$A$4:$A$1500,"&gt;="&amp;DATE(2026,8,11),日次入力!$A$4:$A$1500,"&lt;="&amp;DATE(2026,8,17),日次入力!$C$4:$C$1500,"Meta介護校")=0,"",SUMIFS(日次入力!$G$4:$G$1500,日次入力!$A$4:$A$1500,"&gt;="&amp;DATE(2026,8,11),日次入力!$A$4:$A$1500,"&lt;="&amp;DATE(2026,8,17),日次入力!$C$4:$C$1500,"Meta介護校"))</f>
        <v/>
      </c>
      <c r="G80" s="15" t="str">
        <f aca="false">IFERROR(E80/D80,"")</f>
        <v/>
      </c>
      <c r="H80" s="37" t="str">
        <f aca="false">IFERROR(C80/E80,"")</f>
        <v/>
      </c>
      <c r="I80" s="37" t="str">
        <f aca="false">IFERROR(C80/D80*1000,"")</f>
        <v/>
      </c>
      <c r="J80" s="15" t="str">
        <f aca="false">IFERROR(F80/E80,"")</f>
        <v/>
      </c>
      <c r="K80" s="37" t="str">
        <f aca="false">IFERROR(C80/F80,"")</f>
        <v/>
      </c>
      <c r="L80" s="42" t="str">
        <f aca="false">IF(COUNTIFS(日次入力!$A$4:$A$1500,"&gt;="&amp;DATE(2026,8,11),日次入力!$A$4:$A$1500,"&lt;="&amp;DATE(2026,8,17),日次入力!$C$4:$C$1500,"Meta介護校")=0,"",SUMIFS(日次入力!$H$4:$H$1500,日次入力!$A$4:$A$1500,"&gt;="&amp;DATE(2026,8,11),日次入力!$A$4:$A$1500,"&lt;="&amp;DATE(2026,8,17),日次入力!$C$4:$C$1500,"Meta介護校"))</f>
        <v/>
      </c>
      <c r="M80" s="15" t="str">
        <f aca="false">IF(L80="","",IFERROR(L80/F80,""))</f>
        <v/>
      </c>
      <c r="N80" s="42" t="str">
        <f aca="false">IF(COUNTIFS(日次入力!$A$4:$A$1500,"&gt;="&amp;DATE(2026,8,11),日次入力!$A$4:$A$1500,"&lt;="&amp;DATE(2026,8,17),日次入力!$C$4:$C$1500,"Meta介護校")=0,"",SUMIFS(日次入力!$I$4:$I$1500,日次入力!$A$4:$A$1500,"&gt;="&amp;DATE(2026,8,11),日次入力!$A$4:$A$1500,"&lt;="&amp;DATE(2026,8,17),日次入力!$C$4:$C$1500,"Meta介護校"))</f>
        <v/>
      </c>
      <c r="O80" s="15" t="str">
        <f aca="false">IF(N80="","",IFERROR(N80/L80,""))</f>
        <v/>
      </c>
      <c r="P80" s="37" t="str">
        <f aca="false">IF(N80=0,"",IFERROR(C80/N80,""))</f>
        <v/>
      </c>
      <c r="Q80" s="38" t="str">
        <f aca="false">IF(N80=0,"",IFERROR(IF(C80/N80&lt;=用語集!$B$22,"◎ 許容内","✗ 超過"),"—"))</f>
        <v>—</v>
      </c>
      <c r="R80" s="39" t="str">
        <f aca="false">IFERROR(用語集!$B$22/P80,"")</f>
        <v/>
      </c>
    </row>
    <row r="81" customFormat="false" ht="15" hidden="false" customHeight="false" outlineLevel="0" collapsed="false">
      <c r="A81" s="34" t="s">
        <v>98</v>
      </c>
      <c r="B81" s="35" t="s">
        <v>99</v>
      </c>
      <c r="C81" s="41" t="str">
        <f aca="false">IF(COUNTIFS(日次入力!$A$4:$A$1500,"&gt;="&amp;DATE(2026,8,18),日次入力!$A$4:$A$1500,"&lt;="&amp;DATE(2026,8,24),日次入力!$C$4:$C$1500,"Meta介護校")=0,"",SUMIFS(日次入力!$D$4:$D$1500,日次入力!$A$4:$A$1500,"&gt;="&amp;DATE(2026,8,18),日次入力!$A$4:$A$1500,"&lt;="&amp;DATE(2026,8,24),日次入力!$C$4:$C$1500,"Meta介護校"))</f>
        <v/>
      </c>
      <c r="D81" s="42" t="str">
        <f aca="false">IF(COUNTIFS(日次入力!$A$4:$A$1500,"&gt;="&amp;DATE(2026,8,18),日次入力!$A$4:$A$1500,"&lt;="&amp;DATE(2026,8,24),日次入力!$C$4:$C$1500,"Meta介護校")=0,"",SUMIFS(日次入力!$E$4:$E$1500,日次入力!$A$4:$A$1500,"&gt;="&amp;DATE(2026,8,18),日次入力!$A$4:$A$1500,"&lt;="&amp;DATE(2026,8,24),日次入力!$C$4:$C$1500,"Meta介護校"))</f>
        <v/>
      </c>
      <c r="E81" s="42" t="str">
        <f aca="false">IF(COUNTIFS(日次入力!$A$4:$A$1500,"&gt;="&amp;DATE(2026,8,18),日次入力!$A$4:$A$1500,"&lt;="&amp;DATE(2026,8,24),日次入力!$C$4:$C$1500,"Meta介護校")=0,"",SUMIFS(日次入力!$F$4:$F$1500,日次入力!$A$4:$A$1500,"&gt;="&amp;DATE(2026,8,18),日次入力!$A$4:$A$1500,"&lt;="&amp;DATE(2026,8,24),日次入力!$C$4:$C$1500,"Meta介護校"))</f>
        <v/>
      </c>
      <c r="F81" s="42" t="str">
        <f aca="false">IF(COUNTIFS(日次入力!$A$4:$A$1500,"&gt;="&amp;DATE(2026,8,18),日次入力!$A$4:$A$1500,"&lt;="&amp;DATE(2026,8,24),日次入力!$C$4:$C$1500,"Meta介護校")=0,"",SUMIFS(日次入力!$G$4:$G$1500,日次入力!$A$4:$A$1500,"&gt;="&amp;DATE(2026,8,18),日次入力!$A$4:$A$1500,"&lt;="&amp;DATE(2026,8,24),日次入力!$C$4:$C$1500,"Meta介護校"))</f>
        <v/>
      </c>
      <c r="G81" s="15" t="str">
        <f aca="false">IFERROR(E81/D81,"")</f>
        <v/>
      </c>
      <c r="H81" s="37" t="str">
        <f aca="false">IFERROR(C81/E81,"")</f>
        <v/>
      </c>
      <c r="I81" s="37" t="str">
        <f aca="false">IFERROR(C81/D81*1000,"")</f>
        <v/>
      </c>
      <c r="J81" s="15" t="str">
        <f aca="false">IFERROR(F81/E81,"")</f>
        <v/>
      </c>
      <c r="K81" s="37" t="str">
        <f aca="false">IFERROR(C81/F81,"")</f>
        <v/>
      </c>
      <c r="L81" s="42" t="str">
        <f aca="false">IF(COUNTIFS(日次入力!$A$4:$A$1500,"&gt;="&amp;DATE(2026,8,18),日次入力!$A$4:$A$1500,"&lt;="&amp;DATE(2026,8,24),日次入力!$C$4:$C$1500,"Meta介護校")=0,"",SUMIFS(日次入力!$H$4:$H$1500,日次入力!$A$4:$A$1500,"&gt;="&amp;DATE(2026,8,18),日次入力!$A$4:$A$1500,"&lt;="&amp;DATE(2026,8,24),日次入力!$C$4:$C$1500,"Meta介護校"))</f>
        <v/>
      </c>
      <c r="M81" s="15" t="str">
        <f aca="false">IF(L81="","",IFERROR(L81/F81,""))</f>
        <v/>
      </c>
      <c r="N81" s="42" t="str">
        <f aca="false">IF(COUNTIFS(日次入力!$A$4:$A$1500,"&gt;="&amp;DATE(2026,8,18),日次入力!$A$4:$A$1500,"&lt;="&amp;DATE(2026,8,24),日次入力!$C$4:$C$1500,"Meta介護校")=0,"",SUMIFS(日次入力!$I$4:$I$1500,日次入力!$A$4:$A$1500,"&gt;="&amp;DATE(2026,8,18),日次入力!$A$4:$A$1500,"&lt;="&amp;DATE(2026,8,24),日次入力!$C$4:$C$1500,"Meta介護校"))</f>
        <v/>
      </c>
      <c r="O81" s="15" t="str">
        <f aca="false">IF(N81="","",IFERROR(N81/L81,""))</f>
        <v/>
      </c>
      <c r="P81" s="37" t="str">
        <f aca="false">IF(N81=0,"",IFERROR(C81/N81,""))</f>
        <v/>
      </c>
      <c r="Q81" s="38" t="str">
        <f aca="false">IF(N81=0,"",IFERROR(IF(C81/N81&lt;=用語集!$B$22,"◎ 許容内","✗ 超過"),"—"))</f>
        <v>—</v>
      </c>
      <c r="R81" s="39" t="str">
        <f aca="false">IFERROR(用語集!$B$22/P81,"")</f>
        <v/>
      </c>
    </row>
    <row r="82" customFormat="false" ht="15" hidden="false" customHeight="false" outlineLevel="0" collapsed="false">
      <c r="A82" s="34" t="s">
        <v>100</v>
      </c>
      <c r="B82" s="35" t="s">
        <v>101</v>
      </c>
      <c r="C82" s="41" t="str">
        <f aca="false">IF(COUNTIFS(日次入力!$A$4:$A$1500,"&gt;="&amp;DATE(2026,8,25),日次入力!$A$4:$A$1500,"&lt;="&amp;DATE(2026,8,31),日次入力!$C$4:$C$1500,"Meta介護校")=0,"",SUMIFS(日次入力!$D$4:$D$1500,日次入力!$A$4:$A$1500,"&gt;="&amp;DATE(2026,8,25),日次入力!$A$4:$A$1500,"&lt;="&amp;DATE(2026,8,31),日次入力!$C$4:$C$1500,"Meta介護校"))</f>
        <v/>
      </c>
      <c r="D82" s="42" t="str">
        <f aca="false">IF(COUNTIFS(日次入力!$A$4:$A$1500,"&gt;="&amp;DATE(2026,8,25),日次入力!$A$4:$A$1500,"&lt;="&amp;DATE(2026,8,31),日次入力!$C$4:$C$1500,"Meta介護校")=0,"",SUMIFS(日次入力!$E$4:$E$1500,日次入力!$A$4:$A$1500,"&gt;="&amp;DATE(2026,8,25),日次入力!$A$4:$A$1500,"&lt;="&amp;DATE(2026,8,31),日次入力!$C$4:$C$1500,"Meta介護校"))</f>
        <v/>
      </c>
      <c r="E82" s="42" t="str">
        <f aca="false">IF(COUNTIFS(日次入力!$A$4:$A$1500,"&gt;="&amp;DATE(2026,8,25),日次入力!$A$4:$A$1500,"&lt;="&amp;DATE(2026,8,31),日次入力!$C$4:$C$1500,"Meta介護校")=0,"",SUMIFS(日次入力!$F$4:$F$1500,日次入力!$A$4:$A$1500,"&gt;="&amp;DATE(2026,8,25),日次入力!$A$4:$A$1500,"&lt;="&amp;DATE(2026,8,31),日次入力!$C$4:$C$1500,"Meta介護校"))</f>
        <v/>
      </c>
      <c r="F82" s="42" t="str">
        <f aca="false">IF(COUNTIFS(日次入力!$A$4:$A$1500,"&gt;="&amp;DATE(2026,8,25),日次入力!$A$4:$A$1500,"&lt;="&amp;DATE(2026,8,31),日次入力!$C$4:$C$1500,"Meta介護校")=0,"",SUMIFS(日次入力!$G$4:$G$1500,日次入力!$A$4:$A$1500,"&gt;="&amp;DATE(2026,8,25),日次入力!$A$4:$A$1500,"&lt;="&amp;DATE(2026,8,31),日次入力!$C$4:$C$1500,"Meta介護校"))</f>
        <v/>
      </c>
      <c r="G82" s="15" t="str">
        <f aca="false">IFERROR(E82/D82,"")</f>
        <v/>
      </c>
      <c r="H82" s="37" t="str">
        <f aca="false">IFERROR(C82/E82,"")</f>
        <v/>
      </c>
      <c r="I82" s="37" t="str">
        <f aca="false">IFERROR(C82/D82*1000,"")</f>
        <v/>
      </c>
      <c r="J82" s="15" t="str">
        <f aca="false">IFERROR(F82/E82,"")</f>
        <v/>
      </c>
      <c r="K82" s="37" t="str">
        <f aca="false">IFERROR(C82/F82,"")</f>
        <v/>
      </c>
      <c r="L82" s="42" t="str">
        <f aca="false">IF(COUNTIFS(日次入力!$A$4:$A$1500,"&gt;="&amp;DATE(2026,8,25),日次入力!$A$4:$A$1500,"&lt;="&amp;DATE(2026,8,31),日次入力!$C$4:$C$1500,"Meta介護校")=0,"",SUMIFS(日次入力!$H$4:$H$1500,日次入力!$A$4:$A$1500,"&gt;="&amp;DATE(2026,8,25),日次入力!$A$4:$A$1500,"&lt;="&amp;DATE(2026,8,31),日次入力!$C$4:$C$1500,"Meta介護校"))</f>
        <v/>
      </c>
      <c r="M82" s="15" t="str">
        <f aca="false">IF(L82="","",IFERROR(L82/F82,""))</f>
        <v/>
      </c>
      <c r="N82" s="42" t="str">
        <f aca="false">IF(COUNTIFS(日次入力!$A$4:$A$1500,"&gt;="&amp;DATE(2026,8,25),日次入力!$A$4:$A$1500,"&lt;="&amp;DATE(2026,8,31),日次入力!$C$4:$C$1500,"Meta介護校")=0,"",SUMIFS(日次入力!$I$4:$I$1500,日次入力!$A$4:$A$1500,"&gt;="&amp;DATE(2026,8,25),日次入力!$A$4:$A$1500,"&lt;="&amp;DATE(2026,8,31),日次入力!$C$4:$C$1500,"Meta介護校"))</f>
        <v/>
      </c>
      <c r="O82" s="15" t="str">
        <f aca="false">IF(N82="","",IFERROR(N82/L82,""))</f>
        <v/>
      </c>
      <c r="P82" s="37" t="str">
        <f aca="false">IF(N82=0,"",IFERROR(C82/N82,""))</f>
        <v/>
      </c>
      <c r="Q82" s="38" t="str">
        <f aca="false">IF(N82=0,"",IFERROR(IF(C82/N82&lt;=用語集!$B$22,"◎ 許容内","✗ 超過"),"—"))</f>
        <v>—</v>
      </c>
      <c r="R82" s="39" t="str">
        <f aca="false">IFERROR(用語集!$B$22/P82,"")</f>
        <v/>
      </c>
    </row>
    <row r="83" customFormat="false" ht="15" hidden="false" customHeight="false" outlineLevel="0" collapsed="false">
      <c r="A83" s="34" t="s">
        <v>102</v>
      </c>
      <c r="B83" s="35" t="s">
        <v>103</v>
      </c>
      <c r="C83" s="41" t="str">
        <f aca="false">IF(COUNTIFS(日次入力!$A$4:$A$1500,"&gt;="&amp;DATE(2026,9,1),日次入力!$A$4:$A$1500,"&lt;="&amp;DATE(2026,9,7),日次入力!$C$4:$C$1500,"Meta介護校")=0,"",SUMIFS(日次入力!$D$4:$D$1500,日次入力!$A$4:$A$1500,"&gt;="&amp;DATE(2026,9,1),日次入力!$A$4:$A$1500,"&lt;="&amp;DATE(2026,9,7),日次入力!$C$4:$C$1500,"Meta介護校"))</f>
        <v/>
      </c>
      <c r="D83" s="42" t="str">
        <f aca="false">IF(COUNTIFS(日次入力!$A$4:$A$1500,"&gt;="&amp;DATE(2026,9,1),日次入力!$A$4:$A$1500,"&lt;="&amp;DATE(2026,9,7),日次入力!$C$4:$C$1500,"Meta介護校")=0,"",SUMIFS(日次入力!$E$4:$E$1500,日次入力!$A$4:$A$1500,"&gt;="&amp;DATE(2026,9,1),日次入力!$A$4:$A$1500,"&lt;="&amp;DATE(2026,9,7),日次入力!$C$4:$C$1500,"Meta介護校"))</f>
        <v/>
      </c>
      <c r="E83" s="42" t="str">
        <f aca="false">IF(COUNTIFS(日次入力!$A$4:$A$1500,"&gt;="&amp;DATE(2026,9,1),日次入力!$A$4:$A$1500,"&lt;="&amp;DATE(2026,9,7),日次入力!$C$4:$C$1500,"Meta介護校")=0,"",SUMIFS(日次入力!$F$4:$F$1500,日次入力!$A$4:$A$1500,"&gt;="&amp;DATE(2026,9,1),日次入力!$A$4:$A$1500,"&lt;="&amp;DATE(2026,9,7),日次入力!$C$4:$C$1500,"Meta介護校"))</f>
        <v/>
      </c>
      <c r="F83" s="42" t="str">
        <f aca="false">IF(COUNTIFS(日次入力!$A$4:$A$1500,"&gt;="&amp;DATE(2026,9,1),日次入力!$A$4:$A$1500,"&lt;="&amp;DATE(2026,9,7),日次入力!$C$4:$C$1500,"Meta介護校")=0,"",SUMIFS(日次入力!$G$4:$G$1500,日次入力!$A$4:$A$1500,"&gt;="&amp;DATE(2026,9,1),日次入力!$A$4:$A$1500,"&lt;="&amp;DATE(2026,9,7),日次入力!$C$4:$C$1500,"Meta介護校"))</f>
        <v/>
      </c>
      <c r="G83" s="15" t="str">
        <f aca="false">IFERROR(E83/D83,"")</f>
        <v/>
      </c>
      <c r="H83" s="37" t="str">
        <f aca="false">IFERROR(C83/E83,"")</f>
        <v/>
      </c>
      <c r="I83" s="37" t="str">
        <f aca="false">IFERROR(C83/D83*1000,"")</f>
        <v/>
      </c>
      <c r="J83" s="15" t="str">
        <f aca="false">IFERROR(F83/E83,"")</f>
        <v/>
      </c>
      <c r="K83" s="37" t="str">
        <f aca="false">IFERROR(C83/F83,"")</f>
        <v/>
      </c>
      <c r="L83" s="42" t="str">
        <f aca="false">IF(COUNTIFS(日次入力!$A$4:$A$1500,"&gt;="&amp;DATE(2026,9,1),日次入力!$A$4:$A$1500,"&lt;="&amp;DATE(2026,9,7),日次入力!$C$4:$C$1500,"Meta介護校")=0,"",SUMIFS(日次入力!$H$4:$H$1500,日次入力!$A$4:$A$1500,"&gt;="&amp;DATE(2026,9,1),日次入力!$A$4:$A$1500,"&lt;="&amp;DATE(2026,9,7),日次入力!$C$4:$C$1500,"Meta介護校"))</f>
        <v/>
      </c>
      <c r="M83" s="15" t="str">
        <f aca="false">IF(L83="","",IFERROR(L83/F83,""))</f>
        <v/>
      </c>
      <c r="N83" s="42" t="str">
        <f aca="false">IF(COUNTIFS(日次入力!$A$4:$A$1500,"&gt;="&amp;DATE(2026,9,1),日次入力!$A$4:$A$1500,"&lt;="&amp;DATE(2026,9,7),日次入力!$C$4:$C$1500,"Meta介護校")=0,"",SUMIFS(日次入力!$I$4:$I$1500,日次入力!$A$4:$A$1500,"&gt;="&amp;DATE(2026,9,1),日次入力!$A$4:$A$1500,"&lt;="&amp;DATE(2026,9,7),日次入力!$C$4:$C$1500,"Meta介護校"))</f>
        <v/>
      </c>
      <c r="O83" s="15" t="str">
        <f aca="false">IF(N83="","",IFERROR(N83/L83,""))</f>
        <v/>
      </c>
      <c r="P83" s="37" t="str">
        <f aca="false">IF(N83=0,"",IFERROR(C83/N83,""))</f>
        <v/>
      </c>
      <c r="Q83" s="38" t="str">
        <f aca="false">IF(N83=0,"",IFERROR(IF(C83/N83&lt;=用語集!$B$22,"◎ 許容内","✗ 超過"),"—"))</f>
        <v>—</v>
      </c>
      <c r="R83" s="39" t="str">
        <f aca="false">IFERROR(用語集!$B$22/P83,"")</f>
        <v/>
      </c>
    </row>
    <row r="84" customFormat="false" ht="15" hidden="false" customHeight="false" outlineLevel="0" collapsed="false">
      <c r="A84" s="34" t="s">
        <v>104</v>
      </c>
      <c r="B84" s="35" t="s">
        <v>105</v>
      </c>
      <c r="C84" s="41" t="str">
        <f aca="false">IF(COUNTIFS(日次入力!$A$4:$A$1500,"&gt;="&amp;DATE(2026,9,8),日次入力!$A$4:$A$1500,"&lt;="&amp;DATE(2026,9,14),日次入力!$C$4:$C$1500,"Meta介護校")=0,"",SUMIFS(日次入力!$D$4:$D$1500,日次入力!$A$4:$A$1500,"&gt;="&amp;DATE(2026,9,8),日次入力!$A$4:$A$1500,"&lt;="&amp;DATE(2026,9,14),日次入力!$C$4:$C$1500,"Meta介護校"))</f>
        <v/>
      </c>
      <c r="D84" s="42" t="str">
        <f aca="false">IF(COUNTIFS(日次入力!$A$4:$A$1500,"&gt;="&amp;DATE(2026,9,8),日次入力!$A$4:$A$1500,"&lt;="&amp;DATE(2026,9,14),日次入力!$C$4:$C$1500,"Meta介護校")=0,"",SUMIFS(日次入力!$E$4:$E$1500,日次入力!$A$4:$A$1500,"&gt;="&amp;DATE(2026,9,8),日次入力!$A$4:$A$1500,"&lt;="&amp;DATE(2026,9,14),日次入力!$C$4:$C$1500,"Meta介護校"))</f>
        <v/>
      </c>
      <c r="E84" s="42" t="str">
        <f aca="false">IF(COUNTIFS(日次入力!$A$4:$A$1500,"&gt;="&amp;DATE(2026,9,8),日次入力!$A$4:$A$1500,"&lt;="&amp;DATE(2026,9,14),日次入力!$C$4:$C$1500,"Meta介護校")=0,"",SUMIFS(日次入力!$F$4:$F$1500,日次入力!$A$4:$A$1500,"&gt;="&amp;DATE(2026,9,8),日次入力!$A$4:$A$1500,"&lt;="&amp;DATE(2026,9,14),日次入力!$C$4:$C$1500,"Meta介護校"))</f>
        <v/>
      </c>
      <c r="F84" s="42" t="str">
        <f aca="false">IF(COUNTIFS(日次入力!$A$4:$A$1500,"&gt;="&amp;DATE(2026,9,8),日次入力!$A$4:$A$1500,"&lt;="&amp;DATE(2026,9,14),日次入力!$C$4:$C$1500,"Meta介護校")=0,"",SUMIFS(日次入力!$G$4:$G$1500,日次入力!$A$4:$A$1500,"&gt;="&amp;DATE(2026,9,8),日次入力!$A$4:$A$1500,"&lt;="&amp;DATE(2026,9,14),日次入力!$C$4:$C$1500,"Meta介護校"))</f>
        <v/>
      </c>
      <c r="G84" s="15" t="str">
        <f aca="false">IFERROR(E84/D84,"")</f>
        <v/>
      </c>
      <c r="H84" s="37" t="str">
        <f aca="false">IFERROR(C84/E84,"")</f>
        <v/>
      </c>
      <c r="I84" s="37" t="str">
        <f aca="false">IFERROR(C84/D84*1000,"")</f>
        <v/>
      </c>
      <c r="J84" s="15" t="str">
        <f aca="false">IFERROR(F84/E84,"")</f>
        <v/>
      </c>
      <c r="K84" s="37" t="str">
        <f aca="false">IFERROR(C84/F84,"")</f>
        <v/>
      </c>
      <c r="L84" s="42" t="str">
        <f aca="false">IF(COUNTIFS(日次入力!$A$4:$A$1500,"&gt;="&amp;DATE(2026,9,8),日次入力!$A$4:$A$1500,"&lt;="&amp;DATE(2026,9,14),日次入力!$C$4:$C$1500,"Meta介護校")=0,"",SUMIFS(日次入力!$H$4:$H$1500,日次入力!$A$4:$A$1500,"&gt;="&amp;DATE(2026,9,8),日次入力!$A$4:$A$1500,"&lt;="&amp;DATE(2026,9,14),日次入力!$C$4:$C$1500,"Meta介護校"))</f>
        <v/>
      </c>
      <c r="M84" s="15" t="str">
        <f aca="false">IF(L84="","",IFERROR(L84/F84,""))</f>
        <v/>
      </c>
      <c r="N84" s="42" t="str">
        <f aca="false">IF(COUNTIFS(日次入力!$A$4:$A$1500,"&gt;="&amp;DATE(2026,9,8),日次入力!$A$4:$A$1500,"&lt;="&amp;DATE(2026,9,14),日次入力!$C$4:$C$1500,"Meta介護校")=0,"",SUMIFS(日次入力!$I$4:$I$1500,日次入力!$A$4:$A$1500,"&gt;="&amp;DATE(2026,9,8),日次入力!$A$4:$A$1500,"&lt;="&amp;DATE(2026,9,14),日次入力!$C$4:$C$1500,"Meta介護校"))</f>
        <v/>
      </c>
      <c r="O84" s="15" t="str">
        <f aca="false">IF(N84="","",IFERROR(N84/L84,""))</f>
        <v/>
      </c>
      <c r="P84" s="37" t="str">
        <f aca="false">IF(N84=0,"",IFERROR(C84/N84,""))</f>
        <v/>
      </c>
      <c r="Q84" s="38" t="str">
        <f aca="false">IF(N84=0,"",IFERROR(IF(C84/N84&lt;=用語集!$B$22,"◎ 許容内","✗ 超過"),"—"))</f>
        <v>—</v>
      </c>
      <c r="R84" s="39" t="str">
        <f aca="false">IFERROR(用語集!$B$22/P84,"")</f>
        <v/>
      </c>
    </row>
    <row r="85" customFormat="false" ht="15" hidden="false" customHeight="false" outlineLevel="0" collapsed="false">
      <c r="A85" s="34" t="s">
        <v>106</v>
      </c>
      <c r="B85" s="35" t="s">
        <v>107</v>
      </c>
      <c r="C85" s="41" t="str">
        <f aca="false">IF(COUNTIFS(日次入力!$A$4:$A$1500,"&gt;="&amp;DATE(2026,9,15),日次入力!$A$4:$A$1500,"&lt;="&amp;DATE(2026,9,21),日次入力!$C$4:$C$1500,"Meta介護校")=0,"",SUMIFS(日次入力!$D$4:$D$1500,日次入力!$A$4:$A$1500,"&gt;="&amp;DATE(2026,9,15),日次入力!$A$4:$A$1500,"&lt;="&amp;DATE(2026,9,21),日次入力!$C$4:$C$1500,"Meta介護校"))</f>
        <v/>
      </c>
      <c r="D85" s="42" t="str">
        <f aca="false">IF(COUNTIFS(日次入力!$A$4:$A$1500,"&gt;="&amp;DATE(2026,9,15),日次入力!$A$4:$A$1500,"&lt;="&amp;DATE(2026,9,21),日次入力!$C$4:$C$1500,"Meta介護校")=0,"",SUMIFS(日次入力!$E$4:$E$1500,日次入力!$A$4:$A$1500,"&gt;="&amp;DATE(2026,9,15),日次入力!$A$4:$A$1500,"&lt;="&amp;DATE(2026,9,21),日次入力!$C$4:$C$1500,"Meta介護校"))</f>
        <v/>
      </c>
      <c r="E85" s="42" t="str">
        <f aca="false">IF(COUNTIFS(日次入力!$A$4:$A$1500,"&gt;="&amp;DATE(2026,9,15),日次入力!$A$4:$A$1500,"&lt;="&amp;DATE(2026,9,21),日次入力!$C$4:$C$1500,"Meta介護校")=0,"",SUMIFS(日次入力!$F$4:$F$1500,日次入力!$A$4:$A$1500,"&gt;="&amp;DATE(2026,9,15),日次入力!$A$4:$A$1500,"&lt;="&amp;DATE(2026,9,21),日次入力!$C$4:$C$1500,"Meta介護校"))</f>
        <v/>
      </c>
      <c r="F85" s="42" t="str">
        <f aca="false">IF(COUNTIFS(日次入力!$A$4:$A$1500,"&gt;="&amp;DATE(2026,9,15),日次入力!$A$4:$A$1500,"&lt;="&amp;DATE(2026,9,21),日次入力!$C$4:$C$1500,"Meta介護校")=0,"",SUMIFS(日次入力!$G$4:$G$1500,日次入力!$A$4:$A$1500,"&gt;="&amp;DATE(2026,9,15),日次入力!$A$4:$A$1500,"&lt;="&amp;DATE(2026,9,21),日次入力!$C$4:$C$1500,"Meta介護校"))</f>
        <v/>
      </c>
      <c r="G85" s="15" t="str">
        <f aca="false">IFERROR(E85/D85,"")</f>
        <v/>
      </c>
      <c r="H85" s="37" t="str">
        <f aca="false">IFERROR(C85/E85,"")</f>
        <v/>
      </c>
      <c r="I85" s="37" t="str">
        <f aca="false">IFERROR(C85/D85*1000,"")</f>
        <v/>
      </c>
      <c r="J85" s="15" t="str">
        <f aca="false">IFERROR(F85/E85,"")</f>
        <v/>
      </c>
      <c r="K85" s="37" t="str">
        <f aca="false">IFERROR(C85/F85,"")</f>
        <v/>
      </c>
      <c r="L85" s="42" t="str">
        <f aca="false">IF(COUNTIFS(日次入力!$A$4:$A$1500,"&gt;="&amp;DATE(2026,9,15),日次入力!$A$4:$A$1500,"&lt;="&amp;DATE(2026,9,21),日次入力!$C$4:$C$1500,"Meta介護校")=0,"",SUMIFS(日次入力!$H$4:$H$1500,日次入力!$A$4:$A$1500,"&gt;="&amp;DATE(2026,9,15),日次入力!$A$4:$A$1500,"&lt;="&amp;DATE(2026,9,21),日次入力!$C$4:$C$1500,"Meta介護校"))</f>
        <v/>
      </c>
      <c r="M85" s="15" t="str">
        <f aca="false">IF(L85="","",IFERROR(L85/F85,""))</f>
        <v/>
      </c>
      <c r="N85" s="42" t="str">
        <f aca="false">IF(COUNTIFS(日次入力!$A$4:$A$1500,"&gt;="&amp;DATE(2026,9,15),日次入力!$A$4:$A$1500,"&lt;="&amp;DATE(2026,9,21),日次入力!$C$4:$C$1500,"Meta介護校")=0,"",SUMIFS(日次入力!$I$4:$I$1500,日次入力!$A$4:$A$1500,"&gt;="&amp;DATE(2026,9,15),日次入力!$A$4:$A$1500,"&lt;="&amp;DATE(2026,9,21),日次入力!$C$4:$C$1500,"Meta介護校"))</f>
        <v/>
      </c>
      <c r="O85" s="15" t="str">
        <f aca="false">IF(N85="","",IFERROR(N85/L85,""))</f>
        <v/>
      </c>
      <c r="P85" s="37" t="str">
        <f aca="false">IF(N85=0,"",IFERROR(C85/N85,""))</f>
        <v/>
      </c>
      <c r="Q85" s="38" t="str">
        <f aca="false">IF(N85=0,"",IFERROR(IF(C85/N85&lt;=用語集!$B$22,"◎ 許容内","✗ 超過"),"—"))</f>
        <v>—</v>
      </c>
      <c r="R85" s="39" t="str">
        <f aca="false">IFERROR(用語集!$B$22/P85,"")</f>
        <v/>
      </c>
    </row>
    <row r="86" customFormat="false" ht="15" hidden="false" customHeight="false" outlineLevel="0" collapsed="false">
      <c r="A86" s="34" t="s">
        <v>108</v>
      </c>
      <c r="B86" s="35" t="s">
        <v>109</v>
      </c>
      <c r="C86" s="41" t="str">
        <f aca="false">IF(COUNTIFS(日次入力!$A$4:$A$1500,"&gt;="&amp;DATE(2026,9,22),日次入力!$A$4:$A$1500,"&lt;="&amp;DATE(2026,9,28),日次入力!$C$4:$C$1500,"Meta介護校")=0,"",SUMIFS(日次入力!$D$4:$D$1500,日次入力!$A$4:$A$1500,"&gt;="&amp;DATE(2026,9,22),日次入力!$A$4:$A$1500,"&lt;="&amp;DATE(2026,9,28),日次入力!$C$4:$C$1500,"Meta介護校"))</f>
        <v/>
      </c>
      <c r="D86" s="42" t="str">
        <f aca="false">IF(COUNTIFS(日次入力!$A$4:$A$1500,"&gt;="&amp;DATE(2026,9,22),日次入力!$A$4:$A$1500,"&lt;="&amp;DATE(2026,9,28),日次入力!$C$4:$C$1500,"Meta介護校")=0,"",SUMIFS(日次入力!$E$4:$E$1500,日次入力!$A$4:$A$1500,"&gt;="&amp;DATE(2026,9,22),日次入力!$A$4:$A$1500,"&lt;="&amp;DATE(2026,9,28),日次入力!$C$4:$C$1500,"Meta介護校"))</f>
        <v/>
      </c>
      <c r="E86" s="42" t="str">
        <f aca="false">IF(COUNTIFS(日次入力!$A$4:$A$1500,"&gt;="&amp;DATE(2026,9,22),日次入力!$A$4:$A$1500,"&lt;="&amp;DATE(2026,9,28),日次入力!$C$4:$C$1500,"Meta介護校")=0,"",SUMIFS(日次入力!$F$4:$F$1500,日次入力!$A$4:$A$1500,"&gt;="&amp;DATE(2026,9,22),日次入力!$A$4:$A$1500,"&lt;="&amp;DATE(2026,9,28),日次入力!$C$4:$C$1500,"Meta介護校"))</f>
        <v/>
      </c>
      <c r="F86" s="42" t="str">
        <f aca="false">IF(COUNTIFS(日次入力!$A$4:$A$1500,"&gt;="&amp;DATE(2026,9,22),日次入力!$A$4:$A$1500,"&lt;="&amp;DATE(2026,9,28),日次入力!$C$4:$C$1500,"Meta介護校")=0,"",SUMIFS(日次入力!$G$4:$G$1500,日次入力!$A$4:$A$1500,"&gt;="&amp;DATE(2026,9,22),日次入力!$A$4:$A$1500,"&lt;="&amp;DATE(2026,9,28),日次入力!$C$4:$C$1500,"Meta介護校"))</f>
        <v/>
      </c>
      <c r="G86" s="15" t="str">
        <f aca="false">IFERROR(E86/D86,"")</f>
        <v/>
      </c>
      <c r="H86" s="37" t="str">
        <f aca="false">IFERROR(C86/E86,"")</f>
        <v/>
      </c>
      <c r="I86" s="37" t="str">
        <f aca="false">IFERROR(C86/D86*1000,"")</f>
        <v/>
      </c>
      <c r="J86" s="15" t="str">
        <f aca="false">IFERROR(F86/E86,"")</f>
        <v/>
      </c>
      <c r="K86" s="37" t="str">
        <f aca="false">IFERROR(C86/F86,"")</f>
        <v/>
      </c>
      <c r="L86" s="42" t="str">
        <f aca="false">IF(COUNTIFS(日次入力!$A$4:$A$1500,"&gt;="&amp;DATE(2026,9,22),日次入力!$A$4:$A$1500,"&lt;="&amp;DATE(2026,9,28),日次入力!$C$4:$C$1500,"Meta介護校")=0,"",SUMIFS(日次入力!$H$4:$H$1500,日次入力!$A$4:$A$1500,"&gt;="&amp;DATE(2026,9,22),日次入力!$A$4:$A$1500,"&lt;="&amp;DATE(2026,9,28),日次入力!$C$4:$C$1500,"Meta介護校"))</f>
        <v/>
      </c>
      <c r="M86" s="15" t="str">
        <f aca="false">IF(L86="","",IFERROR(L86/F86,""))</f>
        <v/>
      </c>
      <c r="N86" s="42" t="str">
        <f aca="false">IF(COUNTIFS(日次入力!$A$4:$A$1500,"&gt;="&amp;DATE(2026,9,22),日次入力!$A$4:$A$1500,"&lt;="&amp;DATE(2026,9,28),日次入力!$C$4:$C$1500,"Meta介護校")=0,"",SUMIFS(日次入力!$I$4:$I$1500,日次入力!$A$4:$A$1500,"&gt;="&amp;DATE(2026,9,22),日次入力!$A$4:$A$1500,"&lt;="&amp;DATE(2026,9,28),日次入力!$C$4:$C$1500,"Meta介護校"))</f>
        <v/>
      </c>
      <c r="O86" s="15" t="str">
        <f aca="false">IF(N86="","",IFERROR(N86/L86,""))</f>
        <v/>
      </c>
      <c r="P86" s="37" t="str">
        <f aca="false">IF(N86=0,"",IFERROR(C86/N86,""))</f>
        <v/>
      </c>
      <c r="Q86" s="38" t="str">
        <f aca="false">IF(N86=0,"",IFERROR(IF(C86/N86&lt;=用語集!$B$22,"◎ 許容内","✗ 超過"),"—"))</f>
        <v>—</v>
      </c>
      <c r="R86" s="39" t="str">
        <f aca="false">IFERROR(用語集!$B$22/P86,"")</f>
        <v/>
      </c>
    </row>
    <row r="87" customFormat="false" ht="15" hidden="false" customHeight="false" outlineLevel="0" collapsed="false">
      <c r="A87" s="34" t="s">
        <v>110</v>
      </c>
      <c r="B87" s="35" t="s">
        <v>111</v>
      </c>
      <c r="C87" s="41" t="str">
        <f aca="false">IF(COUNTIFS(日次入力!$A$4:$A$1500,"&gt;="&amp;DATE(2026,9,29),日次入力!$A$4:$A$1500,"&lt;="&amp;DATE(2026,10,5),日次入力!$C$4:$C$1500,"Meta介護校")=0,"",SUMIFS(日次入力!$D$4:$D$1500,日次入力!$A$4:$A$1500,"&gt;="&amp;DATE(2026,9,29),日次入力!$A$4:$A$1500,"&lt;="&amp;DATE(2026,10,5),日次入力!$C$4:$C$1500,"Meta介護校"))</f>
        <v/>
      </c>
      <c r="D87" s="42" t="str">
        <f aca="false">IF(COUNTIFS(日次入力!$A$4:$A$1500,"&gt;="&amp;DATE(2026,9,29),日次入力!$A$4:$A$1500,"&lt;="&amp;DATE(2026,10,5),日次入力!$C$4:$C$1500,"Meta介護校")=0,"",SUMIFS(日次入力!$E$4:$E$1500,日次入力!$A$4:$A$1500,"&gt;="&amp;DATE(2026,9,29),日次入力!$A$4:$A$1500,"&lt;="&amp;DATE(2026,10,5),日次入力!$C$4:$C$1500,"Meta介護校"))</f>
        <v/>
      </c>
      <c r="E87" s="42" t="str">
        <f aca="false">IF(COUNTIFS(日次入力!$A$4:$A$1500,"&gt;="&amp;DATE(2026,9,29),日次入力!$A$4:$A$1500,"&lt;="&amp;DATE(2026,10,5),日次入力!$C$4:$C$1500,"Meta介護校")=0,"",SUMIFS(日次入力!$F$4:$F$1500,日次入力!$A$4:$A$1500,"&gt;="&amp;DATE(2026,9,29),日次入力!$A$4:$A$1500,"&lt;="&amp;DATE(2026,10,5),日次入力!$C$4:$C$1500,"Meta介護校"))</f>
        <v/>
      </c>
      <c r="F87" s="42" t="str">
        <f aca="false">IF(COUNTIFS(日次入力!$A$4:$A$1500,"&gt;="&amp;DATE(2026,9,29),日次入力!$A$4:$A$1500,"&lt;="&amp;DATE(2026,10,5),日次入力!$C$4:$C$1500,"Meta介護校")=0,"",SUMIFS(日次入力!$G$4:$G$1500,日次入力!$A$4:$A$1500,"&gt;="&amp;DATE(2026,9,29),日次入力!$A$4:$A$1500,"&lt;="&amp;DATE(2026,10,5),日次入力!$C$4:$C$1500,"Meta介護校"))</f>
        <v/>
      </c>
      <c r="G87" s="15" t="str">
        <f aca="false">IFERROR(E87/D87,"")</f>
        <v/>
      </c>
      <c r="H87" s="37" t="str">
        <f aca="false">IFERROR(C87/E87,"")</f>
        <v/>
      </c>
      <c r="I87" s="37" t="str">
        <f aca="false">IFERROR(C87/D87*1000,"")</f>
        <v/>
      </c>
      <c r="J87" s="15" t="str">
        <f aca="false">IFERROR(F87/E87,"")</f>
        <v/>
      </c>
      <c r="K87" s="37" t="str">
        <f aca="false">IFERROR(C87/F87,"")</f>
        <v/>
      </c>
      <c r="L87" s="42" t="str">
        <f aca="false">IF(COUNTIFS(日次入力!$A$4:$A$1500,"&gt;="&amp;DATE(2026,9,29),日次入力!$A$4:$A$1500,"&lt;="&amp;DATE(2026,10,5),日次入力!$C$4:$C$1500,"Meta介護校")=0,"",SUMIFS(日次入力!$H$4:$H$1500,日次入力!$A$4:$A$1500,"&gt;="&amp;DATE(2026,9,29),日次入力!$A$4:$A$1500,"&lt;="&amp;DATE(2026,10,5),日次入力!$C$4:$C$1500,"Meta介護校"))</f>
        <v/>
      </c>
      <c r="M87" s="15" t="str">
        <f aca="false">IF(L87="","",IFERROR(L87/F87,""))</f>
        <v/>
      </c>
      <c r="N87" s="42" t="str">
        <f aca="false">IF(COUNTIFS(日次入力!$A$4:$A$1500,"&gt;="&amp;DATE(2026,9,29),日次入力!$A$4:$A$1500,"&lt;="&amp;DATE(2026,10,5),日次入力!$C$4:$C$1500,"Meta介護校")=0,"",SUMIFS(日次入力!$I$4:$I$1500,日次入力!$A$4:$A$1500,"&gt;="&amp;DATE(2026,9,29),日次入力!$A$4:$A$1500,"&lt;="&amp;DATE(2026,10,5),日次入力!$C$4:$C$1500,"Meta介護校"))</f>
        <v/>
      </c>
      <c r="O87" s="15" t="str">
        <f aca="false">IF(N87="","",IFERROR(N87/L87,""))</f>
        <v/>
      </c>
      <c r="P87" s="37" t="str">
        <f aca="false">IF(N87=0,"",IFERROR(C87/N87,""))</f>
        <v/>
      </c>
      <c r="Q87" s="38" t="str">
        <f aca="false">IF(N87=0,"",IFERROR(IF(C87/N87&lt;=用語集!$B$22,"◎ 許容内","✗ 超過"),"—"))</f>
        <v>—</v>
      </c>
      <c r="R87" s="39" t="str">
        <f aca="false">IFERROR(用語集!$B$22/P87,"")</f>
        <v/>
      </c>
    </row>
    <row r="88" customFormat="false" ht="15" hidden="false" customHeight="false" outlineLevel="0" collapsed="false">
      <c r="A88" s="34" t="s">
        <v>112</v>
      </c>
      <c r="B88" s="35" t="s">
        <v>113</v>
      </c>
      <c r="C88" s="41" t="str">
        <f aca="false">IF(COUNTIFS(日次入力!$A$4:$A$1500,"&gt;="&amp;DATE(2026,10,6),日次入力!$A$4:$A$1500,"&lt;="&amp;DATE(2026,10,12),日次入力!$C$4:$C$1500,"Meta介護校")=0,"",SUMIFS(日次入力!$D$4:$D$1500,日次入力!$A$4:$A$1500,"&gt;="&amp;DATE(2026,10,6),日次入力!$A$4:$A$1500,"&lt;="&amp;DATE(2026,10,12),日次入力!$C$4:$C$1500,"Meta介護校"))</f>
        <v/>
      </c>
      <c r="D88" s="42" t="str">
        <f aca="false">IF(COUNTIFS(日次入力!$A$4:$A$1500,"&gt;="&amp;DATE(2026,10,6),日次入力!$A$4:$A$1500,"&lt;="&amp;DATE(2026,10,12),日次入力!$C$4:$C$1500,"Meta介護校")=0,"",SUMIFS(日次入力!$E$4:$E$1500,日次入力!$A$4:$A$1500,"&gt;="&amp;DATE(2026,10,6),日次入力!$A$4:$A$1500,"&lt;="&amp;DATE(2026,10,12),日次入力!$C$4:$C$1500,"Meta介護校"))</f>
        <v/>
      </c>
      <c r="E88" s="42" t="str">
        <f aca="false">IF(COUNTIFS(日次入力!$A$4:$A$1500,"&gt;="&amp;DATE(2026,10,6),日次入力!$A$4:$A$1500,"&lt;="&amp;DATE(2026,10,12),日次入力!$C$4:$C$1500,"Meta介護校")=0,"",SUMIFS(日次入力!$F$4:$F$1500,日次入力!$A$4:$A$1500,"&gt;="&amp;DATE(2026,10,6),日次入力!$A$4:$A$1500,"&lt;="&amp;DATE(2026,10,12),日次入力!$C$4:$C$1500,"Meta介護校"))</f>
        <v/>
      </c>
      <c r="F88" s="42" t="str">
        <f aca="false">IF(COUNTIFS(日次入力!$A$4:$A$1500,"&gt;="&amp;DATE(2026,10,6),日次入力!$A$4:$A$1500,"&lt;="&amp;DATE(2026,10,12),日次入力!$C$4:$C$1500,"Meta介護校")=0,"",SUMIFS(日次入力!$G$4:$G$1500,日次入力!$A$4:$A$1500,"&gt;="&amp;DATE(2026,10,6),日次入力!$A$4:$A$1500,"&lt;="&amp;DATE(2026,10,12),日次入力!$C$4:$C$1500,"Meta介護校"))</f>
        <v/>
      </c>
      <c r="G88" s="15" t="str">
        <f aca="false">IFERROR(E88/D88,"")</f>
        <v/>
      </c>
      <c r="H88" s="37" t="str">
        <f aca="false">IFERROR(C88/E88,"")</f>
        <v/>
      </c>
      <c r="I88" s="37" t="str">
        <f aca="false">IFERROR(C88/D88*1000,"")</f>
        <v/>
      </c>
      <c r="J88" s="15" t="str">
        <f aca="false">IFERROR(F88/E88,"")</f>
        <v/>
      </c>
      <c r="K88" s="37" t="str">
        <f aca="false">IFERROR(C88/F88,"")</f>
        <v/>
      </c>
      <c r="L88" s="42" t="str">
        <f aca="false">IF(COUNTIFS(日次入力!$A$4:$A$1500,"&gt;="&amp;DATE(2026,10,6),日次入力!$A$4:$A$1500,"&lt;="&amp;DATE(2026,10,12),日次入力!$C$4:$C$1500,"Meta介護校")=0,"",SUMIFS(日次入力!$H$4:$H$1500,日次入力!$A$4:$A$1500,"&gt;="&amp;DATE(2026,10,6),日次入力!$A$4:$A$1500,"&lt;="&amp;DATE(2026,10,12),日次入力!$C$4:$C$1500,"Meta介護校"))</f>
        <v/>
      </c>
      <c r="M88" s="15" t="str">
        <f aca="false">IF(L88="","",IFERROR(L88/F88,""))</f>
        <v/>
      </c>
      <c r="N88" s="42" t="str">
        <f aca="false">IF(COUNTIFS(日次入力!$A$4:$A$1500,"&gt;="&amp;DATE(2026,10,6),日次入力!$A$4:$A$1500,"&lt;="&amp;DATE(2026,10,12),日次入力!$C$4:$C$1500,"Meta介護校")=0,"",SUMIFS(日次入力!$I$4:$I$1500,日次入力!$A$4:$A$1500,"&gt;="&amp;DATE(2026,10,6),日次入力!$A$4:$A$1500,"&lt;="&amp;DATE(2026,10,12),日次入力!$C$4:$C$1500,"Meta介護校"))</f>
        <v/>
      </c>
      <c r="O88" s="15" t="str">
        <f aca="false">IF(N88="","",IFERROR(N88/L88,""))</f>
        <v/>
      </c>
      <c r="P88" s="37" t="str">
        <f aca="false">IF(N88=0,"",IFERROR(C88/N88,""))</f>
        <v/>
      </c>
      <c r="Q88" s="38" t="str">
        <f aca="false">IF(N88=0,"",IFERROR(IF(C88/N88&lt;=用語集!$B$22,"◎ 許容内","✗ 超過"),"—"))</f>
        <v>—</v>
      </c>
      <c r="R88" s="39" t="str">
        <f aca="false">IFERROR(用語集!$B$22/P88,"")</f>
        <v/>
      </c>
    </row>
    <row r="89" customFormat="false" ht="15" hidden="false" customHeight="false" outlineLevel="0" collapsed="false">
      <c r="A89" s="34" t="s">
        <v>114</v>
      </c>
      <c r="B89" s="35" t="s">
        <v>115</v>
      </c>
      <c r="C89" s="41" t="str">
        <f aca="false">IF(COUNTIFS(日次入力!$A$4:$A$1500,"&gt;="&amp;DATE(2026,10,13),日次入力!$A$4:$A$1500,"&lt;="&amp;DATE(2026,10,19),日次入力!$C$4:$C$1500,"Meta介護校")=0,"",SUMIFS(日次入力!$D$4:$D$1500,日次入力!$A$4:$A$1500,"&gt;="&amp;DATE(2026,10,13),日次入力!$A$4:$A$1500,"&lt;="&amp;DATE(2026,10,19),日次入力!$C$4:$C$1500,"Meta介護校"))</f>
        <v/>
      </c>
      <c r="D89" s="42" t="str">
        <f aca="false">IF(COUNTIFS(日次入力!$A$4:$A$1500,"&gt;="&amp;DATE(2026,10,13),日次入力!$A$4:$A$1500,"&lt;="&amp;DATE(2026,10,19),日次入力!$C$4:$C$1500,"Meta介護校")=0,"",SUMIFS(日次入力!$E$4:$E$1500,日次入力!$A$4:$A$1500,"&gt;="&amp;DATE(2026,10,13),日次入力!$A$4:$A$1500,"&lt;="&amp;DATE(2026,10,19),日次入力!$C$4:$C$1500,"Meta介護校"))</f>
        <v/>
      </c>
      <c r="E89" s="42" t="str">
        <f aca="false">IF(COUNTIFS(日次入力!$A$4:$A$1500,"&gt;="&amp;DATE(2026,10,13),日次入力!$A$4:$A$1500,"&lt;="&amp;DATE(2026,10,19),日次入力!$C$4:$C$1500,"Meta介護校")=0,"",SUMIFS(日次入力!$F$4:$F$1500,日次入力!$A$4:$A$1500,"&gt;="&amp;DATE(2026,10,13),日次入力!$A$4:$A$1500,"&lt;="&amp;DATE(2026,10,19),日次入力!$C$4:$C$1500,"Meta介護校"))</f>
        <v/>
      </c>
      <c r="F89" s="42" t="str">
        <f aca="false">IF(COUNTIFS(日次入力!$A$4:$A$1500,"&gt;="&amp;DATE(2026,10,13),日次入力!$A$4:$A$1500,"&lt;="&amp;DATE(2026,10,19),日次入力!$C$4:$C$1500,"Meta介護校")=0,"",SUMIFS(日次入力!$G$4:$G$1500,日次入力!$A$4:$A$1500,"&gt;="&amp;DATE(2026,10,13),日次入力!$A$4:$A$1500,"&lt;="&amp;DATE(2026,10,19),日次入力!$C$4:$C$1500,"Meta介護校"))</f>
        <v/>
      </c>
      <c r="G89" s="15" t="str">
        <f aca="false">IFERROR(E89/D89,"")</f>
        <v/>
      </c>
      <c r="H89" s="37" t="str">
        <f aca="false">IFERROR(C89/E89,"")</f>
        <v/>
      </c>
      <c r="I89" s="37" t="str">
        <f aca="false">IFERROR(C89/D89*1000,"")</f>
        <v/>
      </c>
      <c r="J89" s="15" t="str">
        <f aca="false">IFERROR(F89/E89,"")</f>
        <v/>
      </c>
      <c r="K89" s="37" t="str">
        <f aca="false">IFERROR(C89/F89,"")</f>
        <v/>
      </c>
      <c r="L89" s="42" t="str">
        <f aca="false">IF(COUNTIFS(日次入力!$A$4:$A$1500,"&gt;="&amp;DATE(2026,10,13),日次入力!$A$4:$A$1500,"&lt;="&amp;DATE(2026,10,19),日次入力!$C$4:$C$1500,"Meta介護校")=0,"",SUMIFS(日次入力!$H$4:$H$1500,日次入力!$A$4:$A$1500,"&gt;="&amp;DATE(2026,10,13),日次入力!$A$4:$A$1500,"&lt;="&amp;DATE(2026,10,19),日次入力!$C$4:$C$1500,"Meta介護校"))</f>
        <v/>
      </c>
      <c r="M89" s="15" t="str">
        <f aca="false">IF(L89="","",IFERROR(L89/F89,""))</f>
        <v/>
      </c>
      <c r="N89" s="42" t="str">
        <f aca="false">IF(COUNTIFS(日次入力!$A$4:$A$1500,"&gt;="&amp;DATE(2026,10,13),日次入力!$A$4:$A$1500,"&lt;="&amp;DATE(2026,10,19),日次入力!$C$4:$C$1500,"Meta介護校")=0,"",SUMIFS(日次入力!$I$4:$I$1500,日次入力!$A$4:$A$1500,"&gt;="&amp;DATE(2026,10,13),日次入力!$A$4:$A$1500,"&lt;="&amp;DATE(2026,10,19),日次入力!$C$4:$C$1500,"Meta介護校"))</f>
        <v/>
      </c>
      <c r="O89" s="15" t="str">
        <f aca="false">IF(N89="","",IFERROR(N89/L89,""))</f>
        <v/>
      </c>
      <c r="P89" s="37" t="str">
        <f aca="false">IF(N89=0,"",IFERROR(C89/N89,""))</f>
        <v/>
      </c>
      <c r="Q89" s="38" t="str">
        <f aca="false">IF(N89=0,"",IFERROR(IF(C89/N89&lt;=用語集!$B$22,"◎ 許容内","✗ 超過"),"—"))</f>
        <v>—</v>
      </c>
      <c r="R89" s="39" t="str">
        <f aca="false">IFERROR(用語集!$B$22/P89,"")</f>
        <v/>
      </c>
    </row>
    <row r="90" customFormat="false" ht="15" hidden="false" customHeight="false" outlineLevel="0" collapsed="false">
      <c r="A90" s="34" t="s">
        <v>116</v>
      </c>
      <c r="B90" s="35" t="s">
        <v>117</v>
      </c>
      <c r="C90" s="41" t="str">
        <f aca="false">IF(COUNTIFS(日次入力!$A$4:$A$1500,"&gt;="&amp;DATE(2026,10,20),日次入力!$A$4:$A$1500,"&lt;="&amp;DATE(2026,10,26),日次入力!$C$4:$C$1500,"Meta介護校")=0,"",SUMIFS(日次入力!$D$4:$D$1500,日次入力!$A$4:$A$1500,"&gt;="&amp;DATE(2026,10,20),日次入力!$A$4:$A$1500,"&lt;="&amp;DATE(2026,10,26),日次入力!$C$4:$C$1500,"Meta介護校"))</f>
        <v/>
      </c>
      <c r="D90" s="42" t="str">
        <f aca="false">IF(COUNTIFS(日次入力!$A$4:$A$1500,"&gt;="&amp;DATE(2026,10,20),日次入力!$A$4:$A$1500,"&lt;="&amp;DATE(2026,10,26),日次入力!$C$4:$C$1500,"Meta介護校")=0,"",SUMIFS(日次入力!$E$4:$E$1500,日次入力!$A$4:$A$1500,"&gt;="&amp;DATE(2026,10,20),日次入力!$A$4:$A$1500,"&lt;="&amp;DATE(2026,10,26),日次入力!$C$4:$C$1500,"Meta介護校"))</f>
        <v/>
      </c>
      <c r="E90" s="42" t="str">
        <f aca="false">IF(COUNTIFS(日次入力!$A$4:$A$1500,"&gt;="&amp;DATE(2026,10,20),日次入力!$A$4:$A$1500,"&lt;="&amp;DATE(2026,10,26),日次入力!$C$4:$C$1500,"Meta介護校")=0,"",SUMIFS(日次入力!$F$4:$F$1500,日次入力!$A$4:$A$1500,"&gt;="&amp;DATE(2026,10,20),日次入力!$A$4:$A$1500,"&lt;="&amp;DATE(2026,10,26),日次入力!$C$4:$C$1500,"Meta介護校"))</f>
        <v/>
      </c>
      <c r="F90" s="42" t="str">
        <f aca="false">IF(COUNTIFS(日次入力!$A$4:$A$1500,"&gt;="&amp;DATE(2026,10,20),日次入力!$A$4:$A$1500,"&lt;="&amp;DATE(2026,10,26),日次入力!$C$4:$C$1500,"Meta介護校")=0,"",SUMIFS(日次入力!$G$4:$G$1500,日次入力!$A$4:$A$1500,"&gt;="&amp;DATE(2026,10,20),日次入力!$A$4:$A$1500,"&lt;="&amp;DATE(2026,10,26),日次入力!$C$4:$C$1500,"Meta介護校"))</f>
        <v/>
      </c>
      <c r="G90" s="15" t="str">
        <f aca="false">IFERROR(E90/D90,"")</f>
        <v/>
      </c>
      <c r="H90" s="37" t="str">
        <f aca="false">IFERROR(C90/E90,"")</f>
        <v/>
      </c>
      <c r="I90" s="37" t="str">
        <f aca="false">IFERROR(C90/D90*1000,"")</f>
        <v/>
      </c>
      <c r="J90" s="15" t="str">
        <f aca="false">IFERROR(F90/E90,"")</f>
        <v/>
      </c>
      <c r="K90" s="37" t="str">
        <f aca="false">IFERROR(C90/F90,"")</f>
        <v/>
      </c>
      <c r="L90" s="42" t="str">
        <f aca="false">IF(COUNTIFS(日次入力!$A$4:$A$1500,"&gt;="&amp;DATE(2026,10,20),日次入力!$A$4:$A$1500,"&lt;="&amp;DATE(2026,10,26),日次入力!$C$4:$C$1500,"Meta介護校")=0,"",SUMIFS(日次入力!$H$4:$H$1500,日次入力!$A$4:$A$1500,"&gt;="&amp;DATE(2026,10,20),日次入力!$A$4:$A$1500,"&lt;="&amp;DATE(2026,10,26),日次入力!$C$4:$C$1500,"Meta介護校"))</f>
        <v/>
      </c>
      <c r="M90" s="15" t="str">
        <f aca="false">IF(L90="","",IFERROR(L90/F90,""))</f>
        <v/>
      </c>
      <c r="N90" s="42" t="str">
        <f aca="false">IF(COUNTIFS(日次入力!$A$4:$A$1500,"&gt;="&amp;DATE(2026,10,20),日次入力!$A$4:$A$1500,"&lt;="&amp;DATE(2026,10,26),日次入力!$C$4:$C$1500,"Meta介護校")=0,"",SUMIFS(日次入力!$I$4:$I$1500,日次入力!$A$4:$A$1500,"&gt;="&amp;DATE(2026,10,20),日次入力!$A$4:$A$1500,"&lt;="&amp;DATE(2026,10,26),日次入力!$C$4:$C$1500,"Meta介護校"))</f>
        <v/>
      </c>
      <c r="O90" s="15" t="str">
        <f aca="false">IF(N90="","",IFERROR(N90/L90,""))</f>
        <v/>
      </c>
      <c r="P90" s="37" t="str">
        <f aca="false">IF(N90=0,"",IFERROR(C90/N90,""))</f>
        <v/>
      </c>
      <c r="Q90" s="38" t="str">
        <f aca="false">IF(N90=0,"",IFERROR(IF(C90/N90&lt;=用語集!$B$22,"◎ 許容内","✗ 超過"),"—"))</f>
        <v>—</v>
      </c>
      <c r="R90" s="39" t="str">
        <f aca="false">IFERROR(用語集!$B$22/P90,"")</f>
        <v/>
      </c>
    </row>
    <row r="91" customFormat="false" ht="15" hidden="false" customHeight="false" outlineLevel="0" collapsed="false">
      <c r="A91" s="34" t="s">
        <v>118</v>
      </c>
      <c r="B91" s="35" t="s">
        <v>119</v>
      </c>
      <c r="C91" s="41" t="str">
        <f aca="false">IF(COUNTIFS(日次入力!$A$4:$A$1500,"&gt;="&amp;DATE(2026,10,27),日次入力!$A$4:$A$1500,"&lt;="&amp;DATE(2026,11,2),日次入力!$C$4:$C$1500,"Meta介護校")=0,"",SUMIFS(日次入力!$D$4:$D$1500,日次入力!$A$4:$A$1500,"&gt;="&amp;DATE(2026,10,27),日次入力!$A$4:$A$1500,"&lt;="&amp;DATE(2026,11,2),日次入力!$C$4:$C$1500,"Meta介護校"))</f>
        <v/>
      </c>
      <c r="D91" s="42" t="str">
        <f aca="false">IF(COUNTIFS(日次入力!$A$4:$A$1500,"&gt;="&amp;DATE(2026,10,27),日次入力!$A$4:$A$1500,"&lt;="&amp;DATE(2026,11,2),日次入力!$C$4:$C$1500,"Meta介護校")=0,"",SUMIFS(日次入力!$E$4:$E$1500,日次入力!$A$4:$A$1500,"&gt;="&amp;DATE(2026,10,27),日次入力!$A$4:$A$1500,"&lt;="&amp;DATE(2026,11,2),日次入力!$C$4:$C$1500,"Meta介護校"))</f>
        <v/>
      </c>
      <c r="E91" s="42" t="str">
        <f aca="false">IF(COUNTIFS(日次入力!$A$4:$A$1500,"&gt;="&amp;DATE(2026,10,27),日次入力!$A$4:$A$1500,"&lt;="&amp;DATE(2026,11,2),日次入力!$C$4:$C$1500,"Meta介護校")=0,"",SUMIFS(日次入力!$F$4:$F$1500,日次入力!$A$4:$A$1500,"&gt;="&amp;DATE(2026,10,27),日次入力!$A$4:$A$1500,"&lt;="&amp;DATE(2026,11,2),日次入力!$C$4:$C$1500,"Meta介護校"))</f>
        <v/>
      </c>
      <c r="F91" s="42" t="str">
        <f aca="false">IF(COUNTIFS(日次入力!$A$4:$A$1500,"&gt;="&amp;DATE(2026,10,27),日次入力!$A$4:$A$1500,"&lt;="&amp;DATE(2026,11,2),日次入力!$C$4:$C$1500,"Meta介護校")=0,"",SUMIFS(日次入力!$G$4:$G$1500,日次入力!$A$4:$A$1500,"&gt;="&amp;DATE(2026,10,27),日次入力!$A$4:$A$1500,"&lt;="&amp;DATE(2026,11,2),日次入力!$C$4:$C$1500,"Meta介護校"))</f>
        <v/>
      </c>
      <c r="G91" s="15" t="str">
        <f aca="false">IFERROR(E91/D91,"")</f>
        <v/>
      </c>
      <c r="H91" s="37" t="str">
        <f aca="false">IFERROR(C91/E91,"")</f>
        <v/>
      </c>
      <c r="I91" s="37" t="str">
        <f aca="false">IFERROR(C91/D91*1000,"")</f>
        <v/>
      </c>
      <c r="J91" s="15" t="str">
        <f aca="false">IFERROR(F91/E91,"")</f>
        <v/>
      </c>
      <c r="K91" s="37" t="str">
        <f aca="false">IFERROR(C91/F91,"")</f>
        <v/>
      </c>
      <c r="L91" s="42" t="str">
        <f aca="false">IF(COUNTIFS(日次入力!$A$4:$A$1500,"&gt;="&amp;DATE(2026,10,27),日次入力!$A$4:$A$1500,"&lt;="&amp;DATE(2026,11,2),日次入力!$C$4:$C$1500,"Meta介護校")=0,"",SUMIFS(日次入力!$H$4:$H$1500,日次入力!$A$4:$A$1500,"&gt;="&amp;DATE(2026,10,27),日次入力!$A$4:$A$1500,"&lt;="&amp;DATE(2026,11,2),日次入力!$C$4:$C$1500,"Meta介護校"))</f>
        <v/>
      </c>
      <c r="M91" s="15" t="str">
        <f aca="false">IF(L91="","",IFERROR(L91/F91,""))</f>
        <v/>
      </c>
      <c r="N91" s="42" t="str">
        <f aca="false">IF(COUNTIFS(日次入力!$A$4:$A$1500,"&gt;="&amp;DATE(2026,10,27),日次入力!$A$4:$A$1500,"&lt;="&amp;DATE(2026,11,2),日次入力!$C$4:$C$1500,"Meta介護校")=0,"",SUMIFS(日次入力!$I$4:$I$1500,日次入力!$A$4:$A$1500,"&gt;="&amp;DATE(2026,10,27),日次入力!$A$4:$A$1500,"&lt;="&amp;DATE(2026,11,2),日次入力!$C$4:$C$1500,"Meta介護校"))</f>
        <v/>
      </c>
      <c r="O91" s="15" t="str">
        <f aca="false">IF(N91="","",IFERROR(N91/L91,""))</f>
        <v/>
      </c>
      <c r="P91" s="37" t="str">
        <f aca="false">IF(N91=0,"",IFERROR(C91/N91,""))</f>
        <v/>
      </c>
      <c r="Q91" s="38" t="str">
        <f aca="false">IF(N91=0,"",IFERROR(IF(C91/N91&lt;=用語集!$B$22,"◎ 許容内","✗ 超過"),"—"))</f>
        <v>—</v>
      </c>
      <c r="R91" s="39" t="str">
        <f aca="false">IFERROR(用語集!$B$22/P91,"")</f>
        <v/>
      </c>
    </row>
    <row r="92" customFormat="false" ht="15" hidden="false" customHeight="false" outlineLevel="0" collapsed="false">
      <c r="A92" s="34" t="s">
        <v>120</v>
      </c>
      <c r="B92" s="35" t="s">
        <v>121</v>
      </c>
      <c r="C92" s="41" t="str">
        <f aca="false">IF(COUNTIFS(日次入力!$A$4:$A$1500,"&gt;="&amp;DATE(2026,11,3),日次入力!$A$4:$A$1500,"&lt;="&amp;DATE(2026,11,9),日次入力!$C$4:$C$1500,"Meta介護校")=0,"",SUMIFS(日次入力!$D$4:$D$1500,日次入力!$A$4:$A$1500,"&gt;="&amp;DATE(2026,11,3),日次入力!$A$4:$A$1500,"&lt;="&amp;DATE(2026,11,9),日次入力!$C$4:$C$1500,"Meta介護校"))</f>
        <v/>
      </c>
      <c r="D92" s="42" t="str">
        <f aca="false">IF(COUNTIFS(日次入力!$A$4:$A$1500,"&gt;="&amp;DATE(2026,11,3),日次入力!$A$4:$A$1500,"&lt;="&amp;DATE(2026,11,9),日次入力!$C$4:$C$1500,"Meta介護校")=0,"",SUMIFS(日次入力!$E$4:$E$1500,日次入力!$A$4:$A$1500,"&gt;="&amp;DATE(2026,11,3),日次入力!$A$4:$A$1500,"&lt;="&amp;DATE(2026,11,9),日次入力!$C$4:$C$1500,"Meta介護校"))</f>
        <v/>
      </c>
      <c r="E92" s="42" t="str">
        <f aca="false">IF(COUNTIFS(日次入力!$A$4:$A$1500,"&gt;="&amp;DATE(2026,11,3),日次入力!$A$4:$A$1500,"&lt;="&amp;DATE(2026,11,9),日次入力!$C$4:$C$1500,"Meta介護校")=0,"",SUMIFS(日次入力!$F$4:$F$1500,日次入力!$A$4:$A$1500,"&gt;="&amp;DATE(2026,11,3),日次入力!$A$4:$A$1500,"&lt;="&amp;DATE(2026,11,9),日次入力!$C$4:$C$1500,"Meta介護校"))</f>
        <v/>
      </c>
      <c r="F92" s="42" t="str">
        <f aca="false">IF(COUNTIFS(日次入力!$A$4:$A$1500,"&gt;="&amp;DATE(2026,11,3),日次入力!$A$4:$A$1500,"&lt;="&amp;DATE(2026,11,9),日次入力!$C$4:$C$1500,"Meta介護校")=0,"",SUMIFS(日次入力!$G$4:$G$1500,日次入力!$A$4:$A$1500,"&gt;="&amp;DATE(2026,11,3),日次入力!$A$4:$A$1500,"&lt;="&amp;DATE(2026,11,9),日次入力!$C$4:$C$1500,"Meta介護校"))</f>
        <v/>
      </c>
      <c r="G92" s="15" t="str">
        <f aca="false">IFERROR(E92/D92,"")</f>
        <v/>
      </c>
      <c r="H92" s="37" t="str">
        <f aca="false">IFERROR(C92/E92,"")</f>
        <v/>
      </c>
      <c r="I92" s="37" t="str">
        <f aca="false">IFERROR(C92/D92*1000,"")</f>
        <v/>
      </c>
      <c r="J92" s="15" t="str">
        <f aca="false">IFERROR(F92/E92,"")</f>
        <v/>
      </c>
      <c r="K92" s="37" t="str">
        <f aca="false">IFERROR(C92/F92,"")</f>
        <v/>
      </c>
      <c r="L92" s="42" t="str">
        <f aca="false">IF(COUNTIFS(日次入力!$A$4:$A$1500,"&gt;="&amp;DATE(2026,11,3),日次入力!$A$4:$A$1500,"&lt;="&amp;DATE(2026,11,9),日次入力!$C$4:$C$1500,"Meta介護校")=0,"",SUMIFS(日次入力!$H$4:$H$1500,日次入力!$A$4:$A$1500,"&gt;="&amp;DATE(2026,11,3),日次入力!$A$4:$A$1500,"&lt;="&amp;DATE(2026,11,9),日次入力!$C$4:$C$1500,"Meta介護校"))</f>
        <v/>
      </c>
      <c r="M92" s="15" t="str">
        <f aca="false">IF(L92="","",IFERROR(L92/F92,""))</f>
        <v/>
      </c>
      <c r="N92" s="42" t="str">
        <f aca="false">IF(COUNTIFS(日次入力!$A$4:$A$1500,"&gt;="&amp;DATE(2026,11,3),日次入力!$A$4:$A$1500,"&lt;="&amp;DATE(2026,11,9),日次入力!$C$4:$C$1500,"Meta介護校")=0,"",SUMIFS(日次入力!$I$4:$I$1500,日次入力!$A$4:$A$1500,"&gt;="&amp;DATE(2026,11,3),日次入力!$A$4:$A$1500,"&lt;="&amp;DATE(2026,11,9),日次入力!$C$4:$C$1500,"Meta介護校"))</f>
        <v/>
      </c>
      <c r="O92" s="15" t="str">
        <f aca="false">IF(N92="","",IFERROR(N92/L92,""))</f>
        <v/>
      </c>
      <c r="P92" s="37" t="str">
        <f aca="false">IF(N92=0,"",IFERROR(C92/N92,""))</f>
        <v/>
      </c>
      <c r="Q92" s="38" t="str">
        <f aca="false">IF(N92=0,"",IFERROR(IF(C92/N92&lt;=用語集!$B$22,"◎ 許容内","✗ 超過"),"—"))</f>
        <v>—</v>
      </c>
      <c r="R92" s="39" t="str">
        <f aca="false">IFERROR(用語集!$B$22/P92,"")</f>
        <v/>
      </c>
    </row>
    <row r="93" customFormat="false" ht="15" hidden="false" customHeight="false" outlineLevel="0" collapsed="false">
      <c r="A93" s="34" t="s">
        <v>122</v>
      </c>
      <c r="B93" s="35" t="s">
        <v>123</v>
      </c>
      <c r="C93" s="41" t="str">
        <f aca="false">IF(COUNTIFS(日次入力!$A$4:$A$1500,"&gt;="&amp;DATE(2026,11,10),日次入力!$A$4:$A$1500,"&lt;="&amp;DATE(2026,11,16),日次入力!$C$4:$C$1500,"Meta介護校")=0,"",SUMIFS(日次入力!$D$4:$D$1500,日次入力!$A$4:$A$1500,"&gt;="&amp;DATE(2026,11,10),日次入力!$A$4:$A$1500,"&lt;="&amp;DATE(2026,11,16),日次入力!$C$4:$C$1500,"Meta介護校"))</f>
        <v/>
      </c>
      <c r="D93" s="42" t="str">
        <f aca="false">IF(COUNTIFS(日次入力!$A$4:$A$1500,"&gt;="&amp;DATE(2026,11,10),日次入力!$A$4:$A$1500,"&lt;="&amp;DATE(2026,11,16),日次入力!$C$4:$C$1500,"Meta介護校")=0,"",SUMIFS(日次入力!$E$4:$E$1500,日次入力!$A$4:$A$1500,"&gt;="&amp;DATE(2026,11,10),日次入力!$A$4:$A$1500,"&lt;="&amp;DATE(2026,11,16),日次入力!$C$4:$C$1500,"Meta介護校"))</f>
        <v/>
      </c>
      <c r="E93" s="42" t="str">
        <f aca="false">IF(COUNTIFS(日次入力!$A$4:$A$1500,"&gt;="&amp;DATE(2026,11,10),日次入力!$A$4:$A$1500,"&lt;="&amp;DATE(2026,11,16),日次入力!$C$4:$C$1500,"Meta介護校")=0,"",SUMIFS(日次入力!$F$4:$F$1500,日次入力!$A$4:$A$1500,"&gt;="&amp;DATE(2026,11,10),日次入力!$A$4:$A$1500,"&lt;="&amp;DATE(2026,11,16),日次入力!$C$4:$C$1500,"Meta介護校"))</f>
        <v/>
      </c>
      <c r="F93" s="42" t="str">
        <f aca="false">IF(COUNTIFS(日次入力!$A$4:$A$1500,"&gt;="&amp;DATE(2026,11,10),日次入力!$A$4:$A$1500,"&lt;="&amp;DATE(2026,11,16),日次入力!$C$4:$C$1500,"Meta介護校")=0,"",SUMIFS(日次入力!$G$4:$G$1500,日次入力!$A$4:$A$1500,"&gt;="&amp;DATE(2026,11,10),日次入力!$A$4:$A$1500,"&lt;="&amp;DATE(2026,11,16),日次入力!$C$4:$C$1500,"Meta介護校"))</f>
        <v/>
      </c>
      <c r="G93" s="15" t="str">
        <f aca="false">IFERROR(E93/D93,"")</f>
        <v/>
      </c>
      <c r="H93" s="37" t="str">
        <f aca="false">IFERROR(C93/E93,"")</f>
        <v/>
      </c>
      <c r="I93" s="37" t="str">
        <f aca="false">IFERROR(C93/D93*1000,"")</f>
        <v/>
      </c>
      <c r="J93" s="15" t="str">
        <f aca="false">IFERROR(F93/E93,"")</f>
        <v/>
      </c>
      <c r="K93" s="37" t="str">
        <f aca="false">IFERROR(C93/F93,"")</f>
        <v/>
      </c>
      <c r="L93" s="42" t="str">
        <f aca="false">IF(COUNTIFS(日次入力!$A$4:$A$1500,"&gt;="&amp;DATE(2026,11,10),日次入力!$A$4:$A$1500,"&lt;="&amp;DATE(2026,11,16),日次入力!$C$4:$C$1500,"Meta介護校")=0,"",SUMIFS(日次入力!$H$4:$H$1500,日次入力!$A$4:$A$1500,"&gt;="&amp;DATE(2026,11,10),日次入力!$A$4:$A$1500,"&lt;="&amp;DATE(2026,11,16),日次入力!$C$4:$C$1500,"Meta介護校"))</f>
        <v/>
      </c>
      <c r="M93" s="15" t="str">
        <f aca="false">IF(L93="","",IFERROR(L93/F93,""))</f>
        <v/>
      </c>
      <c r="N93" s="42" t="str">
        <f aca="false">IF(COUNTIFS(日次入力!$A$4:$A$1500,"&gt;="&amp;DATE(2026,11,10),日次入力!$A$4:$A$1500,"&lt;="&amp;DATE(2026,11,16),日次入力!$C$4:$C$1500,"Meta介護校")=0,"",SUMIFS(日次入力!$I$4:$I$1500,日次入力!$A$4:$A$1500,"&gt;="&amp;DATE(2026,11,10),日次入力!$A$4:$A$1500,"&lt;="&amp;DATE(2026,11,16),日次入力!$C$4:$C$1500,"Meta介護校"))</f>
        <v/>
      </c>
      <c r="O93" s="15" t="str">
        <f aca="false">IF(N93="","",IFERROR(N93/L93,""))</f>
        <v/>
      </c>
      <c r="P93" s="37" t="str">
        <f aca="false">IF(N93=0,"",IFERROR(C93/N93,""))</f>
        <v/>
      </c>
      <c r="Q93" s="38" t="str">
        <f aca="false">IF(N93=0,"",IFERROR(IF(C93/N93&lt;=用語集!$B$22,"◎ 許容内","✗ 超過"),"—"))</f>
        <v>—</v>
      </c>
      <c r="R93" s="39" t="str">
        <f aca="false">IFERROR(用語集!$B$22/P93,"")</f>
        <v/>
      </c>
    </row>
    <row r="94" customFormat="false" ht="15" hidden="false" customHeight="false" outlineLevel="0" collapsed="false">
      <c r="A94" s="34" t="s">
        <v>124</v>
      </c>
      <c r="B94" s="35" t="s">
        <v>125</v>
      </c>
      <c r="C94" s="41" t="str">
        <f aca="false">IF(COUNTIFS(日次入力!$A$4:$A$1500,"&gt;="&amp;DATE(2026,11,17),日次入力!$A$4:$A$1500,"&lt;="&amp;DATE(2026,11,23),日次入力!$C$4:$C$1500,"Meta介護校")=0,"",SUMIFS(日次入力!$D$4:$D$1500,日次入力!$A$4:$A$1500,"&gt;="&amp;DATE(2026,11,17),日次入力!$A$4:$A$1500,"&lt;="&amp;DATE(2026,11,23),日次入力!$C$4:$C$1500,"Meta介護校"))</f>
        <v/>
      </c>
      <c r="D94" s="42" t="str">
        <f aca="false">IF(COUNTIFS(日次入力!$A$4:$A$1500,"&gt;="&amp;DATE(2026,11,17),日次入力!$A$4:$A$1500,"&lt;="&amp;DATE(2026,11,23),日次入力!$C$4:$C$1500,"Meta介護校")=0,"",SUMIFS(日次入力!$E$4:$E$1500,日次入力!$A$4:$A$1500,"&gt;="&amp;DATE(2026,11,17),日次入力!$A$4:$A$1500,"&lt;="&amp;DATE(2026,11,23),日次入力!$C$4:$C$1500,"Meta介護校"))</f>
        <v/>
      </c>
      <c r="E94" s="42" t="str">
        <f aca="false">IF(COUNTIFS(日次入力!$A$4:$A$1500,"&gt;="&amp;DATE(2026,11,17),日次入力!$A$4:$A$1500,"&lt;="&amp;DATE(2026,11,23),日次入力!$C$4:$C$1500,"Meta介護校")=0,"",SUMIFS(日次入力!$F$4:$F$1500,日次入力!$A$4:$A$1500,"&gt;="&amp;DATE(2026,11,17),日次入力!$A$4:$A$1500,"&lt;="&amp;DATE(2026,11,23),日次入力!$C$4:$C$1500,"Meta介護校"))</f>
        <v/>
      </c>
      <c r="F94" s="42" t="str">
        <f aca="false">IF(COUNTIFS(日次入力!$A$4:$A$1500,"&gt;="&amp;DATE(2026,11,17),日次入力!$A$4:$A$1500,"&lt;="&amp;DATE(2026,11,23),日次入力!$C$4:$C$1500,"Meta介護校")=0,"",SUMIFS(日次入力!$G$4:$G$1500,日次入力!$A$4:$A$1500,"&gt;="&amp;DATE(2026,11,17),日次入力!$A$4:$A$1500,"&lt;="&amp;DATE(2026,11,23),日次入力!$C$4:$C$1500,"Meta介護校"))</f>
        <v/>
      </c>
      <c r="G94" s="15" t="str">
        <f aca="false">IFERROR(E94/D94,"")</f>
        <v/>
      </c>
      <c r="H94" s="37" t="str">
        <f aca="false">IFERROR(C94/E94,"")</f>
        <v/>
      </c>
      <c r="I94" s="37" t="str">
        <f aca="false">IFERROR(C94/D94*1000,"")</f>
        <v/>
      </c>
      <c r="J94" s="15" t="str">
        <f aca="false">IFERROR(F94/E94,"")</f>
        <v/>
      </c>
      <c r="K94" s="37" t="str">
        <f aca="false">IFERROR(C94/F94,"")</f>
        <v/>
      </c>
      <c r="L94" s="42" t="str">
        <f aca="false">IF(COUNTIFS(日次入力!$A$4:$A$1500,"&gt;="&amp;DATE(2026,11,17),日次入力!$A$4:$A$1500,"&lt;="&amp;DATE(2026,11,23),日次入力!$C$4:$C$1500,"Meta介護校")=0,"",SUMIFS(日次入力!$H$4:$H$1500,日次入力!$A$4:$A$1500,"&gt;="&amp;DATE(2026,11,17),日次入力!$A$4:$A$1500,"&lt;="&amp;DATE(2026,11,23),日次入力!$C$4:$C$1500,"Meta介護校"))</f>
        <v/>
      </c>
      <c r="M94" s="15" t="str">
        <f aca="false">IF(L94="","",IFERROR(L94/F94,""))</f>
        <v/>
      </c>
      <c r="N94" s="42" t="str">
        <f aca="false">IF(COUNTIFS(日次入力!$A$4:$A$1500,"&gt;="&amp;DATE(2026,11,17),日次入力!$A$4:$A$1500,"&lt;="&amp;DATE(2026,11,23),日次入力!$C$4:$C$1500,"Meta介護校")=0,"",SUMIFS(日次入力!$I$4:$I$1500,日次入力!$A$4:$A$1500,"&gt;="&amp;DATE(2026,11,17),日次入力!$A$4:$A$1500,"&lt;="&amp;DATE(2026,11,23),日次入力!$C$4:$C$1500,"Meta介護校"))</f>
        <v/>
      </c>
      <c r="O94" s="15" t="str">
        <f aca="false">IF(N94="","",IFERROR(N94/L94,""))</f>
        <v/>
      </c>
      <c r="P94" s="37" t="str">
        <f aca="false">IF(N94=0,"",IFERROR(C94/N94,""))</f>
        <v/>
      </c>
      <c r="Q94" s="38" t="str">
        <f aca="false">IF(N94=0,"",IFERROR(IF(C94/N94&lt;=用語集!$B$22,"◎ 許容内","✗ 超過"),"—"))</f>
        <v>—</v>
      </c>
      <c r="R94" s="39" t="str">
        <f aca="false">IFERROR(用語集!$B$22/P94,"")</f>
        <v/>
      </c>
    </row>
    <row r="95" customFormat="false" ht="15" hidden="false" customHeight="false" outlineLevel="0" collapsed="false">
      <c r="A95" s="34" t="s">
        <v>126</v>
      </c>
      <c r="B95" s="35" t="s">
        <v>127</v>
      </c>
      <c r="C95" s="41" t="str">
        <f aca="false">IF(COUNTIFS(日次入力!$A$4:$A$1500,"&gt;="&amp;DATE(2026,11,24),日次入力!$A$4:$A$1500,"&lt;="&amp;DATE(2026,11,30),日次入力!$C$4:$C$1500,"Meta介護校")=0,"",SUMIFS(日次入力!$D$4:$D$1500,日次入力!$A$4:$A$1500,"&gt;="&amp;DATE(2026,11,24),日次入力!$A$4:$A$1500,"&lt;="&amp;DATE(2026,11,30),日次入力!$C$4:$C$1500,"Meta介護校"))</f>
        <v/>
      </c>
      <c r="D95" s="42" t="str">
        <f aca="false">IF(COUNTIFS(日次入力!$A$4:$A$1500,"&gt;="&amp;DATE(2026,11,24),日次入力!$A$4:$A$1500,"&lt;="&amp;DATE(2026,11,30),日次入力!$C$4:$C$1500,"Meta介護校")=0,"",SUMIFS(日次入力!$E$4:$E$1500,日次入力!$A$4:$A$1500,"&gt;="&amp;DATE(2026,11,24),日次入力!$A$4:$A$1500,"&lt;="&amp;DATE(2026,11,30),日次入力!$C$4:$C$1500,"Meta介護校"))</f>
        <v/>
      </c>
      <c r="E95" s="42" t="str">
        <f aca="false">IF(COUNTIFS(日次入力!$A$4:$A$1500,"&gt;="&amp;DATE(2026,11,24),日次入力!$A$4:$A$1500,"&lt;="&amp;DATE(2026,11,30),日次入力!$C$4:$C$1500,"Meta介護校")=0,"",SUMIFS(日次入力!$F$4:$F$1500,日次入力!$A$4:$A$1500,"&gt;="&amp;DATE(2026,11,24),日次入力!$A$4:$A$1500,"&lt;="&amp;DATE(2026,11,30),日次入力!$C$4:$C$1500,"Meta介護校"))</f>
        <v/>
      </c>
      <c r="F95" s="42" t="str">
        <f aca="false">IF(COUNTIFS(日次入力!$A$4:$A$1500,"&gt;="&amp;DATE(2026,11,24),日次入力!$A$4:$A$1500,"&lt;="&amp;DATE(2026,11,30),日次入力!$C$4:$C$1500,"Meta介護校")=0,"",SUMIFS(日次入力!$G$4:$G$1500,日次入力!$A$4:$A$1500,"&gt;="&amp;DATE(2026,11,24),日次入力!$A$4:$A$1500,"&lt;="&amp;DATE(2026,11,30),日次入力!$C$4:$C$1500,"Meta介護校"))</f>
        <v/>
      </c>
      <c r="G95" s="15" t="str">
        <f aca="false">IFERROR(E95/D95,"")</f>
        <v/>
      </c>
      <c r="H95" s="37" t="str">
        <f aca="false">IFERROR(C95/E95,"")</f>
        <v/>
      </c>
      <c r="I95" s="37" t="str">
        <f aca="false">IFERROR(C95/D95*1000,"")</f>
        <v/>
      </c>
      <c r="J95" s="15" t="str">
        <f aca="false">IFERROR(F95/E95,"")</f>
        <v/>
      </c>
      <c r="K95" s="37" t="str">
        <f aca="false">IFERROR(C95/F95,"")</f>
        <v/>
      </c>
      <c r="L95" s="42" t="str">
        <f aca="false">IF(COUNTIFS(日次入力!$A$4:$A$1500,"&gt;="&amp;DATE(2026,11,24),日次入力!$A$4:$A$1500,"&lt;="&amp;DATE(2026,11,30),日次入力!$C$4:$C$1500,"Meta介護校")=0,"",SUMIFS(日次入力!$H$4:$H$1500,日次入力!$A$4:$A$1500,"&gt;="&amp;DATE(2026,11,24),日次入力!$A$4:$A$1500,"&lt;="&amp;DATE(2026,11,30),日次入力!$C$4:$C$1500,"Meta介護校"))</f>
        <v/>
      </c>
      <c r="M95" s="15" t="str">
        <f aca="false">IF(L95="","",IFERROR(L95/F95,""))</f>
        <v/>
      </c>
      <c r="N95" s="42" t="str">
        <f aca="false">IF(COUNTIFS(日次入力!$A$4:$A$1500,"&gt;="&amp;DATE(2026,11,24),日次入力!$A$4:$A$1500,"&lt;="&amp;DATE(2026,11,30),日次入力!$C$4:$C$1500,"Meta介護校")=0,"",SUMIFS(日次入力!$I$4:$I$1500,日次入力!$A$4:$A$1500,"&gt;="&amp;DATE(2026,11,24),日次入力!$A$4:$A$1500,"&lt;="&amp;DATE(2026,11,30),日次入力!$C$4:$C$1500,"Meta介護校"))</f>
        <v/>
      </c>
      <c r="O95" s="15" t="str">
        <f aca="false">IF(N95="","",IFERROR(N95/L95,""))</f>
        <v/>
      </c>
      <c r="P95" s="37" t="str">
        <f aca="false">IF(N95=0,"",IFERROR(C95/N95,""))</f>
        <v/>
      </c>
      <c r="Q95" s="38" t="str">
        <f aca="false">IF(N95=0,"",IFERROR(IF(C95/N95&lt;=用語集!$B$22,"◎ 許容内","✗ 超過"),"—"))</f>
        <v>—</v>
      </c>
      <c r="R95" s="39" t="str">
        <f aca="false">IFERROR(用語集!$B$22/P95,"")</f>
        <v/>
      </c>
    </row>
    <row r="96" customFormat="false" ht="15" hidden="false" customHeight="false" outlineLevel="0" collapsed="false">
      <c r="A96" s="34" t="s">
        <v>128</v>
      </c>
      <c r="B96" s="35" t="s">
        <v>129</v>
      </c>
      <c r="C96" s="41" t="str">
        <f aca="false">IF(COUNTIFS(日次入力!$A$4:$A$1500,"&gt;="&amp;DATE(2026,12,1),日次入力!$A$4:$A$1500,"&lt;="&amp;DATE(2026,12,7),日次入力!$C$4:$C$1500,"Meta介護校")=0,"",SUMIFS(日次入力!$D$4:$D$1500,日次入力!$A$4:$A$1500,"&gt;="&amp;DATE(2026,12,1),日次入力!$A$4:$A$1500,"&lt;="&amp;DATE(2026,12,7),日次入力!$C$4:$C$1500,"Meta介護校"))</f>
        <v/>
      </c>
      <c r="D96" s="42" t="str">
        <f aca="false">IF(COUNTIFS(日次入力!$A$4:$A$1500,"&gt;="&amp;DATE(2026,12,1),日次入力!$A$4:$A$1500,"&lt;="&amp;DATE(2026,12,7),日次入力!$C$4:$C$1500,"Meta介護校")=0,"",SUMIFS(日次入力!$E$4:$E$1500,日次入力!$A$4:$A$1500,"&gt;="&amp;DATE(2026,12,1),日次入力!$A$4:$A$1500,"&lt;="&amp;DATE(2026,12,7),日次入力!$C$4:$C$1500,"Meta介護校"))</f>
        <v/>
      </c>
      <c r="E96" s="42" t="str">
        <f aca="false">IF(COUNTIFS(日次入力!$A$4:$A$1500,"&gt;="&amp;DATE(2026,12,1),日次入力!$A$4:$A$1500,"&lt;="&amp;DATE(2026,12,7),日次入力!$C$4:$C$1500,"Meta介護校")=0,"",SUMIFS(日次入力!$F$4:$F$1500,日次入力!$A$4:$A$1500,"&gt;="&amp;DATE(2026,12,1),日次入力!$A$4:$A$1500,"&lt;="&amp;DATE(2026,12,7),日次入力!$C$4:$C$1500,"Meta介護校"))</f>
        <v/>
      </c>
      <c r="F96" s="42" t="str">
        <f aca="false">IF(COUNTIFS(日次入力!$A$4:$A$1500,"&gt;="&amp;DATE(2026,12,1),日次入力!$A$4:$A$1500,"&lt;="&amp;DATE(2026,12,7),日次入力!$C$4:$C$1500,"Meta介護校")=0,"",SUMIFS(日次入力!$G$4:$G$1500,日次入力!$A$4:$A$1500,"&gt;="&amp;DATE(2026,12,1),日次入力!$A$4:$A$1500,"&lt;="&amp;DATE(2026,12,7),日次入力!$C$4:$C$1500,"Meta介護校"))</f>
        <v/>
      </c>
      <c r="G96" s="15" t="str">
        <f aca="false">IFERROR(E96/D96,"")</f>
        <v/>
      </c>
      <c r="H96" s="37" t="str">
        <f aca="false">IFERROR(C96/E96,"")</f>
        <v/>
      </c>
      <c r="I96" s="37" t="str">
        <f aca="false">IFERROR(C96/D96*1000,"")</f>
        <v/>
      </c>
      <c r="J96" s="15" t="str">
        <f aca="false">IFERROR(F96/E96,"")</f>
        <v/>
      </c>
      <c r="K96" s="37" t="str">
        <f aca="false">IFERROR(C96/F96,"")</f>
        <v/>
      </c>
      <c r="L96" s="42" t="str">
        <f aca="false">IF(COUNTIFS(日次入力!$A$4:$A$1500,"&gt;="&amp;DATE(2026,12,1),日次入力!$A$4:$A$1500,"&lt;="&amp;DATE(2026,12,7),日次入力!$C$4:$C$1500,"Meta介護校")=0,"",SUMIFS(日次入力!$H$4:$H$1500,日次入力!$A$4:$A$1500,"&gt;="&amp;DATE(2026,12,1),日次入力!$A$4:$A$1500,"&lt;="&amp;DATE(2026,12,7),日次入力!$C$4:$C$1500,"Meta介護校"))</f>
        <v/>
      </c>
      <c r="M96" s="15" t="str">
        <f aca="false">IF(L96="","",IFERROR(L96/F96,""))</f>
        <v/>
      </c>
      <c r="N96" s="42" t="str">
        <f aca="false">IF(COUNTIFS(日次入力!$A$4:$A$1500,"&gt;="&amp;DATE(2026,12,1),日次入力!$A$4:$A$1500,"&lt;="&amp;DATE(2026,12,7),日次入力!$C$4:$C$1500,"Meta介護校")=0,"",SUMIFS(日次入力!$I$4:$I$1500,日次入力!$A$4:$A$1500,"&gt;="&amp;DATE(2026,12,1),日次入力!$A$4:$A$1500,"&lt;="&amp;DATE(2026,12,7),日次入力!$C$4:$C$1500,"Meta介護校"))</f>
        <v/>
      </c>
      <c r="O96" s="15" t="str">
        <f aca="false">IF(N96="","",IFERROR(N96/L96,""))</f>
        <v/>
      </c>
      <c r="P96" s="37" t="str">
        <f aca="false">IF(N96=0,"",IFERROR(C96/N96,""))</f>
        <v/>
      </c>
      <c r="Q96" s="38" t="str">
        <f aca="false">IF(N96=0,"",IFERROR(IF(C96/N96&lt;=用語集!$B$22,"◎ 許容内","✗ 超過"),"—"))</f>
        <v>—</v>
      </c>
      <c r="R96" s="39" t="str">
        <f aca="false">IFERROR(用語集!$B$22/P96,"")</f>
        <v/>
      </c>
    </row>
    <row r="97" customFormat="false" ht="15" hidden="false" customHeight="false" outlineLevel="0" collapsed="false">
      <c r="A97" s="34" t="s">
        <v>130</v>
      </c>
      <c r="B97" s="35" t="s">
        <v>131</v>
      </c>
      <c r="C97" s="41" t="str">
        <f aca="false">IF(COUNTIFS(日次入力!$A$4:$A$1500,"&gt;="&amp;DATE(2026,12,8),日次入力!$A$4:$A$1500,"&lt;="&amp;DATE(2026,12,14),日次入力!$C$4:$C$1500,"Meta介護校")=0,"",SUMIFS(日次入力!$D$4:$D$1500,日次入力!$A$4:$A$1500,"&gt;="&amp;DATE(2026,12,8),日次入力!$A$4:$A$1500,"&lt;="&amp;DATE(2026,12,14),日次入力!$C$4:$C$1500,"Meta介護校"))</f>
        <v/>
      </c>
      <c r="D97" s="42" t="str">
        <f aca="false">IF(COUNTIFS(日次入力!$A$4:$A$1500,"&gt;="&amp;DATE(2026,12,8),日次入力!$A$4:$A$1500,"&lt;="&amp;DATE(2026,12,14),日次入力!$C$4:$C$1500,"Meta介護校")=0,"",SUMIFS(日次入力!$E$4:$E$1500,日次入力!$A$4:$A$1500,"&gt;="&amp;DATE(2026,12,8),日次入力!$A$4:$A$1500,"&lt;="&amp;DATE(2026,12,14),日次入力!$C$4:$C$1500,"Meta介護校"))</f>
        <v/>
      </c>
      <c r="E97" s="42" t="str">
        <f aca="false">IF(COUNTIFS(日次入力!$A$4:$A$1500,"&gt;="&amp;DATE(2026,12,8),日次入力!$A$4:$A$1500,"&lt;="&amp;DATE(2026,12,14),日次入力!$C$4:$C$1500,"Meta介護校")=0,"",SUMIFS(日次入力!$F$4:$F$1500,日次入力!$A$4:$A$1500,"&gt;="&amp;DATE(2026,12,8),日次入力!$A$4:$A$1500,"&lt;="&amp;DATE(2026,12,14),日次入力!$C$4:$C$1500,"Meta介護校"))</f>
        <v/>
      </c>
      <c r="F97" s="42" t="str">
        <f aca="false">IF(COUNTIFS(日次入力!$A$4:$A$1500,"&gt;="&amp;DATE(2026,12,8),日次入力!$A$4:$A$1500,"&lt;="&amp;DATE(2026,12,14),日次入力!$C$4:$C$1500,"Meta介護校")=0,"",SUMIFS(日次入力!$G$4:$G$1500,日次入力!$A$4:$A$1500,"&gt;="&amp;DATE(2026,12,8),日次入力!$A$4:$A$1500,"&lt;="&amp;DATE(2026,12,14),日次入力!$C$4:$C$1500,"Meta介護校"))</f>
        <v/>
      </c>
      <c r="G97" s="15" t="str">
        <f aca="false">IFERROR(E97/D97,"")</f>
        <v/>
      </c>
      <c r="H97" s="37" t="str">
        <f aca="false">IFERROR(C97/E97,"")</f>
        <v/>
      </c>
      <c r="I97" s="37" t="str">
        <f aca="false">IFERROR(C97/D97*1000,"")</f>
        <v/>
      </c>
      <c r="J97" s="15" t="str">
        <f aca="false">IFERROR(F97/E97,"")</f>
        <v/>
      </c>
      <c r="K97" s="37" t="str">
        <f aca="false">IFERROR(C97/F97,"")</f>
        <v/>
      </c>
      <c r="L97" s="42" t="str">
        <f aca="false">IF(COUNTIFS(日次入力!$A$4:$A$1500,"&gt;="&amp;DATE(2026,12,8),日次入力!$A$4:$A$1500,"&lt;="&amp;DATE(2026,12,14),日次入力!$C$4:$C$1500,"Meta介護校")=0,"",SUMIFS(日次入力!$H$4:$H$1500,日次入力!$A$4:$A$1500,"&gt;="&amp;DATE(2026,12,8),日次入力!$A$4:$A$1500,"&lt;="&amp;DATE(2026,12,14),日次入力!$C$4:$C$1500,"Meta介護校"))</f>
        <v/>
      </c>
      <c r="M97" s="15" t="str">
        <f aca="false">IF(L97="","",IFERROR(L97/F97,""))</f>
        <v/>
      </c>
      <c r="N97" s="42" t="str">
        <f aca="false">IF(COUNTIFS(日次入力!$A$4:$A$1500,"&gt;="&amp;DATE(2026,12,8),日次入力!$A$4:$A$1500,"&lt;="&amp;DATE(2026,12,14),日次入力!$C$4:$C$1500,"Meta介護校")=0,"",SUMIFS(日次入力!$I$4:$I$1500,日次入力!$A$4:$A$1500,"&gt;="&amp;DATE(2026,12,8),日次入力!$A$4:$A$1500,"&lt;="&amp;DATE(2026,12,14),日次入力!$C$4:$C$1500,"Meta介護校"))</f>
        <v/>
      </c>
      <c r="O97" s="15" t="str">
        <f aca="false">IF(N97="","",IFERROR(N97/L97,""))</f>
        <v/>
      </c>
      <c r="P97" s="37" t="str">
        <f aca="false">IF(N97=0,"",IFERROR(C97/N97,""))</f>
        <v/>
      </c>
      <c r="Q97" s="38" t="str">
        <f aca="false">IF(N97=0,"",IFERROR(IF(C97/N97&lt;=用語集!$B$22,"◎ 許容内","✗ 超過"),"—"))</f>
        <v>—</v>
      </c>
      <c r="R97" s="39" t="str">
        <f aca="false">IFERROR(用語集!$B$22/P97,"")</f>
        <v/>
      </c>
    </row>
    <row r="98" customFormat="false" ht="15" hidden="false" customHeight="false" outlineLevel="0" collapsed="false">
      <c r="A98" s="34" t="s">
        <v>132</v>
      </c>
      <c r="B98" s="35" t="s">
        <v>133</v>
      </c>
      <c r="C98" s="41" t="str">
        <f aca="false">IF(COUNTIFS(日次入力!$A$4:$A$1500,"&gt;="&amp;DATE(2026,12,15),日次入力!$A$4:$A$1500,"&lt;="&amp;DATE(2026,12,21),日次入力!$C$4:$C$1500,"Meta介護校")=0,"",SUMIFS(日次入力!$D$4:$D$1500,日次入力!$A$4:$A$1500,"&gt;="&amp;DATE(2026,12,15),日次入力!$A$4:$A$1500,"&lt;="&amp;DATE(2026,12,21),日次入力!$C$4:$C$1500,"Meta介護校"))</f>
        <v/>
      </c>
      <c r="D98" s="42" t="str">
        <f aca="false">IF(COUNTIFS(日次入力!$A$4:$A$1500,"&gt;="&amp;DATE(2026,12,15),日次入力!$A$4:$A$1500,"&lt;="&amp;DATE(2026,12,21),日次入力!$C$4:$C$1500,"Meta介護校")=0,"",SUMIFS(日次入力!$E$4:$E$1500,日次入力!$A$4:$A$1500,"&gt;="&amp;DATE(2026,12,15),日次入力!$A$4:$A$1500,"&lt;="&amp;DATE(2026,12,21),日次入力!$C$4:$C$1500,"Meta介護校"))</f>
        <v/>
      </c>
      <c r="E98" s="42" t="str">
        <f aca="false">IF(COUNTIFS(日次入力!$A$4:$A$1500,"&gt;="&amp;DATE(2026,12,15),日次入力!$A$4:$A$1500,"&lt;="&amp;DATE(2026,12,21),日次入力!$C$4:$C$1500,"Meta介護校")=0,"",SUMIFS(日次入力!$F$4:$F$1500,日次入力!$A$4:$A$1500,"&gt;="&amp;DATE(2026,12,15),日次入力!$A$4:$A$1500,"&lt;="&amp;DATE(2026,12,21),日次入力!$C$4:$C$1500,"Meta介護校"))</f>
        <v/>
      </c>
      <c r="F98" s="42" t="str">
        <f aca="false">IF(COUNTIFS(日次入力!$A$4:$A$1500,"&gt;="&amp;DATE(2026,12,15),日次入力!$A$4:$A$1500,"&lt;="&amp;DATE(2026,12,21),日次入力!$C$4:$C$1500,"Meta介護校")=0,"",SUMIFS(日次入力!$G$4:$G$1500,日次入力!$A$4:$A$1500,"&gt;="&amp;DATE(2026,12,15),日次入力!$A$4:$A$1500,"&lt;="&amp;DATE(2026,12,21),日次入力!$C$4:$C$1500,"Meta介護校"))</f>
        <v/>
      </c>
      <c r="G98" s="15" t="str">
        <f aca="false">IFERROR(E98/D98,"")</f>
        <v/>
      </c>
      <c r="H98" s="37" t="str">
        <f aca="false">IFERROR(C98/E98,"")</f>
        <v/>
      </c>
      <c r="I98" s="37" t="str">
        <f aca="false">IFERROR(C98/D98*1000,"")</f>
        <v/>
      </c>
      <c r="J98" s="15" t="str">
        <f aca="false">IFERROR(F98/E98,"")</f>
        <v/>
      </c>
      <c r="K98" s="37" t="str">
        <f aca="false">IFERROR(C98/F98,"")</f>
        <v/>
      </c>
      <c r="L98" s="42" t="str">
        <f aca="false">IF(COUNTIFS(日次入力!$A$4:$A$1500,"&gt;="&amp;DATE(2026,12,15),日次入力!$A$4:$A$1500,"&lt;="&amp;DATE(2026,12,21),日次入力!$C$4:$C$1500,"Meta介護校")=0,"",SUMIFS(日次入力!$H$4:$H$1500,日次入力!$A$4:$A$1500,"&gt;="&amp;DATE(2026,12,15),日次入力!$A$4:$A$1500,"&lt;="&amp;DATE(2026,12,21),日次入力!$C$4:$C$1500,"Meta介護校"))</f>
        <v/>
      </c>
      <c r="M98" s="15" t="str">
        <f aca="false">IF(L98="","",IFERROR(L98/F98,""))</f>
        <v/>
      </c>
      <c r="N98" s="42" t="str">
        <f aca="false">IF(COUNTIFS(日次入力!$A$4:$A$1500,"&gt;="&amp;DATE(2026,12,15),日次入力!$A$4:$A$1500,"&lt;="&amp;DATE(2026,12,21),日次入力!$C$4:$C$1500,"Meta介護校")=0,"",SUMIFS(日次入力!$I$4:$I$1500,日次入力!$A$4:$A$1500,"&gt;="&amp;DATE(2026,12,15),日次入力!$A$4:$A$1500,"&lt;="&amp;DATE(2026,12,21),日次入力!$C$4:$C$1500,"Meta介護校"))</f>
        <v/>
      </c>
      <c r="O98" s="15" t="str">
        <f aca="false">IF(N98="","",IFERROR(N98/L98,""))</f>
        <v/>
      </c>
      <c r="P98" s="37" t="str">
        <f aca="false">IF(N98=0,"",IFERROR(C98/N98,""))</f>
        <v/>
      </c>
      <c r="Q98" s="38" t="str">
        <f aca="false">IF(N98=0,"",IFERROR(IF(C98/N98&lt;=用語集!$B$22,"◎ 許容内","✗ 超過"),"—"))</f>
        <v>—</v>
      </c>
      <c r="R98" s="39" t="str">
        <f aca="false">IFERROR(用語集!$B$22/P98,"")</f>
        <v/>
      </c>
    </row>
    <row r="99" customFormat="false" ht="15" hidden="false" customHeight="false" outlineLevel="0" collapsed="false">
      <c r="A99" s="34" t="s">
        <v>134</v>
      </c>
      <c r="B99" s="35" t="s">
        <v>135</v>
      </c>
      <c r="C99" s="41" t="str">
        <f aca="false">IF(COUNTIFS(日次入力!$A$4:$A$1500,"&gt;="&amp;DATE(2026,12,22),日次入力!$A$4:$A$1500,"&lt;="&amp;DATE(2026,12,28),日次入力!$C$4:$C$1500,"Meta介護校")=0,"",SUMIFS(日次入力!$D$4:$D$1500,日次入力!$A$4:$A$1500,"&gt;="&amp;DATE(2026,12,22),日次入力!$A$4:$A$1500,"&lt;="&amp;DATE(2026,12,28),日次入力!$C$4:$C$1500,"Meta介護校"))</f>
        <v/>
      </c>
      <c r="D99" s="42" t="str">
        <f aca="false">IF(COUNTIFS(日次入力!$A$4:$A$1500,"&gt;="&amp;DATE(2026,12,22),日次入力!$A$4:$A$1500,"&lt;="&amp;DATE(2026,12,28),日次入力!$C$4:$C$1500,"Meta介護校")=0,"",SUMIFS(日次入力!$E$4:$E$1500,日次入力!$A$4:$A$1500,"&gt;="&amp;DATE(2026,12,22),日次入力!$A$4:$A$1500,"&lt;="&amp;DATE(2026,12,28),日次入力!$C$4:$C$1500,"Meta介護校"))</f>
        <v/>
      </c>
      <c r="E99" s="42" t="str">
        <f aca="false">IF(COUNTIFS(日次入力!$A$4:$A$1500,"&gt;="&amp;DATE(2026,12,22),日次入力!$A$4:$A$1500,"&lt;="&amp;DATE(2026,12,28),日次入力!$C$4:$C$1500,"Meta介護校")=0,"",SUMIFS(日次入力!$F$4:$F$1500,日次入力!$A$4:$A$1500,"&gt;="&amp;DATE(2026,12,22),日次入力!$A$4:$A$1500,"&lt;="&amp;DATE(2026,12,28),日次入力!$C$4:$C$1500,"Meta介護校"))</f>
        <v/>
      </c>
      <c r="F99" s="42" t="str">
        <f aca="false">IF(COUNTIFS(日次入力!$A$4:$A$1500,"&gt;="&amp;DATE(2026,12,22),日次入力!$A$4:$A$1500,"&lt;="&amp;DATE(2026,12,28),日次入力!$C$4:$C$1500,"Meta介護校")=0,"",SUMIFS(日次入力!$G$4:$G$1500,日次入力!$A$4:$A$1500,"&gt;="&amp;DATE(2026,12,22),日次入力!$A$4:$A$1500,"&lt;="&amp;DATE(2026,12,28),日次入力!$C$4:$C$1500,"Meta介護校"))</f>
        <v/>
      </c>
      <c r="G99" s="15" t="str">
        <f aca="false">IFERROR(E99/D99,"")</f>
        <v/>
      </c>
      <c r="H99" s="37" t="str">
        <f aca="false">IFERROR(C99/E99,"")</f>
        <v/>
      </c>
      <c r="I99" s="37" t="str">
        <f aca="false">IFERROR(C99/D99*1000,"")</f>
        <v/>
      </c>
      <c r="J99" s="15" t="str">
        <f aca="false">IFERROR(F99/E99,"")</f>
        <v/>
      </c>
      <c r="K99" s="37" t="str">
        <f aca="false">IFERROR(C99/F99,"")</f>
        <v/>
      </c>
      <c r="L99" s="42" t="str">
        <f aca="false">IF(COUNTIFS(日次入力!$A$4:$A$1500,"&gt;="&amp;DATE(2026,12,22),日次入力!$A$4:$A$1500,"&lt;="&amp;DATE(2026,12,28),日次入力!$C$4:$C$1500,"Meta介護校")=0,"",SUMIFS(日次入力!$H$4:$H$1500,日次入力!$A$4:$A$1500,"&gt;="&amp;DATE(2026,12,22),日次入力!$A$4:$A$1500,"&lt;="&amp;DATE(2026,12,28),日次入力!$C$4:$C$1500,"Meta介護校"))</f>
        <v/>
      </c>
      <c r="M99" s="15" t="str">
        <f aca="false">IF(L99="","",IFERROR(L99/F99,""))</f>
        <v/>
      </c>
      <c r="N99" s="42" t="str">
        <f aca="false">IF(COUNTIFS(日次入力!$A$4:$A$1500,"&gt;="&amp;DATE(2026,12,22),日次入力!$A$4:$A$1500,"&lt;="&amp;DATE(2026,12,28),日次入力!$C$4:$C$1500,"Meta介護校")=0,"",SUMIFS(日次入力!$I$4:$I$1500,日次入力!$A$4:$A$1500,"&gt;="&amp;DATE(2026,12,22),日次入力!$A$4:$A$1500,"&lt;="&amp;DATE(2026,12,28),日次入力!$C$4:$C$1500,"Meta介護校"))</f>
        <v/>
      </c>
      <c r="O99" s="15" t="str">
        <f aca="false">IF(N99="","",IFERROR(N99/L99,""))</f>
        <v/>
      </c>
      <c r="P99" s="37" t="str">
        <f aca="false">IF(N99=0,"",IFERROR(C99/N99,""))</f>
        <v/>
      </c>
      <c r="Q99" s="38" t="str">
        <f aca="false">IF(N99=0,"",IFERROR(IF(C99/N99&lt;=用語集!$B$22,"◎ 許容内","✗ 超過"),"—"))</f>
        <v>—</v>
      </c>
      <c r="R99" s="39" t="str">
        <f aca="false">IFERROR(用語集!$B$22/P99,"")</f>
        <v/>
      </c>
    </row>
    <row r="100" customFormat="false" ht="15" hidden="false" customHeight="false" outlineLevel="0" collapsed="false">
      <c r="A100" s="34" t="s">
        <v>136</v>
      </c>
      <c r="B100" s="35" t="s">
        <v>137</v>
      </c>
      <c r="C100" s="41" t="str">
        <f aca="false">IF(COUNTIFS(日次入力!$A$4:$A$1500,"&gt;="&amp;DATE(2026,12,29),日次入力!$A$4:$A$1500,"&lt;="&amp;DATE(2027,1,4),日次入力!$C$4:$C$1500,"Meta介護校")=0,"",SUMIFS(日次入力!$D$4:$D$1500,日次入力!$A$4:$A$1500,"&gt;="&amp;DATE(2026,12,29),日次入力!$A$4:$A$1500,"&lt;="&amp;DATE(2027,1,4),日次入力!$C$4:$C$1500,"Meta介護校"))</f>
        <v/>
      </c>
      <c r="D100" s="42" t="str">
        <f aca="false">IF(COUNTIFS(日次入力!$A$4:$A$1500,"&gt;="&amp;DATE(2026,12,29),日次入力!$A$4:$A$1500,"&lt;="&amp;DATE(2027,1,4),日次入力!$C$4:$C$1500,"Meta介護校")=0,"",SUMIFS(日次入力!$E$4:$E$1500,日次入力!$A$4:$A$1500,"&gt;="&amp;DATE(2026,12,29),日次入力!$A$4:$A$1500,"&lt;="&amp;DATE(2027,1,4),日次入力!$C$4:$C$1500,"Meta介護校"))</f>
        <v/>
      </c>
      <c r="E100" s="42" t="str">
        <f aca="false">IF(COUNTIFS(日次入力!$A$4:$A$1500,"&gt;="&amp;DATE(2026,12,29),日次入力!$A$4:$A$1500,"&lt;="&amp;DATE(2027,1,4),日次入力!$C$4:$C$1500,"Meta介護校")=0,"",SUMIFS(日次入力!$F$4:$F$1500,日次入力!$A$4:$A$1500,"&gt;="&amp;DATE(2026,12,29),日次入力!$A$4:$A$1500,"&lt;="&amp;DATE(2027,1,4),日次入力!$C$4:$C$1500,"Meta介護校"))</f>
        <v/>
      </c>
      <c r="F100" s="42" t="str">
        <f aca="false">IF(COUNTIFS(日次入力!$A$4:$A$1500,"&gt;="&amp;DATE(2026,12,29),日次入力!$A$4:$A$1500,"&lt;="&amp;DATE(2027,1,4),日次入力!$C$4:$C$1500,"Meta介護校")=0,"",SUMIFS(日次入力!$G$4:$G$1500,日次入力!$A$4:$A$1500,"&gt;="&amp;DATE(2026,12,29),日次入力!$A$4:$A$1500,"&lt;="&amp;DATE(2027,1,4),日次入力!$C$4:$C$1500,"Meta介護校"))</f>
        <v/>
      </c>
      <c r="G100" s="15" t="str">
        <f aca="false">IFERROR(E100/D100,"")</f>
        <v/>
      </c>
      <c r="H100" s="37" t="str">
        <f aca="false">IFERROR(C100/E100,"")</f>
        <v/>
      </c>
      <c r="I100" s="37" t="str">
        <f aca="false">IFERROR(C100/D100*1000,"")</f>
        <v/>
      </c>
      <c r="J100" s="15" t="str">
        <f aca="false">IFERROR(F100/E100,"")</f>
        <v/>
      </c>
      <c r="K100" s="37" t="str">
        <f aca="false">IFERROR(C100/F100,"")</f>
        <v/>
      </c>
      <c r="L100" s="42" t="str">
        <f aca="false">IF(COUNTIFS(日次入力!$A$4:$A$1500,"&gt;="&amp;DATE(2026,12,29),日次入力!$A$4:$A$1500,"&lt;="&amp;DATE(2027,1,4),日次入力!$C$4:$C$1500,"Meta介護校")=0,"",SUMIFS(日次入力!$H$4:$H$1500,日次入力!$A$4:$A$1500,"&gt;="&amp;DATE(2026,12,29),日次入力!$A$4:$A$1500,"&lt;="&amp;DATE(2027,1,4),日次入力!$C$4:$C$1500,"Meta介護校"))</f>
        <v/>
      </c>
      <c r="M100" s="15" t="str">
        <f aca="false">IF(L100="","",IFERROR(L100/F100,""))</f>
        <v/>
      </c>
      <c r="N100" s="42" t="str">
        <f aca="false">IF(COUNTIFS(日次入力!$A$4:$A$1500,"&gt;="&amp;DATE(2026,12,29),日次入力!$A$4:$A$1500,"&lt;="&amp;DATE(2027,1,4),日次入力!$C$4:$C$1500,"Meta介護校")=0,"",SUMIFS(日次入力!$I$4:$I$1500,日次入力!$A$4:$A$1500,"&gt;="&amp;DATE(2026,12,29),日次入力!$A$4:$A$1500,"&lt;="&amp;DATE(2027,1,4),日次入力!$C$4:$C$1500,"Meta介護校"))</f>
        <v/>
      </c>
      <c r="O100" s="15" t="str">
        <f aca="false">IF(N100="","",IFERROR(N100/L100,""))</f>
        <v/>
      </c>
      <c r="P100" s="37" t="str">
        <f aca="false">IF(N100=0,"",IFERROR(C100/N100,""))</f>
        <v/>
      </c>
      <c r="Q100" s="38" t="str">
        <f aca="false">IF(N100=0,"",IFERROR(IF(C100/N100&lt;=用語集!$B$22,"◎ 許容内","✗ 超過"),"—"))</f>
        <v>—</v>
      </c>
      <c r="R100" s="39" t="str">
        <f aca="false">IFERROR(用語集!$B$22/P100,"")</f>
        <v/>
      </c>
    </row>
    <row r="101" customFormat="false" ht="15" hidden="false" customHeight="false" outlineLevel="0" collapsed="false">
      <c r="A101" s="34" t="s">
        <v>138</v>
      </c>
      <c r="B101" s="35" t="s">
        <v>139</v>
      </c>
      <c r="C101" s="41" t="str">
        <f aca="false">IF(COUNTIFS(日次入力!$A$4:$A$1500,"&gt;="&amp;DATE(2027,1,5),日次入力!$A$4:$A$1500,"&lt;="&amp;DATE(2027,1,11),日次入力!$C$4:$C$1500,"Meta介護校")=0,"",SUMIFS(日次入力!$D$4:$D$1500,日次入力!$A$4:$A$1500,"&gt;="&amp;DATE(2027,1,5),日次入力!$A$4:$A$1500,"&lt;="&amp;DATE(2027,1,11),日次入力!$C$4:$C$1500,"Meta介護校"))</f>
        <v/>
      </c>
      <c r="D101" s="42" t="str">
        <f aca="false">IF(COUNTIFS(日次入力!$A$4:$A$1500,"&gt;="&amp;DATE(2027,1,5),日次入力!$A$4:$A$1500,"&lt;="&amp;DATE(2027,1,11),日次入力!$C$4:$C$1500,"Meta介護校")=0,"",SUMIFS(日次入力!$E$4:$E$1500,日次入力!$A$4:$A$1500,"&gt;="&amp;DATE(2027,1,5),日次入力!$A$4:$A$1500,"&lt;="&amp;DATE(2027,1,11),日次入力!$C$4:$C$1500,"Meta介護校"))</f>
        <v/>
      </c>
      <c r="E101" s="42" t="str">
        <f aca="false">IF(COUNTIFS(日次入力!$A$4:$A$1500,"&gt;="&amp;DATE(2027,1,5),日次入力!$A$4:$A$1500,"&lt;="&amp;DATE(2027,1,11),日次入力!$C$4:$C$1500,"Meta介護校")=0,"",SUMIFS(日次入力!$F$4:$F$1500,日次入力!$A$4:$A$1500,"&gt;="&amp;DATE(2027,1,5),日次入力!$A$4:$A$1500,"&lt;="&amp;DATE(2027,1,11),日次入力!$C$4:$C$1500,"Meta介護校"))</f>
        <v/>
      </c>
      <c r="F101" s="42" t="str">
        <f aca="false">IF(COUNTIFS(日次入力!$A$4:$A$1500,"&gt;="&amp;DATE(2027,1,5),日次入力!$A$4:$A$1500,"&lt;="&amp;DATE(2027,1,11),日次入力!$C$4:$C$1500,"Meta介護校")=0,"",SUMIFS(日次入力!$G$4:$G$1500,日次入力!$A$4:$A$1500,"&gt;="&amp;DATE(2027,1,5),日次入力!$A$4:$A$1500,"&lt;="&amp;DATE(2027,1,11),日次入力!$C$4:$C$1500,"Meta介護校"))</f>
        <v/>
      </c>
      <c r="G101" s="15" t="str">
        <f aca="false">IFERROR(E101/D101,"")</f>
        <v/>
      </c>
      <c r="H101" s="37" t="str">
        <f aca="false">IFERROR(C101/E101,"")</f>
        <v/>
      </c>
      <c r="I101" s="37" t="str">
        <f aca="false">IFERROR(C101/D101*1000,"")</f>
        <v/>
      </c>
      <c r="J101" s="15" t="str">
        <f aca="false">IFERROR(F101/E101,"")</f>
        <v/>
      </c>
      <c r="K101" s="37" t="str">
        <f aca="false">IFERROR(C101/F101,"")</f>
        <v/>
      </c>
      <c r="L101" s="42" t="str">
        <f aca="false">IF(COUNTIFS(日次入力!$A$4:$A$1500,"&gt;="&amp;DATE(2027,1,5),日次入力!$A$4:$A$1500,"&lt;="&amp;DATE(2027,1,11),日次入力!$C$4:$C$1500,"Meta介護校")=0,"",SUMIFS(日次入力!$H$4:$H$1500,日次入力!$A$4:$A$1500,"&gt;="&amp;DATE(2027,1,5),日次入力!$A$4:$A$1500,"&lt;="&amp;DATE(2027,1,11),日次入力!$C$4:$C$1500,"Meta介護校"))</f>
        <v/>
      </c>
      <c r="M101" s="15" t="str">
        <f aca="false">IF(L101="","",IFERROR(L101/F101,""))</f>
        <v/>
      </c>
      <c r="N101" s="42" t="str">
        <f aca="false">IF(COUNTIFS(日次入力!$A$4:$A$1500,"&gt;="&amp;DATE(2027,1,5),日次入力!$A$4:$A$1500,"&lt;="&amp;DATE(2027,1,11),日次入力!$C$4:$C$1500,"Meta介護校")=0,"",SUMIFS(日次入力!$I$4:$I$1500,日次入力!$A$4:$A$1500,"&gt;="&amp;DATE(2027,1,5),日次入力!$A$4:$A$1500,"&lt;="&amp;DATE(2027,1,11),日次入力!$C$4:$C$1500,"Meta介護校"))</f>
        <v/>
      </c>
      <c r="O101" s="15" t="str">
        <f aca="false">IF(N101="","",IFERROR(N101/L101,""))</f>
        <v/>
      </c>
      <c r="P101" s="37" t="str">
        <f aca="false">IF(N101=0,"",IFERROR(C101/N101,""))</f>
        <v/>
      </c>
      <c r="Q101" s="38" t="str">
        <f aca="false">IF(N101=0,"",IFERROR(IF(C101/N101&lt;=用語集!$B$22,"◎ 許容内","✗ 超過"),"—"))</f>
        <v>—</v>
      </c>
      <c r="R101" s="39" t="str">
        <f aca="false">IFERROR(用語集!$B$22/P101,"")</f>
        <v/>
      </c>
    </row>
    <row r="102" customFormat="false" ht="15" hidden="false" customHeight="false" outlineLevel="0" collapsed="false">
      <c r="A102" s="34" t="s">
        <v>140</v>
      </c>
      <c r="B102" s="35" t="s">
        <v>141</v>
      </c>
      <c r="C102" s="41" t="str">
        <f aca="false">IF(COUNTIFS(日次入力!$A$4:$A$1500,"&gt;="&amp;DATE(2027,1,12),日次入力!$A$4:$A$1500,"&lt;="&amp;DATE(2027,1,18),日次入力!$C$4:$C$1500,"Meta介護校")=0,"",SUMIFS(日次入力!$D$4:$D$1500,日次入力!$A$4:$A$1500,"&gt;="&amp;DATE(2027,1,12),日次入力!$A$4:$A$1500,"&lt;="&amp;DATE(2027,1,18),日次入力!$C$4:$C$1500,"Meta介護校"))</f>
        <v/>
      </c>
      <c r="D102" s="42" t="str">
        <f aca="false">IF(COUNTIFS(日次入力!$A$4:$A$1500,"&gt;="&amp;DATE(2027,1,12),日次入力!$A$4:$A$1500,"&lt;="&amp;DATE(2027,1,18),日次入力!$C$4:$C$1500,"Meta介護校")=0,"",SUMIFS(日次入力!$E$4:$E$1500,日次入力!$A$4:$A$1500,"&gt;="&amp;DATE(2027,1,12),日次入力!$A$4:$A$1500,"&lt;="&amp;DATE(2027,1,18),日次入力!$C$4:$C$1500,"Meta介護校"))</f>
        <v/>
      </c>
      <c r="E102" s="42" t="str">
        <f aca="false">IF(COUNTIFS(日次入力!$A$4:$A$1500,"&gt;="&amp;DATE(2027,1,12),日次入力!$A$4:$A$1500,"&lt;="&amp;DATE(2027,1,18),日次入力!$C$4:$C$1500,"Meta介護校")=0,"",SUMIFS(日次入力!$F$4:$F$1500,日次入力!$A$4:$A$1500,"&gt;="&amp;DATE(2027,1,12),日次入力!$A$4:$A$1500,"&lt;="&amp;DATE(2027,1,18),日次入力!$C$4:$C$1500,"Meta介護校"))</f>
        <v/>
      </c>
      <c r="F102" s="42" t="str">
        <f aca="false">IF(COUNTIFS(日次入力!$A$4:$A$1500,"&gt;="&amp;DATE(2027,1,12),日次入力!$A$4:$A$1500,"&lt;="&amp;DATE(2027,1,18),日次入力!$C$4:$C$1500,"Meta介護校")=0,"",SUMIFS(日次入力!$G$4:$G$1500,日次入力!$A$4:$A$1500,"&gt;="&amp;DATE(2027,1,12),日次入力!$A$4:$A$1500,"&lt;="&amp;DATE(2027,1,18),日次入力!$C$4:$C$1500,"Meta介護校"))</f>
        <v/>
      </c>
      <c r="G102" s="15" t="str">
        <f aca="false">IFERROR(E102/D102,"")</f>
        <v/>
      </c>
      <c r="H102" s="37" t="str">
        <f aca="false">IFERROR(C102/E102,"")</f>
        <v/>
      </c>
      <c r="I102" s="37" t="str">
        <f aca="false">IFERROR(C102/D102*1000,"")</f>
        <v/>
      </c>
      <c r="J102" s="15" t="str">
        <f aca="false">IFERROR(F102/E102,"")</f>
        <v/>
      </c>
      <c r="K102" s="37" t="str">
        <f aca="false">IFERROR(C102/F102,"")</f>
        <v/>
      </c>
      <c r="L102" s="42" t="str">
        <f aca="false">IF(COUNTIFS(日次入力!$A$4:$A$1500,"&gt;="&amp;DATE(2027,1,12),日次入力!$A$4:$A$1500,"&lt;="&amp;DATE(2027,1,18),日次入力!$C$4:$C$1500,"Meta介護校")=0,"",SUMIFS(日次入力!$H$4:$H$1500,日次入力!$A$4:$A$1500,"&gt;="&amp;DATE(2027,1,12),日次入力!$A$4:$A$1500,"&lt;="&amp;DATE(2027,1,18),日次入力!$C$4:$C$1500,"Meta介護校"))</f>
        <v/>
      </c>
      <c r="M102" s="15" t="str">
        <f aca="false">IF(L102="","",IFERROR(L102/F102,""))</f>
        <v/>
      </c>
      <c r="N102" s="42" t="str">
        <f aca="false">IF(COUNTIFS(日次入力!$A$4:$A$1500,"&gt;="&amp;DATE(2027,1,12),日次入力!$A$4:$A$1500,"&lt;="&amp;DATE(2027,1,18),日次入力!$C$4:$C$1500,"Meta介護校")=0,"",SUMIFS(日次入力!$I$4:$I$1500,日次入力!$A$4:$A$1500,"&gt;="&amp;DATE(2027,1,12),日次入力!$A$4:$A$1500,"&lt;="&amp;DATE(2027,1,18),日次入力!$C$4:$C$1500,"Meta介護校"))</f>
        <v/>
      </c>
      <c r="O102" s="15" t="str">
        <f aca="false">IF(N102="","",IFERROR(N102/L102,""))</f>
        <v/>
      </c>
      <c r="P102" s="37" t="str">
        <f aca="false">IF(N102=0,"",IFERROR(C102/N102,""))</f>
        <v/>
      </c>
      <c r="Q102" s="38" t="str">
        <f aca="false">IF(N102=0,"",IFERROR(IF(C102/N102&lt;=用語集!$B$22,"◎ 許容内","✗ 超過"),"—"))</f>
        <v>—</v>
      </c>
      <c r="R102" s="39" t="str">
        <f aca="false">IFERROR(用語集!$B$22/P102,"")</f>
        <v/>
      </c>
    </row>
    <row r="103" customFormat="false" ht="15" hidden="false" customHeight="false" outlineLevel="0" collapsed="false">
      <c r="A103" s="34" t="s">
        <v>142</v>
      </c>
      <c r="B103" s="35" t="s">
        <v>143</v>
      </c>
      <c r="C103" s="41" t="str">
        <f aca="false">IF(COUNTIFS(日次入力!$A$4:$A$1500,"&gt;="&amp;DATE(2027,1,19),日次入力!$A$4:$A$1500,"&lt;="&amp;DATE(2027,1,25),日次入力!$C$4:$C$1500,"Meta介護校")=0,"",SUMIFS(日次入力!$D$4:$D$1500,日次入力!$A$4:$A$1500,"&gt;="&amp;DATE(2027,1,19),日次入力!$A$4:$A$1500,"&lt;="&amp;DATE(2027,1,25),日次入力!$C$4:$C$1500,"Meta介護校"))</f>
        <v/>
      </c>
      <c r="D103" s="42" t="str">
        <f aca="false">IF(COUNTIFS(日次入力!$A$4:$A$1500,"&gt;="&amp;DATE(2027,1,19),日次入力!$A$4:$A$1500,"&lt;="&amp;DATE(2027,1,25),日次入力!$C$4:$C$1500,"Meta介護校")=0,"",SUMIFS(日次入力!$E$4:$E$1500,日次入力!$A$4:$A$1500,"&gt;="&amp;DATE(2027,1,19),日次入力!$A$4:$A$1500,"&lt;="&amp;DATE(2027,1,25),日次入力!$C$4:$C$1500,"Meta介護校"))</f>
        <v/>
      </c>
      <c r="E103" s="42" t="str">
        <f aca="false">IF(COUNTIFS(日次入力!$A$4:$A$1500,"&gt;="&amp;DATE(2027,1,19),日次入力!$A$4:$A$1500,"&lt;="&amp;DATE(2027,1,25),日次入力!$C$4:$C$1500,"Meta介護校")=0,"",SUMIFS(日次入力!$F$4:$F$1500,日次入力!$A$4:$A$1500,"&gt;="&amp;DATE(2027,1,19),日次入力!$A$4:$A$1500,"&lt;="&amp;DATE(2027,1,25),日次入力!$C$4:$C$1500,"Meta介護校"))</f>
        <v/>
      </c>
      <c r="F103" s="42" t="str">
        <f aca="false">IF(COUNTIFS(日次入力!$A$4:$A$1500,"&gt;="&amp;DATE(2027,1,19),日次入力!$A$4:$A$1500,"&lt;="&amp;DATE(2027,1,25),日次入力!$C$4:$C$1500,"Meta介護校")=0,"",SUMIFS(日次入力!$G$4:$G$1500,日次入力!$A$4:$A$1500,"&gt;="&amp;DATE(2027,1,19),日次入力!$A$4:$A$1500,"&lt;="&amp;DATE(2027,1,25),日次入力!$C$4:$C$1500,"Meta介護校"))</f>
        <v/>
      </c>
      <c r="G103" s="15" t="str">
        <f aca="false">IFERROR(E103/D103,"")</f>
        <v/>
      </c>
      <c r="H103" s="37" t="str">
        <f aca="false">IFERROR(C103/E103,"")</f>
        <v/>
      </c>
      <c r="I103" s="37" t="str">
        <f aca="false">IFERROR(C103/D103*1000,"")</f>
        <v/>
      </c>
      <c r="J103" s="15" t="str">
        <f aca="false">IFERROR(F103/E103,"")</f>
        <v/>
      </c>
      <c r="K103" s="37" t="str">
        <f aca="false">IFERROR(C103/F103,"")</f>
        <v/>
      </c>
      <c r="L103" s="42" t="str">
        <f aca="false">IF(COUNTIFS(日次入力!$A$4:$A$1500,"&gt;="&amp;DATE(2027,1,19),日次入力!$A$4:$A$1500,"&lt;="&amp;DATE(2027,1,25),日次入力!$C$4:$C$1500,"Meta介護校")=0,"",SUMIFS(日次入力!$H$4:$H$1500,日次入力!$A$4:$A$1500,"&gt;="&amp;DATE(2027,1,19),日次入力!$A$4:$A$1500,"&lt;="&amp;DATE(2027,1,25),日次入力!$C$4:$C$1500,"Meta介護校"))</f>
        <v/>
      </c>
      <c r="M103" s="15" t="str">
        <f aca="false">IF(L103="","",IFERROR(L103/F103,""))</f>
        <v/>
      </c>
      <c r="N103" s="42" t="str">
        <f aca="false">IF(COUNTIFS(日次入力!$A$4:$A$1500,"&gt;="&amp;DATE(2027,1,19),日次入力!$A$4:$A$1500,"&lt;="&amp;DATE(2027,1,25),日次入力!$C$4:$C$1500,"Meta介護校")=0,"",SUMIFS(日次入力!$I$4:$I$1500,日次入力!$A$4:$A$1500,"&gt;="&amp;DATE(2027,1,19),日次入力!$A$4:$A$1500,"&lt;="&amp;DATE(2027,1,25),日次入力!$C$4:$C$1500,"Meta介護校"))</f>
        <v/>
      </c>
      <c r="O103" s="15" t="str">
        <f aca="false">IF(N103="","",IFERROR(N103/L103,""))</f>
        <v/>
      </c>
      <c r="P103" s="37" t="str">
        <f aca="false">IF(N103=0,"",IFERROR(C103/N103,""))</f>
        <v/>
      </c>
      <c r="Q103" s="38" t="str">
        <f aca="false">IF(N103=0,"",IFERROR(IF(C103/N103&lt;=用語集!$B$22,"◎ 許容内","✗ 超過"),"—"))</f>
        <v>—</v>
      </c>
      <c r="R103" s="39" t="str">
        <f aca="false">IFERROR(用語集!$B$22/P103,"")</f>
        <v/>
      </c>
    </row>
    <row r="104" customFormat="false" ht="15" hidden="false" customHeight="false" outlineLevel="0" collapsed="false">
      <c r="A104" s="34" t="s">
        <v>144</v>
      </c>
      <c r="B104" s="35" t="s">
        <v>145</v>
      </c>
      <c r="C104" s="41" t="str">
        <f aca="false">IF(COUNTIFS(日次入力!$A$4:$A$1500,"&gt;="&amp;DATE(2027,1,26),日次入力!$A$4:$A$1500,"&lt;="&amp;DATE(2027,2,1),日次入力!$C$4:$C$1500,"Meta介護校")=0,"",SUMIFS(日次入力!$D$4:$D$1500,日次入力!$A$4:$A$1500,"&gt;="&amp;DATE(2027,1,26),日次入力!$A$4:$A$1500,"&lt;="&amp;DATE(2027,2,1),日次入力!$C$4:$C$1500,"Meta介護校"))</f>
        <v/>
      </c>
      <c r="D104" s="42" t="str">
        <f aca="false">IF(COUNTIFS(日次入力!$A$4:$A$1500,"&gt;="&amp;DATE(2027,1,26),日次入力!$A$4:$A$1500,"&lt;="&amp;DATE(2027,2,1),日次入力!$C$4:$C$1500,"Meta介護校")=0,"",SUMIFS(日次入力!$E$4:$E$1500,日次入力!$A$4:$A$1500,"&gt;="&amp;DATE(2027,1,26),日次入力!$A$4:$A$1500,"&lt;="&amp;DATE(2027,2,1),日次入力!$C$4:$C$1500,"Meta介護校"))</f>
        <v/>
      </c>
      <c r="E104" s="42" t="str">
        <f aca="false">IF(COUNTIFS(日次入力!$A$4:$A$1500,"&gt;="&amp;DATE(2027,1,26),日次入力!$A$4:$A$1500,"&lt;="&amp;DATE(2027,2,1),日次入力!$C$4:$C$1500,"Meta介護校")=0,"",SUMIFS(日次入力!$F$4:$F$1500,日次入力!$A$4:$A$1500,"&gt;="&amp;DATE(2027,1,26),日次入力!$A$4:$A$1500,"&lt;="&amp;DATE(2027,2,1),日次入力!$C$4:$C$1500,"Meta介護校"))</f>
        <v/>
      </c>
      <c r="F104" s="42" t="str">
        <f aca="false">IF(COUNTIFS(日次入力!$A$4:$A$1500,"&gt;="&amp;DATE(2027,1,26),日次入力!$A$4:$A$1500,"&lt;="&amp;DATE(2027,2,1),日次入力!$C$4:$C$1500,"Meta介護校")=0,"",SUMIFS(日次入力!$G$4:$G$1500,日次入力!$A$4:$A$1500,"&gt;="&amp;DATE(2027,1,26),日次入力!$A$4:$A$1500,"&lt;="&amp;DATE(2027,2,1),日次入力!$C$4:$C$1500,"Meta介護校"))</f>
        <v/>
      </c>
      <c r="G104" s="15" t="str">
        <f aca="false">IFERROR(E104/D104,"")</f>
        <v/>
      </c>
      <c r="H104" s="37" t="str">
        <f aca="false">IFERROR(C104/E104,"")</f>
        <v/>
      </c>
      <c r="I104" s="37" t="str">
        <f aca="false">IFERROR(C104/D104*1000,"")</f>
        <v/>
      </c>
      <c r="J104" s="15" t="str">
        <f aca="false">IFERROR(F104/E104,"")</f>
        <v/>
      </c>
      <c r="K104" s="37" t="str">
        <f aca="false">IFERROR(C104/F104,"")</f>
        <v/>
      </c>
      <c r="L104" s="42" t="str">
        <f aca="false">IF(COUNTIFS(日次入力!$A$4:$A$1500,"&gt;="&amp;DATE(2027,1,26),日次入力!$A$4:$A$1500,"&lt;="&amp;DATE(2027,2,1),日次入力!$C$4:$C$1500,"Meta介護校")=0,"",SUMIFS(日次入力!$H$4:$H$1500,日次入力!$A$4:$A$1500,"&gt;="&amp;DATE(2027,1,26),日次入力!$A$4:$A$1500,"&lt;="&amp;DATE(2027,2,1),日次入力!$C$4:$C$1500,"Meta介護校"))</f>
        <v/>
      </c>
      <c r="M104" s="15" t="str">
        <f aca="false">IF(L104="","",IFERROR(L104/F104,""))</f>
        <v/>
      </c>
      <c r="N104" s="42" t="str">
        <f aca="false">IF(COUNTIFS(日次入力!$A$4:$A$1500,"&gt;="&amp;DATE(2027,1,26),日次入力!$A$4:$A$1500,"&lt;="&amp;DATE(2027,2,1),日次入力!$C$4:$C$1500,"Meta介護校")=0,"",SUMIFS(日次入力!$I$4:$I$1500,日次入力!$A$4:$A$1500,"&gt;="&amp;DATE(2027,1,26),日次入力!$A$4:$A$1500,"&lt;="&amp;DATE(2027,2,1),日次入力!$C$4:$C$1500,"Meta介護校"))</f>
        <v/>
      </c>
      <c r="O104" s="15" t="str">
        <f aca="false">IF(N104="","",IFERROR(N104/L104,""))</f>
        <v/>
      </c>
      <c r="P104" s="37" t="str">
        <f aca="false">IF(N104=0,"",IFERROR(C104/N104,""))</f>
        <v/>
      </c>
      <c r="Q104" s="38" t="str">
        <f aca="false">IF(N104=0,"",IFERROR(IF(C104/N104&lt;=用語集!$B$22,"◎ 許容内","✗ 超過"),"—"))</f>
        <v>—</v>
      </c>
      <c r="R104" s="39" t="str">
        <f aca="false">IFERROR(用語集!$B$22/P104,"")</f>
        <v/>
      </c>
    </row>
    <row r="105" customFormat="false" ht="15" hidden="false" customHeight="false" outlineLevel="0" collapsed="false">
      <c r="A105" s="34" t="s">
        <v>146</v>
      </c>
      <c r="B105" s="35" t="s">
        <v>147</v>
      </c>
      <c r="C105" s="41" t="str">
        <f aca="false">IF(COUNTIFS(日次入力!$A$4:$A$1500,"&gt;="&amp;DATE(2027,2,2),日次入力!$A$4:$A$1500,"&lt;="&amp;DATE(2027,2,8),日次入力!$C$4:$C$1500,"Meta介護校")=0,"",SUMIFS(日次入力!$D$4:$D$1500,日次入力!$A$4:$A$1500,"&gt;="&amp;DATE(2027,2,2),日次入力!$A$4:$A$1500,"&lt;="&amp;DATE(2027,2,8),日次入力!$C$4:$C$1500,"Meta介護校"))</f>
        <v/>
      </c>
      <c r="D105" s="42" t="str">
        <f aca="false">IF(COUNTIFS(日次入力!$A$4:$A$1500,"&gt;="&amp;DATE(2027,2,2),日次入力!$A$4:$A$1500,"&lt;="&amp;DATE(2027,2,8),日次入力!$C$4:$C$1500,"Meta介護校")=0,"",SUMIFS(日次入力!$E$4:$E$1500,日次入力!$A$4:$A$1500,"&gt;="&amp;DATE(2027,2,2),日次入力!$A$4:$A$1500,"&lt;="&amp;DATE(2027,2,8),日次入力!$C$4:$C$1500,"Meta介護校"))</f>
        <v/>
      </c>
      <c r="E105" s="42" t="str">
        <f aca="false">IF(COUNTIFS(日次入力!$A$4:$A$1500,"&gt;="&amp;DATE(2027,2,2),日次入力!$A$4:$A$1500,"&lt;="&amp;DATE(2027,2,8),日次入力!$C$4:$C$1500,"Meta介護校")=0,"",SUMIFS(日次入力!$F$4:$F$1500,日次入力!$A$4:$A$1500,"&gt;="&amp;DATE(2027,2,2),日次入力!$A$4:$A$1500,"&lt;="&amp;DATE(2027,2,8),日次入力!$C$4:$C$1500,"Meta介護校"))</f>
        <v/>
      </c>
      <c r="F105" s="42" t="str">
        <f aca="false">IF(COUNTIFS(日次入力!$A$4:$A$1500,"&gt;="&amp;DATE(2027,2,2),日次入力!$A$4:$A$1500,"&lt;="&amp;DATE(2027,2,8),日次入力!$C$4:$C$1500,"Meta介護校")=0,"",SUMIFS(日次入力!$G$4:$G$1500,日次入力!$A$4:$A$1500,"&gt;="&amp;DATE(2027,2,2),日次入力!$A$4:$A$1500,"&lt;="&amp;DATE(2027,2,8),日次入力!$C$4:$C$1500,"Meta介護校"))</f>
        <v/>
      </c>
      <c r="G105" s="15" t="str">
        <f aca="false">IFERROR(E105/D105,"")</f>
        <v/>
      </c>
      <c r="H105" s="37" t="str">
        <f aca="false">IFERROR(C105/E105,"")</f>
        <v/>
      </c>
      <c r="I105" s="37" t="str">
        <f aca="false">IFERROR(C105/D105*1000,"")</f>
        <v/>
      </c>
      <c r="J105" s="15" t="str">
        <f aca="false">IFERROR(F105/E105,"")</f>
        <v/>
      </c>
      <c r="K105" s="37" t="str">
        <f aca="false">IFERROR(C105/F105,"")</f>
        <v/>
      </c>
      <c r="L105" s="42" t="str">
        <f aca="false">IF(COUNTIFS(日次入力!$A$4:$A$1500,"&gt;="&amp;DATE(2027,2,2),日次入力!$A$4:$A$1500,"&lt;="&amp;DATE(2027,2,8),日次入力!$C$4:$C$1500,"Meta介護校")=0,"",SUMIFS(日次入力!$H$4:$H$1500,日次入力!$A$4:$A$1500,"&gt;="&amp;DATE(2027,2,2),日次入力!$A$4:$A$1500,"&lt;="&amp;DATE(2027,2,8),日次入力!$C$4:$C$1500,"Meta介護校"))</f>
        <v/>
      </c>
      <c r="M105" s="15" t="str">
        <f aca="false">IF(L105="","",IFERROR(L105/F105,""))</f>
        <v/>
      </c>
      <c r="N105" s="42" t="str">
        <f aca="false">IF(COUNTIFS(日次入力!$A$4:$A$1500,"&gt;="&amp;DATE(2027,2,2),日次入力!$A$4:$A$1500,"&lt;="&amp;DATE(2027,2,8),日次入力!$C$4:$C$1500,"Meta介護校")=0,"",SUMIFS(日次入力!$I$4:$I$1500,日次入力!$A$4:$A$1500,"&gt;="&amp;DATE(2027,2,2),日次入力!$A$4:$A$1500,"&lt;="&amp;DATE(2027,2,8),日次入力!$C$4:$C$1500,"Meta介護校"))</f>
        <v/>
      </c>
      <c r="O105" s="15" t="str">
        <f aca="false">IF(N105="","",IFERROR(N105/L105,""))</f>
        <v/>
      </c>
      <c r="P105" s="37" t="str">
        <f aca="false">IF(N105=0,"",IFERROR(C105/N105,""))</f>
        <v/>
      </c>
      <c r="Q105" s="38" t="str">
        <f aca="false">IF(N105=0,"",IFERROR(IF(C105/N105&lt;=用語集!$B$22,"◎ 許容内","✗ 超過"),"—"))</f>
        <v>—</v>
      </c>
      <c r="R105" s="39" t="str">
        <f aca="false">IFERROR(用語集!$B$22/P105,"")</f>
        <v/>
      </c>
    </row>
    <row r="106" customFormat="false" ht="15" hidden="false" customHeight="false" outlineLevel="0" collapsed="false">
      <c r="A106" s="34" t="s">
        <v>148</v>
      </c>
      <c r="B106" s="35" t="s">
        <v>149</v>
      </c>
      <c r="C106" s="41" t="str">
        <f aca="false">IF(COUNTIFS(日次入力!$A$4:$A$1500,"&gt;="&amp;DATE(2027,2,9),日次入力!$A$4:$A$1500,"&lt;="&amp;DATE(2027,2,15),日次入力!$C$4:$C$1500,"Meta介護校")=0,"",SUMIFS(日次入力!$D$4:$D$1500,日次入力!$A$4:$A$1500,"&gt;="&amp;DATE(2027,2,9),日次入力!$A$4:$A$1500,"&lt;="&amp;DATE(2027,2,15),日次入力!$C$4:$C$1500,"Meta介護校"))</f>
        <v/>
      </c>
      <c r="D106" s="42" t="str">
        <f aca="false">IF(COUNTIFS(日次入力!$A$4:$A$1500,"&gt;="&amp;DATE(2027,2,9),日次入力!$A$4:$A$1500,"&lt;="&amp;DATE(2027,2,15),日次入力!$C$4:$C$1500,"Meta介護校")=0,"",SUMIFS(日次入力!$E$4:$E$1500,日次入力!$A$4:$A$1500,"&gt;="&amp;DATE(2027,2,9),日次入力!$A$4:$A$1500,"&lt;="&amp;DATE(2027,2,15),日次入力!$C$4:$C$1500,"Meta介護校"))</f>
        <v/>
      </c>
      <c r="E106" s="42" t="str">
        <f aca="false">IF(COUNTIFS(日次入力!$A$4:$A$1500,"&gt;="&amp;DATE(2027,2,9),日次入力!$A$4:$A$1500,"&lt;="&amp;DATE(2027,2,15),日次入力!$C$4:$C$1500,"Meta介護校")=0,"",SUMIFS(日次入力!$F$4:$F$1500,日次入力!$A$4:$A$1500,"&gt;="&amp;DATE(2027,2,9),日次入力!$A$4:$A$1500,"&lt;="&amp;DATE(2027,2,15),日次入力!$C$4:$C$1500,"Meta介護校"))</f>
        <v/>
      </c>
      <c r="F106" s="42" t="str">
        <f aca="false">IF(COUNTIFS(日次入力!$A$4:$A$1500,"&gt;="&amp;DATE(2027,2,9),日次入力!$A$4:$A$1500,"&lt;="&amp;DATE(2027,2,15),日次入力!$C$4:$C$1500,"Meta介護校")=0,"",SUMIFS(日次入力!$G$4:$G$1500,日次入力!$A$4:$A$1500,"&gt;="&amp;DATE(2027,2,9),日次入力!$A$4:$A$1500,"&lt;="&amp;DATE(2027,2,15),日次入力!$C$4:$C$1500,"Meta介護校"))</f>
        <v/>
      </c>
      <c r="G106" s="15" t="str">
        <f aca="false">IFERROR(E106/D106,"")</f>
        <v/>
      </c>
      <c r="H106" s="37" t="str">
        <f aca="false">IFERROR(C106/E106,"")</f>
        <v/>
      </c>
      <c r="I106" s="37" t="str">
        <f aca="false">IFERROR(C106/D106*1000,"")</f>
        <v/>
      </c>
      <c r="J106" s="15" t="str">
        <f aca="false">IFERROR(F106/E106,"")</f>
        <v/>
      </c>
      <c r="K106" s="37" t="str">
        <f aca="false">IFERROR(C106/F106,"")</f>
        <v/>
      </c>
      <c r="L106" s="42" t="str">
        <f aca="false">IF(COUNTIFS(日次入力!$A$4:$A$1500,"&gt;="&amp;DATE(2027,2,9),日次入力!$A$4:$A$1500,"&lt;="&amp;DATE(2027,2,15),日次入力!$C$4:$C$1500,"Meta介護校")=0,"",SUMIFS(日次入力!$H$4:$H$1500,日次入力!$A$4:$A$1500,"&gt;="&amp;DATE(2027,2,9),日次入力!$A$4:$A$1500,"&lt;="&amp;DATE(2027,2,15),日次入力!$C$4:$C$1500,"Meta介護校"))</f>
        <v/>
      </c>
      <c r="M106" s="15" t="str">
        <f aca="false">IF(L106="","",IFERROR(L106/F106,""))</f>
        <v/>
      </c>
      <c r="N106" s="42" t="str">
        <f aca="false">IF(COUNTIFS(日次入力!$A$4:$A$1500,"&gt;="&amp;DATE(2027,2,9),日次入力!$A$4:$A$1500,"&lt;="&amp;DATE(2027,2,15),日次入力!$C$4:$C$1500,"Meta介護校")=0,"",SUMIFS(日次入力!$I$4:$I$1500,日次入力!$A$4:$A$1500,"&gt;="&amp;DATE(2027,2,9),日次入力!$A$4:$A$1500,"&lt;="&amp;DATE(2027,2,15),日次入力!$C$4:$C$1500,"Meta介護校"))</f>
        <v/>
      </c>
      <c r="O106" s="15" t="str">
        <f aca="false">IF(N106="","",IFERROR(N106/L106,""))</f>
        <v/>
      </c>
      <c r="P106" s="37" t="str">
        <f aca="false">IF(N106=0,"",IFERROR(C106/N106,""))</f>
        <v/>
      </c>
      <c r="Q106" s="38" t="str">
        <f aca="false">IF(N106=0,"",IFERROR(IF(C106/N106&lt;=用語集!$B$22,"◎ 許容内","✗ 超過"),"—"))</f>
        <v>—</v>
      </c>
      <c r="R106" s="39" t="str">
        <f aca="false">IFERROR(用語集!$B$22/P106,"")</f>
        <v/>
      </c>
    </row>
    <row r="107" customFormat="false" ht="15" hidden="false" customHeight="false" outlineLevel="0" collapsed="false">
      <c r="A107" s="34" t="s">
        <v>150</v>
      </c>
      <c r="B107" s="35" t="s">
        <v>151</v>
      </c>
      <c r="C107" s="41" t="str">
        <f aca="false">IF(COUNTIFS(日次入力!$A$4:$A$1500,"&gt;="&amp;DATE(2027,2,16),日次入力!$A$4:$A$1500,"&lt;="&amp;DATE(2027,2,22),日次入力!$C$4:$C$1500,"Meta介護校")=0,"",SUMIFS(日次入力!$D$4:$D$1500,日次入力!$A$4:$A$1500,"&gt;="&amp;DATE(2027,2,16),日次入力!$A$4:$A$1500,"&lt;="&amp;DATE(2027,2,22),日次入力!$C$4:$C$1500,"Meta介護校"))</f>
        <v/>
      </c>
      <c r="D107" s="42" t="str">
        <f aca="false">IF(COUNTIFS(日次入力!$A$4:$A$1500,"&gt;="&amp;DATE(2027,2,16),日次入力!$A$4:$A$1500,"&lt;="&amp;DATE(2027,2,22),日次入力!$C$4:$C$1500,"Meta介護校")=0,"",SUMIFS(日次入力!$E$4:$E$1500,日次入力!$A$4:$A$1500,"&gt;="&amp;DATE(2027,2,16),日次入力!$A$4:$A$1500,"&lt;="&amp;DATE(2027,2,22),日次入力!$C$4:$C$1500,"Meta介護校"))</f>
        <v/>
      </c>
      <c r="E107" s="42" t="str">
        <f aca="false">IF(COUNTIFS(日次入力!$A$4:$A$1500,"&gt;="&amp;DATE(2027,2,16),日次入力!$A$4:$A$1500,"&lt;="&amp;DATE(2027,2,22),日次入力!$C$4:$C$1500,"Meta介護校")=0,"",SUMIFS(日次入力!$F$4:$F$1500,日次入力!$A$4:$A$1500,"&gt;="&amp;DATE(2027,2,16),日次入力!$A$4:$A$1500,"&lt;="&amp;DATE(2027,2,22),日次入力!$C$4:$C$1500,"Meta介護校"))</f>
        <v/>
      </c>
      <c r="F107" s="42" t="str">
        <f aca="false">IF(COUNTIFS(日次入力!$A$4:$A$1500,"&gt;="&amp;DATE(2027,2,16),日次入力!$A$4:$A$1500,"&lt;="&amp;DATE(2027,2,22),日次入力!$C$4:$C$1500,"Meta介護校")=0,"",SUMIFS(日次入力!$G$4:$G$1500,日次入力!$A$4:$A$1500,"&gt;="&amp;DATE(2027,2,16),日次入力!$A$4:$A$1500,"&lt;="&amp;DATE(2027,2,22),日次入力!$C$4:$C$1500,"Meta介護校"))</f>
        <v/>
      </c>
      <c r="G107" s="15" t="str">
        <f aca="false">IFERROR(E107/D107,"")</f>
        <v/>
      </c>
      <c r="H107" s="37" t="str">
        <f aca="false">IFERROR(C107/E107,"")</f>
        <v/>
      </c>
      <c r="I107" s="37" t="str">
        <f aca="false">IFERROR(C107/D107*1000,"")</f>
        <v/>
      </c>
      <c r="J107" s="15" t="str">
        <f aca="false">IFERROR(F107/E107,"")</f>
        <v/>
      </c>
      <c r="K107" s="37" t="str">
        <f aca="false">IFERROR(C107/F107,"")</f>
        <v/>
      </c>
      <c r="L107" s="42" t="str">
        <f aca="false">IF(COUNTIFS(日次入力!$A$4:$A$1500,"&gt;="&amp;DATE(2027,2,16),日次入力!$A$4:$A$1500,"&lt;="&amp;DATE(2027,2,22),日次入力!$C$4:$C$1500,"Meta介護校")=0,"",SUMIFS(日次入力!$H$4:$H$1500,日次入力!$A$4:$A$1500,"&gt;="&amp;DATE(2027,2,16),日次入力!$A$4:$A$1500,"&lt;="&amp;DATE(2027,2,22),日次入力!$C$4:$C$1500,"Meta介護校"))</f>
        <v/>
      </c>
      <c r="M107" s="15" t="str">
        <f aca="false">IF(L107="","",IFERROR(L107/F107,""))</f>
        <v/>
      </c>
      <c r="N107" s="42" t="str">
        <f aca="false">IF(COUNTIFS(日次入力!$A$4:$A$1500,"&gt;="&amp;DATE(2027,2,16),日次入力!$A$4:$A$1500,"&lt;="&amp;DATE(2027,2,22),日次入力!$C$4:$C$1500,"Meta介護校")=0,"",SUMIFS(日次入力!$I$4:$I$1500,日次入力!$A$4:$A$1500,"&gt;="&amp;DATE(2027,2,16),日次入力!$A$4:$A$1500,"&lt;="&amp;DATE(2027,2,22),日次入力!$C$4:$C$1500,"Meta介護校"))</f>
        <v/>
      </c>
      <c r="O107" s="15" t="str">
        <f aca="false">IF(N107="","",IFERROR(N107/L107,""))</f>
        <v/>
      </c>
      <c r="P107" s="37" t="str">
        <f aca="false">IF(N107=0,"",IFERROR(C107/N107,""))</f>
        <v/>
      </c>
      <c r="Q107" s="38" t="str">
        <f aca="false">IF(N107=0,"",IFERROR(IF(C107/N107&lt;=用語集!$B$22,"◎ 許容内","✗ 超過"),"—"))</f>
        <v>—</v>
      </c>
      <c r="R107" s="39" t="str">
        <f aca="false">IFERROR(用語集!$B$22/P107,"")</f>
        <v/>
      </c>
    </row>
    <row r="108" customFormat="false" ht="15" hidden="false" customHeight="false" outlineLevel="0" collapsed="false">
      <c r="A108" s="34" t="s">
        <v>152</v>
      </c>
      <c r="B108" s="35" t="s">
        <v>153</v>
      </c>
      <c r="C108" s="41" t="str">
        <f aca="false">IF(COUNTIFS(日次入力!$A$4:$A$1500,"&gt;="&amp;DATE(2027,2,23),日次入力!$A$4:$A$1500,"&lt;="&amp;DATE(2027,3,1),日次入力!$C$4:$C$1500,"Meta介護校")=0,"",SUMIFS(日次入力!$D$4:$D$1500,日次入力!$A$4:$A$1500,"&gt;="&amp;DATE(2027,2,23),日次入力!$A$4:$A$1500,"&lt;="&amp;DATE(2027,3,1),日次入力!$C$4:$C$1500,"Meta介護校"))</f>
        <v/>
      </c>
      <c r="D108" s="42" t="str">
        <f aca="false">IF(COUNTIFS(日次入力!$A$4:$A$1500,"&gt;="&amp;DATE(2027,2,23),日次入力!$A$4:$A$1500,"&lt;="&amp;DATE(2027,3,1),日次入力!$C$4:$C$1500,"Meta介護校")=0,"",SUMIFS(日次入力!$E$4:$E$1500,日次入力!$A$4:$A$1500,"&gt;="&amp;DATE(2027,2,23),日次入力!$A$4:$A$1500,"&lt;="&amp;DATE(2027,3,1),日次入力!$C$4:$C$1500,"Meta介護校"))</f>
        <v/>
      </c>
      <c r="E108" s="42" t="str">
        <f aca="false">IF(COUNTIFS(日次入力!$A$4:$A$1500,"&gt;="&amp;DATE(2027,2,23),日次入力!$A$4:$A$1500,"&lt;="&amp;DATE(2027,3,1),日次入力!$C$4:$C$1500,"Meta介護校")=0,"",SUMIFS(日次入力!$F$4:$F$1500,日次入力!$A$4:$A$1500,"&gt;="&amp;DATE(2027,2,23),日次入力!$A$4:$A$1500,"&lt;="&amp;DATE(2027,3,1),日次入力!$C$4:$C$1500,"Meta介護校"))</f>
        <v/>
      </c>
      <c r="F108" s="42" t="str">
        <f aca="false">IF(COUNTIFS(日次入力!$A$4:$A$1500,"&gt;="&amp;DATE(2027,2,23),日次入力!$A$4:$A$1500,"&lt;="&amp;DATE(2027,3,1),日次入力!$C$4:$C$1500,"Meta介護校")=0,"",SUMIFS(日次入力!$G$4:$G$1500,日次入力!$A$4:$A$1500,"&gt;="&amp;DATE(2027,2,23),日次入力!$A$4:$A$1500,"&lt;="&amp;DATE(2027,3,1),日次入力!$C$4:$C$1500,"Meta介護校"))</f>
        <v/>
      </c>
      <c r="G108" s="15" t="str">
        <f aca="false">IFERROR(E108/D108,"")</f>
        <v/>
      </c>
      <c r="H108" s="37" t="str">
        <f aca="false">IFERROR(C108/E108,"")</f>
        <v/>
      </c>
      <c r="I108" s="37" t="str">
        <f aca="false">IFERROR(C108/D108*1000,"")</f>
        <v/>
      </c>
      <c r="J108" s="15" t="str">
        <f aca="false">IFERROR(F108/E108,"")</f>
        <v/>
      </c>
      <c r="K108" s="37" t="str">
        <f aca="false">IFERROR(C108/F108,"")</f>
        <v/>
      </c>
      <c r="L108" s="42" t="str">
        <f aca="false">IF(COUNTIFS(日次入力!$A$4:$A$1500,"&gt;="&amp;DATE(2027,2,23),日次入力!$A$4:$A$1500,"&lt;="&amp;DATE(2027,3,1),日次入力!$C$4:$C$1500,"Meta介護校")=0,"",SUMIFS(日次入力!$H$4:$H$1500,日次入力!$A$4:$A$1500,"&gt;="&amp;DATE(2027,2,23),日次入力!$A$4:$A$1500,"&lt;="&amp;DATE(2027,3,1),日次入力!$C$4:$C$1500,"Meta介護校"))</f>
        <v/>
      </c>
      <c r="M108" s="15" t="str">
        <f aca="false">IF(L108="","",IFERROR(L108/F108,""))</f>
        <v/>
      </c>
      <c r="N108" s="42" t="str">
        <f aca="false">IF(COUNTIFS(日次入力!$A$4:$A$1500,"&gt;="&amp;DATE(2027,2,23),日次入力!$A$4:$A$1500,"&lt;="&amp;DATE(2027,3,1),日次入力!$C$4:$C$1500,"Meta介護校")=0,"",SUMIFS(日次入力!$I$4:$I$1500,日次入力!$A$4:$A$1500,"&gt;="&amp;DATE(2027,2,23),日次入力!$A$4:$A$1500,"&lt;="&amp;DATE(2027,3,1),日次入力!$C$4:$C$1500,"Meta介護校"))</f>
        <v/>
      </c>
      <c r="O108" s="15" t="str">
        <f aca="false">IF(N108="","",IFERROR(N108/L108,""))</f>
        <v/>
      </c>
      <c r="P108" s="37" t="str">
        <f aca="false">IF(N108=0,"",IFERROR(C108/N108,""))</f>
        <v/>
      </c>
      <c r="Q108" s="38" t="str">
        <f aca="false">IF(N108=0,"",IFERROR(IF(C108/N108&lt;=用語集!$B$22,"◎ 許容内","✗ 超過"),"—"))</f>
        <v>—</v>
      </c>
      <c r="R108" s="39" t="str">
        <f aca="false">IFERROR(用語集!$B$22/P108,"")</f>
        <v/>
      </c>
    </row>
    <row r="109" customFormat="false" ht="15" hidden="false" customHeight="false" outlineLevel="0" collapsed="false">
      <c r="A109" s="34" t="s">
        <v>154</v>
      </c>
      <c r="B109" s="35" t="s">
        <v>155</v>
      </c>
      <c r="C109" s="41" t="str">
        <f aca="false">IF(COUNTIFS(日次入力!$A$4:$A$1500,"&gt;="&amp;DATE(2027,3,2),日次入力!$A$4:$A$1500,"&lt;="&amp;DATE(2027,3,8),日次入力!$C$4:$C$1500,"Meta介護校")=0,"",SUMIFS(日次入力!$D$4:$D$1500,日次入力!$A$4:$A$1500,"&gt;="&amp;DATE(2027,3,2),日次入力!$A$4:$A$1500,"&lt;="&amp;DATE(2027,3,8),日次入力!$C$4:$C$1500,"Meta介護校"))</f>
        <v/>
      </c>
      <c r="D109" s="42" t="str">
        <f aca="false">IF(COUNTIFS(日次入力!$A$4:$A$1500,"&gt;="&amp;DATE(2027,3,2),日次入力!$A$4:$A$1500,"&lt;="&amp;DATE(2027,3,8),日次入力!$C$4:$C$1500,"Meta介護校")=0,"",SUMIFS(日次入力!$E$4:$E$1500,日次入力!$A$4:$A$1500,"&gt;="&amp;DATE(2027,3,2),日次入力!$A$4:$A$1500,"&lt;="&amp;DATE(2027,3,8),日次入力!$C$4:$C$1500,"Meta介護校"))</f>
        <v/>
      </c>
      <c r="E109" s="42" t="str">
        <f aca="false">IF(COUNTIFS(日次入力!$A$4:$A$1500,"&gt;="&amp;DATE(2027,3,2),日次入力!$A$4:$A$1500,"&lt;="&amp;DATE(2027,3,8),日次入力!$C$4:$C$1500,"Meta介護校")=0,"",SUMIFS(日次入力!$F$4:$F$1500,日次入力!$A$4:$A$1500,"&gt;="&amp;DATE(2027,3,2),日次入力!$A$4:$A$1500,"&lt;="&amp;DATE(2027,3,8),日次入力!$C$4:$C$1500,"Meta介護校"))</f>
        <v/>
      </c>
      <c r="F109" s="42" t="str">
        <f aca="false">IF(COUNTIFS(日次入力!$A$4:$A$1500,"&gt;="&amp;DATE(2027,3,2),日次入力!$A$4:$A$1500,"&lt;="&amp;DATE(2027,3,8),日次入力!$C$4:$C$1500,"Meta介護校")=0,"",SUMIFS(日次入力!$G$4:$G$1500,日次入力!$A$4:$A$1500,"&gt;="&amp;DATE(2027,3,2),日次入力!$A$4:$A$1500,"&lt;="&amp;DATE(2027,3,8),日次入力!$C$4:$C$1500,"Meta介護校"))</f>
        <v/>
      </c>
      <c r="G109" s="15" t="str">
        <f aca="false">IFERROR(E109/D109,"")</f>
        <v/>
      </c>
      <c r="H109" s="37" t="str">
        <f aca="false">IFERROR(C109/E109,"")</f>
        <v/>
      </c>
      <c r="I109" s="37" t="str">
        <f aca="false">IFERROR(C109/D109*1000,"")</f>
        <v/>
      </c>
      <c r="J109" s="15" t="str">
        <f aca="false">IFERROR(F109/E109,"")</f>
        <v/>
      </c>
      <c r="K109" s="37" t="str">
        <f aca="false">IFERROR(C109/F109,"")</f>
        <v/>
      </c>
      <c r="L109" s="42" t="str">
        <f aca="false">IF(COUNTIFS(日次入力!$A$4:$A$1500,"&gt;="&amp;DATE(2027,3,2),日次入力!$A$4:$A$1500,"&lt;="&amp;DATE(2027,3,8),日次入力!$C$4:$C$1500,"Meta介護校")=0,"",SUMIFS(日次入力!$H$4:$H$1500,日次入力!$A$4:$A$1500,"&gt;="&amp;DATE(2027,3,2),日次入力!$A$4:$A$1500,"&lt;="&amp;DATE(2027,3,8),日次入力!$C$4:$C$1500,"Meta介護校"))</f>
        <v/>
      </c>
      <c r="M109" s="15" t="str">
        <f aca="false">IF(L109="","",IFERROR(L109/F109,""))</f>
        <v/>
      </c>
      <c r="N109" s="42" t="str">
        <f aca="false">IF(COUNTIFS(日次入力!$A$4:$A$1500,"&gt;="&amp;DATE(2027,3,2),日次入力!$A$4:$A$1500,"&lt;="&amp;DATE(2027,3,8),日次入力!$C$4:$C$1500,"Meta介護校")=0,"",SUMIFS(日次入力!$I$4:$I$1500,日次入力!$A$4:$A$1500,"&gt;="&amp;DATE(2027,3,2),日次入力!$A$4:$A$1500,"&lt;="&amp;DATE(2027,3,8),日次入力!$C$4:$C$1500,"Meta介護校"))</f>
        <v/>
      </c>
      <c r="O109" s="15" t="str">
        <f aca="false">IF(N109="","",IFERROR(N109/L109,""))</f>
        <v/>
      </c>
      <c r="P109" s="37" t="str">
        <f aca="false">IF(N109=0,"",IFERROR(C109/N109,""))</f>
        <v/>
      </c>
      <c r="Q109" s="38" t="str">
        <f aca="false">IF(N109=0,"",IFERROR(IF(C109/N109&lt;=用語集!$B$22,"◎ 許容内","✗ 超過"),"—"))</f>
        <v>—</v>
      </c>
      <c r="R109" s="39" t="str">
        <f aca="false">IFERROR(用語集!$B$22/P109,"")</f>
        <v/>
      </c>
    </row>
    <row r="110" customFormat="false" ht="15" hidden="false" customHeight="false" outlineLevel="0" collapsed="false">
      <c r="A110" s="34" t="s">
        <v>156</v>
      </c>
      <c r="B110" s="35" t="s">
        <v>157</v>
      </c>
      <c r="C110" s="41" t="str">
        <f aca="false">IF(COUNTIFS(日次入力!$A$4:$A$1500,"&gt;="&amp;DATE(2027,3,9),日次入力!$A$4:$A$1500,"&lt;="&amp;DATE(2027,3,15),日次入力!$C$4:$C$1500,"Meta介護校")=0,"",SUMIFS(日次入力!$D$4:$D$1500,日次入力!$A$4:$A$1500,"&gt;="&amp;DATE(2027,3,9),日次入力!$A$4:$A$1500,"&lt;="&amp;DATE(2027,3,15),日次入力!$C$4:$C$1500,"Meta介護校"))</f>
        <v/>
      </c>
      <c r="D110" s="42" t="str">
        <f aca="false">IF(COUNTIFS(日次入力!$A$4:$A$1500,"&gt;="&amp;DATE(2027,3,9),日次入力!$A$4:$A$1500,"&lt;="&amp;DATE(2027,3,15),日次入力!$C$4:$C$1500,"Meta介護校")=0,"",SUMIFS(日次入力!$E$4:$E$1500,日次入力!$A$4:$A$1500,"&gt;="&amp;DATE(2027,3,9),日次入力!$A$4:$A$1500,"&lt;="&amp;DATE(2027,3,15),日次入力!$C$4:$C$1500,"Meta介護校"))</f>
        <v/>
      </c>
      <c r="E110" s="42" t="str">
        <f aca="false">IF(COUNTIFS(日次入力!$A$4:$A$1500,"&gt;="&amp;DATE(2027,3,9),日次入力!$A$4:$A$1500,"&lt;="&amp;DATE(2027,3,15),日次入力!$C$4:$C$1500,"Meta介護校")=0,"",SUMIFS(日次入力!$F$4:$F$1500,日次入力!$A$4:$A$1500,"&gt;="&amp;DATE(2027,3,9),日次入力!$A$4:$A$1500,"&lt;="&amp;DATE(2027,3,15),日次入力!$C$4:$C$1500,"Meta介護校"))</f>
        <v/>
      </c>
      <c r="F110" s="42" t="str">
        <f aca="false">IF(COUNTIFS(日次入力!$A$4:$A$1500,"&gt;="&amp;DATE(2027,3,9),日次入力!$A$4:$A$1500,"&lt;="&amp;DATE(2027,3,15),日次入力!$C$4:$C$1500,"Meta介護校")=0,"",SUMIFS(日次入力!$G$4:$G$1500,日次入力!$A$4:$A$1500,"&gt;="&amp;DATE(2027,3,9),日次入力!$A$4:$A$1500,"&lt;="&amp;DATE(2027,3,15),日次入力!$C$4:$C$1500,"Meta介護校"))</f>
        <v/>
      </c>
      <c r="G110" s="15" t="str">
        <f aca="false">IFERROR(E110/D110,"")</f>
        <v/>
      </c>
      <c r="H110" s="37" t="str">
        <f aca="false">IFERROR(C110/E110,"")</f>
        <v/>
      </c>
      <c r="I110" s="37" t="str">
        <f aca="false">IFERROR(C110/D110*1000,"")</f>
        <v/>
      </c>
      <c r="J110" s="15" t="str">
        <f aca="false">IFERROR(F110/E110,"")</f>
        <v/>
      </c>
      <c r="K110" s="37" t="str">
        <f aca="false">IFERROR(C110/F110,"")</f>
        <v/>
      </c>
      <c r="L110" s="42" t="str">
        <f aca="false">IF(COUNTIFS(日次入力!$A$4:$A$1500,"&gt;="&amp;DATE(2027,3,9),日次入力!$A$4:$A$1500,"&lt;="&amp;DATE(2027,3,15),日次入力!$C$4:$C$1500,"Meta介護校")=0,"",SUMIFS(日次入力!$H$4:$H$1500,日次入力!$A$4:$A$1500,"&gt;="&amp;DATE(2027,3,9),日次入力!$A$4:$A$1500,"&lt;="&amp;DATE(2027,3,15),日次入力!$C$4:$C$1500,"Meta介護校"))</f>
        <v/>
      </c>
      <c r="M110" s="15" t="str">
        <f aca="false">IF(L110="","",IFERROR(L110/F110,""))</f>
        <v/>
      </c>
      <c r="N110" s="42" t="str">
        <f aca="false">IF(COUNTIFS(日次入力!$A$4:$A$1500,"&gt;="&amp;DATE(2027,3,9),日次入力!$A$4:$A$1500,"&lt;="&amp;DATE(2027,3,15),日次入力!$C$4:$C$1500,"Meta介護校")=0,"",SUMIFS(日次入力!$I$4:$I$1500,日次入力!$A$4:$A$1500,"&gt;="&amp;DATE(2027,3,9),日次入力!$A$4:$A$1500,"&lt;="&amp;DATE(2027,3,15),日次入力!$C$4:$C$1500,"Meta介護校"))</f>
        <v/>
      </c>
      <c r="O110" s="15" t="str">
        <f aca="false">IF(N110="","",IFERROR(N110/L110,""))</f>
        <v/>
      </c>
      <c r="P110" s="37" t="str">
        <f aca="false">IF(N110=0,"",IFERROR(C110/N110,""))</f>
        <v/>
      </c>
      <c r="Q110" s="38" t="str">
        <f aca="false">IF(N110=0,"",IFERROR(IF(C110/N110&lt;=用語集!$B$22,"◎ 許容内","✗ 超過"),"—"))</f>
        <v>—</v>
      </c>
      <c r="R110" s="39" t="str">
        <f aca="false">IFERROR(用語集!$B$22/P110,"")</f>
        <v/>
      </c>
    </row>
    <row r="111" customFormat="false" ht="15" hidden="false" customHeight="false" outlineLevel="0" collapsed="false">
      <c r="A111" s="34" t="s">
        <v>158</v>
      </c>
      <c r="B111" s="35" t="s">
        <v>159</v>
      </c>
      <c r="C111" s="41" t="str">
        <f aca="false">IF(COUNTIFS(日次入力!$A$4:$A$1500,"&gt;="&amp;DATE(2027,3,16),日次入力!$A$4:$A$1500,"&lt;="&amp;DATE(2027,3,22),日次入力!$C$4:$C$1500,"Meta介護校")=0,"",SUMIFS(日次入力!$D$4:$D$1500,日次入力!$A$4:$A$1500,"&gt;="&amp;DATE(2027,3,16),日次入力!$A$4:$A$1500,"&lt;="&amp;DATE(2027,3,22),日次入力!$C$4:$C$1500,"Meta介護校"))</f>
        <v/>
      </c>
      <c r="D111" s="42" t="str">
        <f aca="false">IF(COUNTIFS(日次入力!$A$4:$A$1500,"&gt;="&amp;DATE(2027,3,16),日次入力!$A$4:$A$1500,"&lt;="&amp;DATE(2027,3,22),日次入力!$C$4:$C$1500,"Meta介護校")=0,"",SUMIFS(日次入力!$E$4:$E$1500,日次入力!$A$4:$A$1500,"&gt;="&amp;DATE(2027,3,16),日次入力!$A$4:$A$1500,"&lt;="&amp;DATE(2027,3,22),日次入力!$C$4:$C$1500,"Meta介護校"))</f>
        <v/>
      </c>
      <c r="E111" s="42" t="str">
        <f aca="false">IF(COUNTIFS(日次入力!$A$4:$A$1500,"&gt;="&amp;DATE(2027,3,16),日次入力!$A$4:$A$1500,"&lt;="&amp;DATE(2027,3,22),日次入力!$C$4:$C$1500,"Meta介護校")=0,"",SUMIFS(日次入力!$F$4:$F$1500,日次入力!$A$4:$A$1500,"&gt;="&amp;DATE(2027,3,16),日次入力!$A$4:$A$1500,"&lt;="&amp;DATE(2027,3,22),日次入力!$C$4:$C$1500,"Meta介護校"))</f>
        <v/>
      </c>
      <c r="F111" s="42" t="str">
        <f aca="false">IF(COUNTIFS(日次入力!$A$4:$A$1500,"&gt;="&amp;DATE(2027,3,16),日次入力!$A$4:$A$1500,"&lt;="&amp;DATE(2027,3,22),日次入力!$C$4:$C$1500,"Meta介護校")=0,"",SUMIFS(日次入力!$G$4:$G$1500,日次入力!$A$4:$A$1500,"&gt;="&amp;DATE(2027,3,16),日次入力!$A$4:$A$1500,"&lt;="&amp;DATE(2027,3,22),日次入力!$C$4:$C$1500,"Meta介護校"))</f>
        <v/>
      </c>
      <c r="G111" s="15" t="str">
        <f aca="false">IFERROR(E111/D111,"")</f>
        <v/>
      </c>
      <c r="H111" s="37" t="str">
        <f aca="false">IFERROR(C111/E111,"")</f>
        <v/>
      </c>
      <c r="I111" s="37" t="str">
        <f aca="false">IFERROR(C111/D111*1000,"")</f>
        <v/>
      </c>
      <c r="J111" s="15" t="str">
        <f aca="false">IFERROR(F111/E111,"")</f>
        <v/>
      </c>
      <c r="K111" s="37" t="str">
        <f aca="false">IFERROR(C111/F111,"")</f>
        <v/>
      </c>
      <c r="L111" s="42" t="str">
        <f aca="false">IF(COUNTIFS(日次入力!$A$4:$A$1500,"&gt;="&amp;DATE(2027,3,16),日次入力!$A$4:$A$1500,"&lt;="&amp;DATE(2027,3,22),日次入力!$C$4:$C$1500,"Meta介護校")=0,"",SUMIFS(日次入力!$H$4:$H$1500,日次入力!$A$4:$A$1500,"&gt;="&amp;DATE(2027,3,16),日次入力!$A$4:$A$1500,"&lt;="&amp;DATE(2027,3,22),日次入力!$C$4:$C$1500,"Meta介護校"))</f>
        <v/>
      </c>
      <c r="M111" s="15" t="str">
        <f aca="false">IF(L111="","",IFERROR(L111/F111,""))</f>
        <v/>
      </c>
      <c r="N111" s="42" t="str">
        <f aca="false">IF(COUNTIFS(日次入力!$A$4:$A$1500,"&gt;="&amp;DATE(2027,3,16),日次入力!$A$4:$A$1500,"&lt;="&amp;DATE(2027,3,22),日次入力!$C$4:$C$1500,"Meta介護校")=0,"",SUMIFS(日次入力!$I$4:$I$1500,日次入力!$A$4:$A$1500,"&gt;="&amp;DATE(2027,3,16),日次入力!$A$4:$A$1500,"&lt;="&amp;DATE(2027,3,22),日次入力!$C$4:$C$1500,"Meta介護校"))</f>
        <v/>
      </c>
      <c r="O111" s="15" t="str">
        <f aca="false">IF(N111="","",IFERROR(N111/L111,""))</f>
        <v/>
      </c>
      <c r="P111" s="37" t="str">
        <f aca="false">IF(N111=0,"",IFERROR(C111/N111,""))</f>
        <v/>
      </c>
      <c r="Q111" s="38" t="str">
        <f aca="false">IF(N111=0,"",IFERROR(IF(C111/N111&lt;=用語集!$B$22,"◎ 許容内","✗ 超過"),"—"))</f>
        <v>—</v>
      </c>
      <c r="R111" s="39" t="str">
        <f aca="false">IFERROR(用語集!$B$22/P111,"")</f>
        <v/>
      </c>
    </row>
    <row r="112" customFormat="false" ht="15" hidden="false" customHeight="false" outlineLevel="0" collapsed="false">
      <c r="A112" s="34" t="s">
        <v>160</v>
      </c>
      <c r="B112" s="35" t="s">
        <v>161</v>
      </c>
      <c r="C112" s="41" t="str">
        <f aca="false">IF(COUNTIFS(日次入力!$A$4:$A$1500,"&gt;="&amp;DATE(2027,3,23),日次入力!$A$4:$A$1500,"&lt;="&amp;DATE(2027,3,29),日次入力!$C$4:$C$1500,"Meta介護校")=0,"",SUMIFS(日次入力!$D$4:$D$1500,日次入力!$A$4:$A$1500,"&gt;="&amp;DATE(2027,3,23),日次入力!$A$4:$A$1500,"&lt;="&amp;DATE(2027,3,29),日次入力!$C$4:$C$1500,"Meta介護校"))</f>
        <v/>
      </c>
      <c r="D112" s="42" t="str">
        <f aca="false">IF(COUNTIFS(日次入力!$A$4:$A$1500,"&gt;="&amp;DATE(2027,3,23),日次入力!$A$4:$A$1500,"&lt;="&amp;DATE(2027,3,29),日次入力!$C$4:$C$1500,"Meta介護校")=0,"",SUMIFS(日次入力!$E$4:$E$1500,日次入力!$A$4:$A$1500,"&gt;="&amp;DATE(2027,3,23),日次入力!$A$4:$A$1500,"&lt;="&amp;DATE(2027,3,29),日次入力!$C$4:$C$1500,"Meta介護校"))</f>
        <v/>
      </c>
      <c r="E112" s="42" t="str">
        <f aca="false">IF(COUNTIFS(日次入力!$A$4:$A$1500,"&gt;="&amp;DATE(2027,3,23),日次入力!$A$4:$A$1500,"&lt;="&amp;DATE(2027,3,29),日次入力!$C$4:$C$1500,"Meta介護校")=0,"",SUMIFS(日次入力!$F$4:$F$1500,日次入力!$A$4:$A$1500,"&gt;="&amp;DATE(2027,3,23),日次入力!$A$4:$A$1500,"&lt;="&amp;DATE(2027,3,29),日次入力!$C$4:$C$1500,"Meta介護校"))</f>
        <v/>
      </c>
      <c r="F112" s="42" t="str">
        <f aca="false">IF(COUNTIFS(日次入力!$A$4:$A$1500,"&gt;="&amp;DATE(2027,3,23),日次入力!$A$4:$A$1500,"&lt;="&amp;DATE(2027,3,29),日次入力!$C$4:$C$1500,"Meta介護校")=0,"",SUMIFS(日次入力!$G$4:$G$1500,日次入力!$A$4:$A$1500,"&gt;="&amp;DATE(2027,3,23),日次入力!$A$4:$A$1500,"&lt;="&amp;DATE(2027,3,29),日次入力!$C$4:$C$1500,"Meta介護校"))</f>
        <v/>
      </c>
      <c r="G112" s="15" t="str">
        <f aca="false">IFERROR(E112/D112,"")</f>
        <v/>
      </c>
      <c r="H112" s="37" t="str">
        <f aca="false">IFERROR(C112/E112,"")</f>
        <v/>
      </c>
      <c r="I112" s="37" t="str">
        <f aca="false">IFERROR(C112/D112*1000,"")</f>
        <v/>
      </c>
      <c r="J112" s="15" t="str">
        <f aca="false">IFERROR(F112/E112,"")</f>
        <v/>
      </c>
      <c r="K112" s="37" t="str">
        <f aca="false">IFERROR(C112/F112,"")</f>
        <v/>
      </c>
      <c r="L112" s="42" t="str">
        <f aca="false">IF(COUNTIFS(日次入力!$A$4:$A$1500,"&gt;="&amp;DATE(2027,3,23),日次入力!$A$4:$A$1500,"&lt;="&amp;DATE(2027,3,29),日次入力!$C$4:$C$1500,"Meta介護校")=0,"",SUMIFS(日次入力!$H$4:$H$1500,日次入力!$A$4:$A$1500,"&gt;="&amp;DATE(2027,3,23),日次入力!$A$4:$A$1500,"&lt;="&amp;DATE(2027,3,29),日次入力!$C$4:$C$1500,"Meta介護校"))</f>
        <v/>
      </c>
      <c r="M112" s="15" t="str">
        <f aca="false">IF(L112="","",IFERROR(L112/F112,""))</f>
        <v/>
      </c>
      <c r="N112" s="42" t="str">
        <f aca="false">IF(COUNTIFS(日次入力!$A$4:$A$1500,"&gt;="&amp;DATE(2027,3,23),日次入力!$A$4:$A$1500,"&lt;="&amp;DATE(2027,3,29),日次入力!$C$4:$C$1500,"Meta介護校")=0,"",SUMIFS(日次入力!$I$4:$I$1500,日次入力!$A$4:$A$1500,"&gt;="&amp;DATE(2027,3,23),日次入力!$A$4:$A$1500,"&lt;="&amp;DATE(2027,3,29),日次入力!$C$4:$C$1500,"Meta介護校"))</f>
        <v/>
      </c>
      <c r="O112" s="15" t="str">
        <f aca="false">IF(N112="","",IFERROR(N112/L112,""))</f>
        <v/>
      </c>
      <c r="P112" s="37" t="str">
        <f aca="false">IF(N112=0,"",IFERROR(C112/N112,""))</f>
        <v/>
      </c>
      <c r="Q112" s="38" t="str">
        <f aca="false">IF(N112=0,"",IFERROR(IF(C112/N112&lt;=用語集!$B$22,"◎ 許容内","✗ 超過"),"—"))</f>
        <v>—</v>
      </c>
      <c r="R112" s="39" t="str">
        <f aca="false">IFERROR(用語集!$B$22/P112,"")</f>
        <v/>
      </c>
    </row>
    <row r="113" customFormat="false" ht="15" hidden="false" customHeight="false" outlineLevel="0" collapsed="false">
      <c r="A113" s="34" t="s">
        <v>162</v>
      </c>
      <c r="B113" s="35" t="s">
        <v>163</v>
      </c>
      <c r="C113" s="41" t="str">
        <f aca="false">IF(COUNTIFS(日次入力!$A$4:$A$1500,"&gt;="&amp;DATE(2027,3,30),日次入力!$A$4:$A$1500,"&lt;="&amp;DATE(2027,4,5),日次入力!$C$4:$C$1500,"Meta介護校")=0,"",SUMIFS(日次入力!$D$4:$D$1500,日次入力!$A$4:$A$1500,"&gt;="&amp;DATE(2027,3,30),日次入力!$A$4:$A$1500,"&lt;="&amp;DATE(2027,4,5),日次入力!$C$4:$C$1500,"Meta介護校"))</f>
        <v/>
      </c>
      <c r="D113" s="42" t="str">
        <f aca="false">IF(COUNTIFS(日次入力!$A$4:$A$1500,"&gt;="&amp;DATE(2027,3,30),日次入力!$A$4:$A$1500,"&lt;="&amp;DATE(2027,4,5),日次入力!$C$4:$C$1500,"Meta介護校")=0,"",SUMIFS(日次入力!$E$4:$E$1500,日次入力!$A$4:$A$1500,"&gt;="&amp;DATE(2027,3,30),日次入力!$A$4:$A$1500,"&lt;="&amp;DATE(2027,4,5),日次入力!$C$4:$C$1500,"Meta介護校"))</f>
        <v/>
      </c>
      <c r="E113" s="42" t="str">
        <f aca="false">IF(COUNTIFS(日次入力!$A$4:$A$1500,"&gt;="&amp;DATE(2027,3,30),日次入力!$A$4:$A$1500,"&lt;="&amp;DATE(2027,4,5),日次入力!$C$4:$C$1500,"Meta介護校")=0,"",SUMIFS(日次入力!$F$4:$F$1500,日次入力!$A$4:$A$1500,"&gt;="&amp;DATE(2027,3,30),日次入力!$A$4:$A$1500,"&lt;="&amp;DATE(2027,4,5),日次入力!$C$4:$C$1500,"Meta介護校"))</f>
        <v/>
      </c>
      <c r="F113" s="42" t="str">
        <f aca="false">IF(COUNTIFS(日次入力!$A$4:$A$1500,"&gt;="&amp;DATE(2027,3,30),日次入力!$A$4:$A$1500,"&lt;="&amp;DATE(2027,4,5),日次入力!$C$4:$C$1500,"Meta介護校")=0,"",SUMIFS(日次入力!$G$4:$G$1500,日次入力!$A$4:$A$1500,"&gt;="&amp;DATE(2027,3,30),日次入力!$A$4:$A$1500,"&lt;="&amp;DATE(2027,4,5),日次入力!$C$4:$C$1500,"Meta介護校"))</f>
        <v/>
      </c>
      <c r="G113" s="15" t="str">
        <f aca="false">IFERROR(E113/D113,"")</f>
        <v/>
      </c>
      <c r="H113" s="37" t="str">
        <f aca="false">IFERROR(C113/E113,"")</f>
        <v/>
      </c>
      <c r="I113" s="37" t="str">
        <f aca="false">IFERROR(C113/D113*1000,"")</f>
        <v/>
      </c>
      <c r="J113" s="15" t="str">
        <f aca="false">IFERROR(F113/E113,"")</f>
        <v/>
      </c>
      <c r="K113" s="37" t="str">
        <f aca="false">IFERROR(C113/F113,"")</f>
        <v/>
      </c>
      <c r="L113" s="42" t="str">
        <f aca="false">IF(COUNTIFS(日次入力!$A$4:$A$1500,"&gt;="&amp;DATE(2027,3,30),日次入力!$A$4:$A$1500,"&lt;="&amp;DATE(2027,4,5),日次入力!$C$4:$C$1500,"Meta介護校")=0,"",SUMIFS(日次入力!$H$4:$H$1500,日次入力!$A$4:$A$1500,"&gt;="&amp;DATE(2027,3,30),日次入力!$A$4:$A$1500,"&lt;="&amp;DATE(2027,4,5),日次入力!$C$4:$C$1500,"Meta介護校"))</f>
        <v/>
      </c>
      <c r="M113" s="15" t="str">
        <f aca="false">IF(L113="","",IFERROR(L113/F113,""))</f>
        <v/>
      </c>
      <c r="N113" s="42" t="str">
        <f aca="false">IF(COUNTIFS(日次入力!$A$4:$A$1500,"&gt;="&amp;DATE(2027,3,30),日次入力!$A$4:$A$1500,"&lt;="&amp;DATE(2027,4,5),日次入力!$C$4:$C$1500,"Meta介護校")=0,"",SUMIFS(日次入力!$I$4:$I$1500,日次入力!$A$4:$A$1500,"&gt;="&amp;DATE(2027,3,30),日次入力!$A$4:$A$1500,"&lt;="&amp;DATE(2027,4,5),日次入力!$C$4:$C$1500,"Meta介護校"))</f>
        <v/>
      </c>
      <c r="O113" s="15" t="str">
        <f aca="false">IF(N113="","",IFERROR(N113/L113,""))</f>
        <v/>
      </c>
      <c r="P113" s="37" t="str">
        <f aca="false">IF(N113=0,"",IFERROR(C113/N113,""))</f>
        <v/>
      </c>
      <c r="Q113" s="38" t="str">
        <f aca="false">IF(N113=0,"",IFERROR(IF(C113/N113&lt;=用語集!$B$22,"◎ 許容内","✗ 超過"),"—"))</f>
        <v>—</v>
      </c>
      <c r="R113" s="39" t="str">
        <f aca="false">IFERROR(用語集!$B$22/P113,"")</f>
        <v/>
      </c>
    </row>
    <row r="114" customFormat="false" ht="17.15" hidden="false" customHeight="false" outlineLevel="0" collapsed="false">
      <c r="A114" s="43" t="s">
        <v>164</v>
      </c>
      <c r="B114" s="44"/>
      <c r="C114" s="45" t="n">
        <f aca="false">SUM(C62:C113)</f>
        <v>1047032</v>
      </c>
      <c r="D114" s="46" t="n">
        <f aca="false">SUM(D62:D113)</f>
        <v>348184</v>
      </c>
      <c r="E114" s="46" t="n">
        <f aca="false">SUM(E62:E113)</f>
        <v>16651</v>
      </c>
      <c r="F114" s="46" t="n">
        <f aca="false">SUM(F62:F113)</f>
        <v>330</v>
      </c>
      <c r="G114" s="47" t="n">
        <f aca="false">IFERROR(E114/D114,"")</f>
        <v>0.0478224157342095</v>
      </c>
      <c r="H114" s="45" t="n">
        <f aca="false">IFERROR(C114/E114,"")</f>
        <v>62.8810281664765</v>
      </c>
      <c r="I114" s="45" t="n">
        <f aca="false">IFERROR(C114/D114*1000,"")</f>
        <v>3007.12267077178</v>
      </c>
      <c r="J114" s="47" t="n">
        <f aca="false">IFERROR(F114/D114,"")</f>
        <v>0.000947774739792753</v>
      </c>
      <c r="K114" s="45" t="n">
        <f aca="false">IFERROR(C114/F114,"")</f>
        <v>3172.82424242424</v>
      </c>
      <c r="L114" s="46" t="n">
        <f aca="false">SUM(L62:L113)</f>
        <v>16</v>
      </c>
      <c r="M114" s="47" t="n">
        <f aca="false">IF(L114=0,"",IFERROR(L114/F114,""))</f>
        <v>0.0484848484848485</v>
      </c>
      <c r="N114" s="46" t="n">
        <f aca="false">SUM(N62:N113)</f>
        <v>1</v>
      </c>
      <c r="O114" s="47" t="n">
        <f aca="false">IF(L114=0,"",IFERROR(N114/L114,""))</f>
        <v>0.0625</v>
      </c>
      <c r="P114" s="45" t="n">
        <f aca="false">IF(N114=0,"",IFERROR(C114/N114,""))</f>
        <v>1047032</v>
      </c>
      <c r="Q114" s="43" t="str">
        <f aca="false">IF(N114=0,"",IFERROR(IF(C114/N114&lt;=用語集!$B$22,"◎ 許容内","✗ 超過"),"—"))</f>
        <v>✗ 超過</v>
      </c>
      <c r="R114" s="48" t="n">
        <f aca="false">IFERROR(用語集!$B$22/P114,"")</f>
        <v>0.293209758632019</v>
      </c>
    </row>
    <row r="116" customFormat="false" ht="17.15" hidden="false" customHeight="false" outlineLevel="0" collapsed="false">
      <c r="A116" s="31" t="s">
        <v>166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</row>
    <row r="117" customFormat="false" ht="25.5" hidden="false" customHeight="true" outlineLevel="0" collapsed="false">
      <c r="A117" s="32" t="s">
        <v>48</v>
      </c>
      <c r="B117" s="32" t="s">
        <v>49</v>
      </c>
      <c r="C117" s="32" t="s">
        <v>35</v>
      </c>
      <c r="D117" s="33" t="s">
        <v>36</v>
      </c>
      <c r="E117" s="32" t="s">
        <v>37</v>
      </c>
      <c r="F117" s="33" t="s">
        <v>38</v>
      </c>
      <c r="G117" s="33" t="s">
        <v>50</v>
      </c>
      <c r="H117" s="33" t="s">
        <v>51</v>
      </c>
      <c r="I117" s="33" t="s">
        <v>52</v>
      </c>
      <c r="J117" s="33" t="s">
        <v>53</v>
      </c>
      <c r="K117" s="33" t="s">
        <v>54</v>
      </c>
      <c r="L117" s="32" t="s">
        <v>39</v>
      </c>
      <c r="M117" s="32" t="s">
        <v>55</v>
      </c>
      <c r="N117" s="32" t="s">
        <v>40</v>
      </c>
      <c r="O117" s="32" t="s">
        <v>23</v>
      </c>
      <c r="P117" s="33" t="s">
        <v>56</v>
      </c>
      <c r="Q117" s="32" t="s">
        <v>57</v>
      </c>
      <c r="R117" s="32" t="s">
        <v>58</v>
      </c>
    </row>
    <row r="118" customFormat="false" ht="15" hidden="false" customHeight="false" outlineLevel="0" collapsed="false">
      <c r="A118" s="34" t="s">
        <v>59</v>
      </c>
      <c r="B118" s="35" t="s">
        <v>60</v>
      </c>
      <c r="C118" s="40" t="s">
        <v>67</v>
      </c>
      <c r="D118" s="13"/>
      <c r="E118" s="13"/>
      <c r="F118" s="13"/>
      <c r="G118" s="15" t="str">
        <f aca="false">IFERROR(E118/D118,"")</f>
        <v/>
      </c>
      <c r="H118" s="37" t="str">
        <f aca="false">IFERROR(C118/E118,"")</f>
        <v/>
      </c>
      <c r="I118" s="37" t="str">
        <f aca="false">IFERROR(C118/D118*1000,"")</f>
        <v/>
      </c>
      <c r="J118" s="15" t="str">
        <f aca="false">IFERROR(F118/E118,"")</f>
        <v/>
      </c>
      <c r="K118" s="37" t="str">
        <f aca="false">IFERROR(C118/F118,"")</f>
        <v/>
      </c>
      <c r="L118" s="12"/>
      <c r="M118" s="15" t="str">
        <f aca="false">IF(L118="","",IFERROR(L118/F118,""))</f>
        <v/>
      </c>
      <c r="N118" s="12"/>
      <c r="O118" s="15" t="str">
        <f aca="false">IF(N118="","",IFERROR(N118/L118,""))</f>
        <v/>
      </c>
      <c r="P118" s="37" t="str">
        <f aca="false">IF(N118=0,"",IFERROR(C118/N118,""))</f>
        <v/>
      </c>
      <c r="Q118" s="38" t="str">
        <f aca="false">IF(N118=0,"",IFERROR(IF(C118/N118&lt;=用語集!$B$22,"◎ 許容内","✗ 超過"),"—"))</f>
        <v/>
      </c>
      <c r="R118" s="39" t="str">
        <f aca="false">IFERROR(用語集!$B$22/P118,"")</f>
        <v/>
      </c>
    </row>
    <row r="119" customFormat="false" ht="15" hidden="false" customHeight="false" outlineLevel="0" collapsed="false">
      <c r="A119" s="34" t="s">
        <v>61</v>
      </c>
      <c r="B119" s="35" t="s">
        <v>62</v>
      </c>
      <c r="C119" s="40" t="s">
        <v>67</v>
      </c>
      <c r="D119" s="13"/>
      <c r="E119" s="13"/>
      <c r="F119" s="13"/>
      <c r="G119" s="15" t="str">
        <f aca="false">IFERROR(E119/D119,"")</f>
        <v/>
      </c>
      <c r="H119" s="37" t="str">
        <f aca="false">IFERROR(C119/E119,"")</f>
        <v/>
      </c>
      <c r="I119" s="37" t="str">
        <f aca="false">IFERROR(C119/D119*1000,"")</f>
        <v/>
      </c>
      <c r="J119" s="15" t="str">
        <f aca="false">IFERROR(F119/E119,"")</f>
        <v/>
      </c>
      <c r="K119" s="37" t="str">
        <f aca="false">IFERROR(C119/F119,"")</f>
        <v/>
      </c>
      <c r="L119" s="12"/>
      <c r="M119" s="15" t="str">
        <f aca="false">IF(L119="","",IFERROR(L119/F119,""))</f>
        <v/>
      </c>
      <c r="N119" s="12"/>
      <c r="O119" s="15" t="str">
        <f aca="false">IF(N119="","",IFERROR(N119/L119,""))</f>
        <v/>
      </c>
      <c r="P119" s="37" t="str">
        <f aca="false">IF(N119=0,"",IFERROR(C119/N119,""))</f>
        <v/>
      </c>
      <c r="Q119" s="38" t="str">
        <f aca="false">IF(N119=0,"",IFERROR(IF(C119/N119&lt;=用語集!$B$22,"◎ 許容内","✗ 超過"),"—"))</f>
        <v/>
      </c>
      <c r="R119" s="39" t="str">
        <f aca="false">IFERROR(用語集!$B$22/P119,"")</f>
        <v/>
      </c>
    </row>
    <row r="120" customFormat="false" ht="15" hidden="false" customHeight="false" outlineLevel="0" collapsed="false">
      <c r="A120" s="34" t="s">
        <v>63</v>
      </c>
      <c r="B120" s="35" t="s">
        <v>64</v>
      </c>
      <c r="C120" s="40" t="s">
        <v>67</v>
      </c>
      <c r="D120" s="13"/>
      <c r="E120" s="13"/>
      <c r="F120" s="13"/>
      <c r="G120" s="15" t="str">
        <f aca="false">IFERROR(E120/D120,"")</f>
        <v/>
      </c>
      <c r="H120" s="37" t="str">
        <f aca="false">IFERROR(C120/E120,"")</f>
        <v/>
      </c>
      <c r="I120" s="37" t="str">
        <f aca="false">IFERROR(C120/D120*1000,"")</f>
        <v/>
      </c>
      <c r="J120" s="15" t="str">
        <f aca="false">IFERROR(F120/E120,"")</f>
        <v/>
      </c>
      <c r="K120" s="37" t="str">
        <f aca="false">IFERROR(C120/F120,"")</f>
        <v/>
      </c>
      <c r="L120" s="12"/>
      <c r="M120" s="15" t="str">
        <f aca="false">IF(L120="","",IFERROR(L120/F120,""))</f>
        <v/>
      </c>
      <c r="N120" s="12"/>
      <c r="O120" s="15" t="str">
        <f aca="false">IF(N120="","",IFERROR(N120/L120,""))</f>
        <v/>
      </c>
      <c r="P120" s="37" t="str">
        <f aca="false">IF(N120=0,"",IFERROR(C120/N120,""))</f>
        <v/>
      </c>
      <c r="Q120" s="38" t="str">
        <f aca="false">IF(N120=0,"",IFERROR(IF(C120/N120&lt;=用語集!$B$22,"◎ 許容内","✗ 超過"),"—"))</f>
        <v/>
      </c>
      <c r="R120" s="39" t="str">
        <f aca="false">IFERROR(用語集!$B$22/P120,"")</f>
        <v/>
      </c>
    </row>
    <row r="121" customFormat="false" ht="15" hidden="false" customHeight="false" outlineLevel="0" collapsed="false">
      <c r="A121" s="34" t="s">
        <v>65</v>
      </c>
      <c r="B121" s="35" t="s">
        <v>66</v>
      </c>
      <c r="C121" s="40" t="s">
        <v>67</v>
      </c>
      <c r="D121" s="13"/>
      <c r="E121" s="13"/>
      <c r="F121" s="13"/>
      <c r="G121" s="15" t="str">
        <f aca="false">IFERROR(E121/D121,"")</f>
        <v/>
      </c>
      <c r="H121" s="37" t="str">
        <f aca="false">IFERROR(C121/E121,"")</f>
        <v/>
      </c>
      <c r="I121" s="37" t="str">
        <f aca="false">IFERROR(C121/D121*1000,"")</f>
        <v/>
      </c>
      <c r="J121" s="15" t="str">
        <f aca="false">IFERROR(F121/E121,"")</f>
        <v/>
      </c>
      <c r="K121" s="37" t="str">
        <f aca="false">IFERROR(C121/F121,"")</f>
        <v/>
      </c>
      <c r="L121" s="12"/>
      <c r="M121" s="15" t="str">
        <f aca="false">IF(L121="","",IFERROR(L121/F121,""))</f>
        <v/>
      </c>
      <c r="N121" s="12"/>
      <c r="O121" s="15" t="str">
        <f aca="false">IF(N121="","",IFERROR(N121/L121,""))</f>
        <v/>
      </c>
      <c r="P121" s="37" t="str">
        <f aca="false">IF(N121=0,"",IFERROR(C121/N121,""))</f>
        <v/>
      </c>
      <c r="Q121" s="38" t="str">
        <f aca="false">IF(N121=0,"",IFERROR(IF(C121/N121&lt;=用語集!$B$22,"◎ 許容内","✗ 超過"),"—"))</f>
        <v/>
      </c>
      <c r="R121" s="39" t="str">
        <f aca="false">IFERROR(用語集!$B$22/P121,"")</f>
        <v/>
      </c>
    </row>
    <row r="122" customFormat="false" ht="15" hidden="false" customHeight="false" outlineLevel="0" collapsed="false">
      <c r="A122" s="34" t="s">
        <v>68</v>
      </c>
      <c r="B122" s="35" t="s">
        <v>69</v>
      </c>
      <c r="C122" s="40" t="s">
        <v>67</v>
      </c>
      <c r="D122" s="13"/>
      <c r="E122" s="13"/>
      <c r="F122" s="13"/>
      <c r="G122" s="15" t="str">
        <f aca="false">IFERROR(E122/D122,"")</f>
        <v/>
      </c>
      <c r="H122" s="37" t="str">
        <f aca="false">IFERROR(C122/E122,"")</f>
        <v/>
      </c>
      <c r="I122" s="37" t="str">
        <f aca="false">IFERROR(C122/D122*1000,"")</f>
        <v/>
      </c>
      <c r="J122" s="15" t="str">
        <f aca="false">IFERROR(F122/E122,"")</f>
        <v/>
      </c>
      <c r="K122" s="37" t="str">
        <f aca="false">IFERROR(C122/F122,"")</f>
        <v/>
      </c>
      <c r="L122" s="12"/>
      <c r="M122" s="15" t="str">
        <f aca="false">IF(L122="","",IFERROR(L122/F122,""))</f>
        <v/>
      </c>
      <c r="N122" s="12"/>
      <c r="O122" s="15" t="str">
        <f aca="false">IF(N122="","",IFERROR(N122/L122,""))</f>
        <v/>
      </c>
      <c r="P122" s="37" t="str">
        <f aca="false">IF(N122=0,"",IFERROR(C122/N122,""))</f>
        <v/>
      </c>
      <c r="Q122" s="38" t="str">
        <f aca="false">IF(N122=0,"",IFERROR(IF(C122/N122&lt;=用語集!$B$22,"◎ 許容内","✗ 超過"),"—"))</f>
        <v/>
      </c>
      <c r="R122" s="39" t="str">
        <f aca="false">IFERROR(用語集!$B$22/P122,"")</f>
        <v/>
      </c>
    </row>
    <row r="123" customFormat="false" ht="15" hidden="false" customHeight="false" outlineLevel="0" collapsed="false">
      <c r="A123" s="34" t="s">
        <v>70</v>
      </c>
      <c r="B123" s="35" t="s">
        <v>71</v>
      </c>
      <c r="C123" s="36" t="n">
        <v>270</v>
      </c>
      <c r="D123" s="12" t="n">
        <v>105</v>
      </c>
      <c r="E123" s="12" t="n">
        <v>16</v>
      </c>
      <c r="F123" s="12" t="n">
        <v>0</v>
      </c>
      <c r="G123" s="15" t="n">
        <f aca="false">IFERROR(E123/D123,"")</f>
        <v>0.152380952380952</v>
      </c>
      <c r="H123" s="37" t="n">
        <f aca="false">IFERROR(C123/E123,"")</f>
        <v>16.875</v>
      </c>
      <c r="I123" s="37" t="n">
        <f aca="false">IFERROR(C123/D123*1000,"")</f>
        <v>2571.42857142857</v>
      </c>
      <c r="J123" s="15" t="n">
        <f aca="false">IFERROR(F123/E123,"")</f>
        <v>0</v>
      </c>
      <c r="K123" s="37" t="str">
        <f aca="false">IFERROR(C123/F123,"")</f>
        <v/>
      </c>
      <c r="L123" s="12"/>
      <c r="M123" s="15" t="str">
        <f aca="false">IF(L123="","",IFERROR(L123/F123,""))</f>
        <v/>
      </c>
      <c r="N123" s="12"/>
      <c r="O123" s="15" t="str">
        <f aca="false">IF(N123="","",IFERROR(N123/L123,""))</f>
        <v/>
      </c>
      <c r="P123" s="37" t="str">
        <f aca="false">IF(N123=0,"",IFERROR(C123/N123,""))</f>
        <v/>
      </c>
      <c r="Q123" s="38" t="str">
        <f aca="false">IF(N123=0,"",IFERROR(IF(C123/N123&lt;=用語集!$B$22,"◎ 許容内","✗ 超過"),"—"))</f>
        <v/>
      </c>
      <c r="R123" s="39" t="str">
        <f aca="false">IFERROR(用語集!$B$22/P123,"")</f>
        <v/>
      </c>
    </row>
    <row r="124" customFormat="false" ht="15" hidden="false" customHeight="false" outlineLevel="0" collapsed="false">
      <c r="A124" s="34" t="s">
        <v>72</v>
      </c>
      <c r="B124" s="35" t="s">
        <v>73</v>
      </c>
      <c r="C124" s="36" t="n">
        <v>18825</v>
      </c>
      <c r="D124" s="12" t="n">
        <v>4177</v>
      </c>
      <c r="E124" s="12" t="n">
        <v>257</v>
      </c>
      <c r="F124" s="12" t="n">
        <v>13</v>
      </c>
      <c r="G124" s="15" t="n">
        <f aca="false">IFERROR(E124/D124,"")</f>
        <v>0.0615274120181949</v>
      </c>
      <c r="H124" s="37" t="n">
        <f aca="false">IFERROR(C124/E124,"")</f>
        <v>73.2490272373541</v>
      </c>
      <c r="I124" s="37" t="n">
        <f aca="false">IFERROR(C124/D124*1000,"")</f>
        <v>4506.82307876466</v>
      </c>
      <c r="J124" s="15" t="n">
        <f aca="false">IFERROR(F124/E124,"")</f>
        <v>0.0505836575875486</v>
      </c>
      <c r="K124" s="37" t="n">
        <f aca="false">IFERROR(C124/F124,"")</f>
        <v>1448.07692307692</v>
      </c>
      <c r="L124" s="12" t="n">
        <v>1</v>
      </c>
      <c r="M124" s="15" t="n">
        <f aca="false">IF(L124="","",IFERROR(L124/F124,""))</f>
        <v>0.0769230769230769</v>
      </c>
      <c r="N124" s="12"/>
      <c r="O124" s="15" t="str">
        <f aca="false">IF(N124="","",IFERROR(N124/L124,""))</f>
        <v/>
      </c>
      <c r="P124" s="37" t="str">
        <f aca="false">IF(N124=0,"",IFERROR(C124/N124,""))</f>
        <v/>
      </c>
      <c r="Q124" s="38" t="str">
        <f aca="false">IF(N124=0,"",IFERROR(IF(C124/N124&lt;=用語集!$B$22,"◎ 許容内","✗ 超過"),"—"))</f>
        <v/>
      </c>
      <c r="R124" s="39" t="str">
        <f aca="false">IFERROR(用語集!$B$22/P124,"")</f>
        <v/>
      </c>
    </row>
    <row r="125" customFormat="false" ht="15" hidden="false" customHeight="false" outlineLevel="0" collapsed="false">
      <c r="A125" s="34" t="s">
        <v>74</v>
      </c>
      <c r="B125" s="35" t="s">
        <v>75</v>
      </c>
      <c r="C125" s="36" t="n">
        <v>43511</v>
      </c>
      <c r="D125" s="12" t="n">
        <v>23464</v>
      </c>
      <c r="E125" s="12" t="n">
        <v>639</v>
      </c>
      <c r="F125" s="12" t="n">
        <v>23</v>
      </c>
      <c r="G125" s="15" t="n">
        <f aca="false">IFERROR(E125/D125,"")</f>
        <v>0.0272332083191272</v>
      </c>
      <c r="H125" s="37" t="n">
        <f aca="false">IFERROR(C125/E125,"")</f>
        <v>68.0923317683881</v>
      </c>
      <c r="I125" s="37" t="n">
        <f aca="false">IFERROR(C125/D125*1000,"")</f>
        <v>1854.37265598363</v>
      </c>
      <c r="J125" s="15" t="n">
        <f aca="false">IFERROR(F125/E125,"")</f>
        <v>0.0359937402190923</v>
      </c>
      <c r="K125" s="37" t="n">
        <f aca="false">IFERROR(C125/F125,"")</f>
        <v>1891.78260869565</v>
      </c>
      <c r="L125" s="12"/>
      <c r="M125" s="15" t="str">
        <f aca="false">IF(L125="","",IFERROR(L125/F125,""))</f>
        <v/>
      </c>
      <c r="N125" s="12"/>
      <c r="O125" s="15" t="str">
        <f aca="false">IF(N125="","",IFERROR(N125/L125,""))</f>
        <v/>
      </c>
      <c r="P125" s="37" t="str">
        <f aca="false">IF(N125=0,"",IFERROR(C125/N125,""))</f>
        <v/>
      </c>
      <c r="Q125" s="38" t="str">
        <f aca="false">IF(N125=0,"",IFERROR(IF(C125/N125&lt;=用語集!$B$22,"◎ 許容内","✗ 超過"),"—"))</f>
        <v/>
      </c>
      <c r="R125" s="39" t="str">
        <f aca="false">IFERROR(用語集!$B$22/P125,"")</f>
        <v/>
      </c>
    </row>
    <row r="126" customFormat="false" ht="15" hidden="false" customHeight="false" outlineLevel="0" collapsed="false">
      <c r="A126" s="34" t="s">
        <v>76</v>
      </c>
      <c r="B126" s="35" t="s">
        <v>77</v>
      </c>
      <c r="C126" s="36" t="n">
        <v>47766</v>
      </c>
      <c r="D126" s="12" t="n">
        <v>14307</v>
      </c>
      <c r="E126" s="12" t="n">
        <v>461</v>
      </c>
      <c r="F126" s="12" t="n">
        <v>30</v>
      </c>
      <c r="G126" s="15" t="n">
        <f aca="false">IFERROR(E126/D126,"")</f>
        <v>0.0322219892360383</v>
      </c>
      <c r="H126" s="37" t="n">
        <f aca="false">IFERROR(C126/E126,"")</f>
        <v>103.613882863341</v>
      </c>
      <c r="I126" s="37" t="n">
        <f aca="false">IFERROR(C126/D126*1000,"")</f>
        <v>3338.64541832669</v>
      </c>
      <c r="J126" s="15" t="n">
        <f aca="false">IFERROR(F126/E126,"")</f>
        <v>0.0650759219088937</v>
      </c>
      <c r="K126" s="37" t="n">
        <f aca="false">IFERROR(C126/F126,"")</f>
        <v>1592.2</v>
      </c>
      <c r="L126" s="12"/>
      <c r="M126" s="15" t="str">
        <f aca="false">IF(L126="","",IFERROR(L126/F126,""))</f>
        <v/>
      </c>
      <c r="N126" s="12"/>
      <c r="O126" s="15" t="str">
        <f aca="false">IF(N126="","",IFERROR(N126/L126,""))</f>
        <v/>
      </c>
      <c r="P126" s="37" t="str">
        <f aca="false">IF(N126=0,"",IFERROR(C126/N126,""))</f>
        <v/>
      </c>
      <c r="Q126" s="38" t="str">
        <f aca="false">IF(N126=0,"",IFERROR(IF(C126/N126&lt;=用語集!$B$22,"◎ 許容内","✗ 超過"),"—"))</f>
        <v/>
      </c>
      <c r="R126" s="39" t="str">
        <f aca="false">IFERROR(用語集!$B$22/P126,"")</f>
        <v/>
      </c>
    </row>
    <row r="127" customFormat="false" ht="15" hidden="false" customHeight="false" outlineLevel="0" collapsed="false">
      <c r="A127" s="34" t="s">
        <v>78</v>
      </c>
      <c r="B127" s="35" t="s">
        <v>79</v>
      </c>
      <c r="C127" s="41" t="n">
        <f aca="false">IF(COUNTIFS(日次入力!$A$4:$A$1500,"&gt;="&amp;DATE(2026,6,9),日次入力!$A$4:$A$1500,"&lt;="&amp;DATE(2026,6,15),日次入力!$C$4:$C$1500,"MetaClaude")=0,"",SUMIFS(日次入力!$D$4:$D$1500,日次入力!$A$4:$A$1500,"&gt;="&amp;DATE(2026,6,9),日次入力!$A$4:$A$1500,"&lt;="&amp;DATE(2026,6,15),日次入力!$C$4:$C$1500,"MetaClaude"))</f>
        <v>40922</v>
      </c>
      <c r="D127" s="42" t="n">
        <f aca="false">IF(COUNTIFS(日次入力!$A$4:$A$1500,"&gt;="&amp;DATE(2026,6,9),日次入力!$A$4:$A$1500,"&lt;="&amp;DATE(2026,6,15),日次入力!$C$4:$C$1500,"MetaClaude")=0,"",SUMIFS(日次入力!$E$4:$E$1500,日次入力!$A$4:$A$1500,"&gt;="&amp;DATE(2026,6,9),日次入力!$A$4:$A$1500,"&lt;="&amp;DATE(2026,6,15),日次入力!$C$4:$C$1500,"MetaClaude"))</f>
        <v>16122</v>
      </c>
      <c r="E127" s="42" t="n">
        <f aca="false">IF(COUNTIFS(日次入力!$A$4:$A$1500,"&gt;="&amp;DATE(2026,6,9),日次入力!$A$4:$A$1500,"&lt;="&amp;DATE(2026,6,15),日次入力!$C$4:$C$1500,"MetaClaude")=0,"",SUMIFS(日次入力!$F$4:$F$1500,日次入力!$A$4:$A$1500,"&gt;="&amp;DATE(2026,6,9),日次入力!$A$4:$A$1500,"&lt;="&amp;DATE(2026,6,15),日次入力!$C$4:$C$1500,"MetaClaude"))</f>
        <v>466</v>
      </c>
      <c r="F127" s="42" t="n">
        <f aca="false">IF(COUNTIFS(日次入力!$A$4:$A$1500,"&gt;="&amp;DATE(2026,6,9),日次入力!$A$4:$A$1500,"&lt;="&amp;DATE(2026,6,15),日次入力!$C$4:$C$1500,"MetaClaude")=0,"",SUMIFS(日次入力!$G$4:$G$1500,日次入力!$A$4:$A$1500,"&gt;="&amp;DATE(2026,6,9),日次入力!$A$4:$A$1500,"&lt;="&amp;DATE(2026,6,15),日次入力!$C$4:$C$1500,"MetaClaude"))</f>
        <v>31</v>
      </c>
      <c r="G127" s="15" t="n">
        <f aca="false">IFERROR(E127/D127,"")</f>
        <v>0.0289046024066493</v>
      </c>
      <c r="H127" s="37" t="n">
        <f aca="false">IFERROR(C127/E127,"")</f>
        <v>87.8154506437768</v>
      </c>
      <c r="I127" s="37" t="n">
        <f aca="false">IFERROR(C127/D127*1000,"")</f>
        <v>2538.2706860191</v>
      </c>
      <c r="J127" s="15" t="n">
        <f aca="false">IFERROR(F127/E127,"")</f>
        <v>0.0665236051502146</v>
      </c>
      <c r="K127" s="37" t="n">
        <f aca="false">IFERROR(C127/F127,"")</f>
        <v>1320.06451612903</v>
      </c>
      <c r="L127" s="42" t="n">
        <f aca="false">IF(COUNTIFS(日次入力!$A$4:$A$1500,"&gt;="&amp;DATE(2026,6,9),日次入力!$A$4:$A$1500,"&lt;="&amp;DATE(2026,6,15),日次入力!$C$4:$C$1500,"MetaClaude")=0,"",SUMIFS(日次入力!$H$4:$H$1500,日次入力!$A$4:$A$1500,"&gt;="&amp;DATE(2026,6,9),日次入力!$A$4:$A$1500,"&lt;="&amp;DATE(2026,6,15),日次入力!$C$4:$C$1500,"MetaClaude"))</f>
        <v>0</v>
      </c>
      <c r="M127" s="15" t="n">
        <f aca="false">IF(L127="","",IFERROR(L127/F127,""))</f>
        <v>0</v>
      </c>
      <c r="N127" s="42" t="n">
        <f aca="false">IF(COUNTIFS(日次入力!$A$4:$A$1500,"&gt;="&amp;DATE(2026,6,9),日次入力!$A$4:$A$1500,"&lt;="&amp;DATE(2026,6,15),日次入力!$C$4:$C$1500,"MetaClaude")=0,"",SUMIFS(日次入力!$I$4:$I$1500,日次入力!$A$4:$A$1500,"&gt;="&amp;DATE(2026,6,9),日次入力!$A$4:$A$1500,"&lt;="&amp;DATE(2026,6,15),日次入力!$C$4:$C$1500,"MetaClaude"))</f>
        <v>0</v>
      </c>
      <c r="O127" s="15" t="str">
        <f aca="false">IF(N127="","",IFERROR(N127/L127,""))</f>
        <v/>
      </c>
      <c r="P127" s="37" t="str">
        <f aca="false">IF(N127=0,"",IFERROR(C127/N127,""))</f>
        <v/>
      </c>
      <c r="Q127" s="38" t="str">
        <f aca="false">IF(N127=0,"",IFERROR(IF(C127/N127&lt;=用語集!$B$22,"◎ 許容内","✗ 超過"),"—"))</f>
        <v/>
      </c>
      <c r="R127" s="39" t="str">
        <f aca="false">IFERROR(用語集!$B$22/P127,"")</f>
        <v/>
      </c>
    </row>
    <row r="128" customFormat="false" ht="15" hidden="false" customHeight="false" outlineLevel="0" collapsed="false">
      <c r="A128" s="34" t="s">
        <v>80</v>
      </c>
      <c r="B128" s="35" t="s">
        <v>81</v>
      </c>
      <c r="C128" s="41" t="n">
        <f aca="false">IF(COUNTIFS(日次入力!$A$4:$A$1500,"&gt;="&amp;DATE(2026,6,16),日次入力!$A$4:$A$1500,"&lt;="&amp;DATE(2026,6,22),日次入力!$C$4:$C$1500,"MetaClaude")=0,"",SUMIFS(日次入力!$D$4:$D$1500,日次入力!$A$4:$A$1500,"&gt;="&amp;DATE(2026,6,16),日次入力!$A$4:$A$1500,"&lt;="&amp;DATE(2026,6,22),日次入力!$C$4:$C$1500,"MetaClaude"))</f>
        <v>39028</v>
      </c>
      <c r="D128" s="42" t="n">
        <f aca="false">IF(COUNTIFS(日次入力!$A$4:$A$1500,"&gt;="&amp;DATE(2026,6,16),日次入力!$A$4:$A$1500,"&lt;="&amp;DATE(2026,6,22),日次入力!$C$4:$C$1500,"MetaClaude")=0,"",SUMIFS(日次入力!$E$4:$E$1500,日次入力!$A$4:$A$1500,"&gt;="&amp;DATE(2026,6,16),日次入力!$A$4:$A$1500,"&lt;="&amp;DATE(2026,6,22),日次入力!$C$4:$C$1500,"MetaClaude"))</f>
        <v>15864</v>
      </c>
      <c r="E128" s="42" t="n">
        <f aca="false">IF(COUNTIFS(日次入力!$A$4:$A$1500,"&gt;="&amp;DATE(2026,6,16),日次入力!$A$4:$A$1500,"&lt;="&amp;DATE(2026,6,22),日次入力!$C$4:$C$1500,"MetaClaude")=0,"",SUMIFS(日次入力!$F$4:$F$1500,日次入力!$A$4:$A$1500,"&gt;="&amp;DATE(2026,6,16),日次入力!$A$4:$A$1500,"&lt;="&amp;DATE(2026,6,22),日次入力!$C$4:$C$1500,"MetaClaude"))</f>
        <v>383</v>
      </c>
      <c r="F128" s="42" t="n">
        <f aca="false">IF(COUNTIFS(日次入力!$A$4:$A$1500,"&gt;="&amp;DATE(2026,6,16),日次入力!$A$4:$A$1500,"&lt;="&amp;DATE(2026,6,22),日次入力!$C$4:$C$1500,"MetaClaude")=0,"",SUMIFS(日次入力!$G$4:$G$1500,日次入力!$A$4:$A$1500,"&gt;="&amp;DATE(2026,6,16),日次入力!$A$4:$A$1500,"&lt;="&amp;DATE(2026,6,22),日次入力!$C$4:$C$1500,"MetaClaude"))</f>
        <v>27</v>
      </c>
      <c r="G128" s="15" t="n">
        <f aca="false">IFERROR(E128/D128,"")</f>
        <v>0.0241427130610187</v>
      </c>
      <c r="H128" s="37" t="n">
        <f aca="false">IFERROR(C128/E128,"")</f>
        <v>101.900783289817</v>
      </c>
      <c r="I128" s="37" t="n">
        <f aca="false">IFERROR(C128/D128*1000,"")</f>
        <v>2460.1613716591</v>
      </c>
      <c r="J128" s="15" t="n">
        <f aca="false">IFERROR(F128/E128,"")</f>
        <v>0.0704960835509138</v>
      </c>
      <c r="K128" s="37" t="n">
        <f aca="false">IFERROR(C128/F128,"")</f>
        <v>1445.48148148148</v>
      </c>
      <c r="L128" s="42" t="n">
        <f aca="false">IF(COUNTIFS(日次入力!$A$4:$A$1500,"&gt;="&amp;DATE(2026,6,16),日次入力!$A$4:$A$1500,"&lt;="&amp;DATE(2026,6,22),日次入力!$C$4:$C$1500,"MetaClaude")=0,"",SUMIFS(日次入力!$H$4:$H$1500,日次入力!$A$4:$A$1500,"&gt;="&amp;DATE(2026,6,16),日次入力!$A$4:$A$1500,"&lt;="&amp;DATE(2026,6,22),日次入力!$C$4:$C$1500,"MetaClaude"))</f>
        <v>0</v>
      </c>
      <c r="M128" s="15" t="n">
        <f aca="false">IF(L128="","",IFERROR(L128/F128,""))</f>
        <v>0</v>
      </c>
      <c r="N128" s="42" t="n">
        <f aca="false">IF(COUNTIFS(日次入力!$A$4:$A$1500,"&gt;="&amp;DATE(2026,6,16),日次入力!$A$4:$A$1500,"&lt;="&amp;DATE(2026,6,22),日次入力!$C$4:$C$1500,"MetaClaude")=0,"",SUMIFS(日次入力!$I$4:$I$1500,日次入力!$A$4:$A$1500,"&gt;="&amp;DATE(2026,6,16),日次入力!$A$4:$A$1500,"&lt;="&amp;DATE(2026,6,22),日次入力!$C$4:$C$1500,"MetaClaude"))</f>
        <v>0</v>
      </c>
      <c r="O128" s="15" t="str">
        <f aca="false">IF(N128="","",IFERROR(N128/L128,""))</f>
        <v/>
      </c>
      <c r="P128" s="37" t="str">
        <f aca="false">IF(N128=0,"",IFERROR(C128/N128,""))</f>
        <v/>
      </c>
      <c r="Q128" s="38" t="str">
        <f aca="false">IF(N128=0,"",IFERROR(IF(C128/N128&lt;=用語集!$B$22,"◎ 許容内","✗ 超過"),"—"))</f>
        <v/>
      </c>
      <c r="R128" s="39" t="str">
        <f aca="false">IFERROR(用語集!$B$22/P128,"")</f>
        <v/>
      </c>
    </row>
    <row r="129" customFormat="false" ht="15" hidden="false" customHeight="false" outlineLevel="0" collapsed="false">
      <c r="A129" s="34" t="s">
        <v>82</v>
      </c>
      <c r="B129" s="35" t="s">
        <v>83</v>
      </c>
      <c r="C129" s="41" t="str">
        <f aca="false">IF(COUNTIFS(日次入力!$A$4:$A$1500,"&gt;="&amp;DATE(2026,6,23),日次入力!$A$4:$A$1500,"&lt;="&amp;DATE(2026,6,29),日次入力!$C$4:$C$1500,"MetaClaude")=0,"",SUMIFS(日次入力!$D$4:$D$1500,日次入力!$A$4:$A$1500,"&gt;="&amp;DATE(2026,6,23),日次入力!$A$4:$A$1500,"&lt;="&amp;DATE(2026,6,29),日次入力!$C$4:$C$1500,"MetaClaude"))</f>
        <v/>
      </c>
      <c r="D129" s="42" t="str">
        <f aca="false">IF(COUNTIFS(日次入力!$A$4:$A$1500,"&gt;="&amp;DATE(2026,6,23),日次入力!$A$4:$A$1500,"&lt;="&amp;DATE(2026,6,29),日次入力!$C$4:$C$1500,"MetaClaude")=0,"",SUMIFS(日次入力!$E$4:$E$1500,日次入力!$A$4:$A$1500,"&gt;="&amp;DATE(2026,6,23),日次入力!$A$4:$A$1500,"&lt;="&amp;DATE(2026,6,29),日次入力!$C$4:$C$1500,"MetaClaude"))</f>
        <v/>
      </c>
      <c r="E129" s="42" t="str">
        <f aca="false">IF(COUNTIFS(日次入力!$A$4:$A$1500,"&gt;="&amp;DATE(2026,6,23),日次入力!$A$4:$A$1500,"&lt;="&amp;DATE(2026,6,29),日次入力!$C$4:$C$1500,"MetaClaude")=0,"",SUMIFS(日次入力!$F$4:$F$1500,日次入力!$A$4:$A$1500,"&gt;="&amp;DATE(2026,6,23),日次入力!$A$4:$A$1500,"&lt;="&amp;DATE(2026,6,29),日次入力!$C$4:$C$1500,"MetaClaude"))</f>
        <v/>
      </c>
      <c r="F129" s="42" t="str">
        <f aca="false">IF(COUNTIFS(日次入力!$A$4:$A$1500,"&gt;="&amp;DATE(2026,6,23),日次入力!$A$4:$A$1500,"&lt;="&amp;DATE(2026,6,29),日次入力!$C$4:$C$1500,"MetaClaude")=0,"",SUMIFS(日次入力!$G$4:$G$1500,日次入力!$A$4:$A$1500,"&gt;="&amp;DATE(2026,6,23),日次入力!$A$4:$A$1500,"&lt;="&amp;DATE(2026,6,29),日次入力!$C$4:$C$1500,"MetaClaude"))</f>
        <v/>
      </c>
      <c r="G129" s="15" t="str">
        <f aca="false">IFERROR(E129/D129,"")</f>
        <v/>
      </c>
      <c r="H129" s="37" t="str">
        <f aca="false">IFERROR(C129/E129,"")</f>
        <v/>
      </c>
      <c r="I129" s="37" t="str">
        <f aca="false">IFERROR(C129/D129*1000,"")</f>
        <v/>
      </c>
      <c r="J129" s="15" t="str">
        <f aca="false">IFERROR(F129/E129,"")</f>
        <v/>
      </c>
      <c r="K129" s="37" t="str">
        <f aca="false">IFERROR(C129/F129,"")</f>
        <v/>
      </c>
      <c r="L129" s="42" t="str">
        <f aca="false">IF(COUNTIFS(日次入力!$A$4:$A$1500,"&gt;="&amp;DATE(2026,6,23),日次入力!$A$4:$A$1500,"&lt;="&amp;DATE(2026,6,29),日次入力!$C$4:$C$1500,"MetaClaude")=0,"",SUMIFS(日次入力!$H$4:$H$1500,日次入力!$A$4:$A$1500,"&gt;="&amp;DATE(2026,6,23),日次入力!$A$4:$A$1500,"&lt;="&amp;DATE(2026,6,29),日次入力!$C$4:$C$1500,"MetaClaude"))</f>
        <v/>
      </c>
      <c r="M129" s="15" t="str">
        <f aca="false">IF(L129="","",IFERROR(L129/F129,""))</f>
        <v/>
      </c>
      <c r="N129" s="42" t="str">
        <f aca="false">IF(COUNTIFS(日次入力!$A$4:$A$1500,"&gt;="&amp;DATE(2026,6,23),日次入力!$A$4:$A$1500,"&lt;="&amp;DATE(2026,6,29),日次入力!$C$4:$C$1500,"MetaClaude")=0,"",SUMIFS(日次入力!$I$4:$I$1500,日次入力!$A$4:$A$1500,"&gt;="&amp;DATE(2026,6,23),日次入力!$A$4:$A$1500,"&lt;="&amp;DATE(2026,6,29),日次入力!$C$4:$C$1500,"MetaClaude"))</f>
        <v/>
      </c>
      <c r="O129" s="15" t="str">
        <f aca="false">IF(N129="","",IFERROR(N129/L129,""))</f>
        <v/>
      </c>
      <c r="P129" s="37" t="str">
        <f aca="false">IF(N129=0,"",IFERROR(C129/N129,""))</f>
        <v/>
      </c>
      <c r="Q129" s="38" t="str">
        <f aca="false">IF(N129=0,"",IFERROR(IF(C129/N129&lt;=用語集!$B$22,"◎ 許容内","✗ 超過"),"—"))</f>
        <v>—</v>
      </c>
      <c r="R129" s="39" t="str">
        <f aca="false">IFERROR(用語集!$B$22/P129,"")</f>
        <v/>
      </c>
    </row>
    <row r="130" customFormat="false" ht="15" hidden="false" customHeight="false" outlineLevel="0" collapsed="false">
      <c r="A130" s="34" t="s">
        <v>84</v>
      </c>
      <c r="B130" s="35" t="s">
        <v>85</v>
      </c>
      <c r="C130" s="41" t="str">
        <f aca="false">IF(COUNTIFS(日次入力!$A$4:$A$1500,"&gt;="&amp;DATE(2026,6,30),日次入力!$A$4:$A$1500,"&lt;="&amp;DATE(2026,7,6),日次入力!$C$4:$C$1500,"MetaClaude")=0,"",SUMIFS(日次入力!$D$4:$D$1500,日次入力!$A$4:$A$1500,"&gt;="&amp;DATE(2026,6,30),日次入力!$A$4:$A$1500,"&lt;="&amp;DATE(2026,7,6),日次入力!$C$4:$C$1500,"MetaClaude"))</f>
        <v/>
      </c>
      <c r="D130" s="42" t="str">
        <f aca="false">IF(COUNTIFS(日次入力!$A$4:$A$1500,"&gt;="&amp;DATE(2026,6,30),日次入力!$A$4:$A$1500,"&lt;="&amp;DATE(2026,7,6),日次入力!$C$4:$C$1500,"MetaClaude")=0,"",SUMIFS(日次入力!$E$4:$E$1500,日次入力!$A$4:$A$1500,"&gt;="&amp;DATE(2026,6,30),日次入力!$A$4:$A$1500,"&lt;="&amp;DATE(2026,7,6),日次入力!$C$4:$C$1500,"MetaClaude"))</f>
        <v/>
      </c>
      <c r="E130" s="42" t="str">
        <f aca="false">IF(COUNTIFS(日次入力!$A$4:$A$1500,"&gt;="&amp;DATE(2026,6,30),日次入力!$A$4:$A$1500,"&lt;="&amp;DATE(2026,7,6),日次入力!$C$4:$C$1500,"MetaClaude")=0,"",SUMIFS(日次入力!$F$4:$F$1500,日次入力!$A$4:$A$1500,"&gt;="&amp;DATE(2026,6,30),日次入力!$A$4:$A$1500,"&lt;="&amp;DATE(2026,7,6),日次入力!$C$4:$C$1500,"MetaClaude"))</f>
        <v/>
      </c>
      <c r="F130" s="42" t="str">
        <f aca="false">IF(COUNTIFS(日次入力!$A$4:$A$1500,"&gt;="&amp;DATE(2026,6,30),日次入力!$A$4:$A$1500,"&lt;="&amp;DATE(2026,7,6),日次入力!$C$4:$C$1500,"MetaClaude")=0,"",SUMIFS(日次入力!$G$4:$G$1500,日次入力!$A$4:$A$1500,"&gt;="&amp;DATE(2026,6,30),日次入力!$A$4:$A$1500,"&lt;="&amp;DATE(2026,7,6),日次入力!$C$4:$C$1500,"MetaClaude"))</f>
        <v/>
      </c>
      <c r="G130" s="15" t="str">
        <f aca="false">IFERROR(E130/D130,"")</f>
        <v/>
      </c>
      <c r="H130" s="37" t="str">
        <f aca="false">IFERROR(C130/E130,"")</f>
        <v/>
      </c>
      <c r="I130" s="37" t="str">
        <f aca="false">IFERROR(C130/D130*1000,"")</f>
        <v/>
      </c>
      <c r="J130" s="15" t="str">
        <f aca="false">IFERROR(F130/E130,"")</f>
        <v/>
      </c>
      <c r="K130" s="37" t="str">
        <f aca="false">IFERROR(C130/F130,"")</f>
        <v/>
      </c>
      <c r="L130" s="42" t="str">
        <f aca="false">IF(COUNTIFS(日次入力!$A$4:$A$1500,"&gt;="&amp;DATE(2026,6,30),日次入力!$A$4:$A$1500,"&lt;="&amp;DATE(2026,7,6),日次入力!$C$4:$C$1500,"MetaClaude")=0,"",SUMIFS(日次入力!$H$4:$H$1500,日次入力!$A$4:$A$1500,"&gt;="&amp;DATE(2026,6,30),日次入力!$A$4:$A$1500,"&lt;="&amp;DATE(2026,7,6),日次入力!$C$4:$C$1500,"MetaClaude"))</f>
        <v/>
      </c>
      <c r="M130" s="15" t="str">
        <f aca="false">IF(L130="","",IFERROR(L130/F130,""))</f>
        <v/>
      </c>
      <c r="N130" s="42" t="str">
        <f aca="false">IF(COUNTIFS(日次入力!$A$4:$A$1500,"&gt;="&amp;DATE(2026,6,30),日次入力!$A$4:$A$1500,"&lt;="&amp;DATE(2026,7,6),日次入力!$C$4:$C$1500,"MetaClaude")=0,"",SUMIFS(日次入力!$I$4:$I$1500,日次入力!$A$4:$A$1500,"&gt;="&amp;DATE(2026,6,30),日次入力!$A$4:$A$1500,"&lt;="&amp;DATE(2026,7,6),日次入力!$C$4:$C$1500,"MetaClaude"))</f>
        <v/>
      </c>
      <c r="O130" s="15" t="str">
        <f aca="false">IF(N130="","",IFERROR(N130/L130,""))</f>
        <v/>
      </c>
      <c r="P130" s="37" t="str">
        <f aca="false">IF(N130=0,"",IFERROR(C130/N130,""))</f>
        <v/>
      </c>
      <c r="Q130" s="38" t="str">
        <f aca="false">IF(N130=0,"",IFERROR(IF(C130/N130&lt;=用語集!$B$22,"◎ 許容内","✗ 超過"),"—"))</f>
        <v>—</v>
      </c>
      <c r="R130" s="39" t="str">
        <f aca="false">IFERROR(用語集!$B$22/P130,"")</f>
        <v/>
      </c>
    </row>
    <row r="131" customFormat="false" ht="15" hidden="false" customHeight="false" outlineLevel="0" collapsed="false">
      <c r="A131" s="34" t="s">
        <v>86</v>
      </c>
      <c r="B131" s="35" t="s">
        <v>87</v>
      </c>
      <c r="C131" s="41" t="str">
        <f aca="false">IF(COUNTIFS(日次入力!$A$4:$A$1500,"&gt;="&amp;DATE(2026,7,7),日次入力!$A$4:$A$1500,"&lt;="&amp;DATE(2026,7,13),日次入力!$C$4:$C$1500,"MetaClaude")=0,"",SUMIFS(日次入力!$D$4:$D$1500,日次入力!$A$4:$A$1500,"&gt;="&amp;DATE(2026,7,7),日次入力!$A$4:$A$1500,"&lt;="&amp;DATE(2026,7,13),日次入力!$C$4:$C$1500,"MetaClaude"))</f>
        <v/>
      </c>
      <c r="D131" s="42" t="str">
        <f aca="false">IF(COUNTIFS(日次入力!$A$4:$A$1500,"&gt;="&amp;DATE(2026,7,7),日次入力!$A$4:$A$1500,"&lt;="&amp;DATE(2026,7,13),日次入力!$C$4:$C$1500,"MetaClaude")=0,"",SUMIFS(日次入力!$E$4:$E$1500,日次入力!$A$4:$A$1500,"&gt;="&amp;DATE(2026,7,7),日次入力!$A$4:$A$1500,"&lt;="&amp;DATE(2026,7,13),日次入力!$C$4:$C$1500,"MetaClaude"))</f>
        <v/>
      </c>
      <c r="E131" s="42" t="str">
        <f aca="false">IF(COUNTIFS(日次入力!$A$4:$A$1500,"&gt;="&amp;DATE(2026,7,7),日次入力!$A$4:$A$1500,"&lt;="&amp;DATE(2026,7,13),日次入力!$C$4:$C$1500,"MetaClaude")=0,"",SUMIFS(日次入力!$F$4:$F$1500,日次入力!$A$4:$A$1500,"&gt;="&amp;DATE(2026,7,7),日次入力!$A$4:$A$1500,"&lt;="&amp;DATE(2026,7,13),日次入力!$C$4:$C$1500,"MetaClaude"))</f>
        <v/>
      </c>
      <c r="F131" s="42" t="str">
        <f aca="false">IF(COUNTIFS(日次入力!$A$4:$A$1500,"&gt;="&amp;DATE(2026,7,7),日次入力!$A$4:$A$1500,"&lt;="&amp;DATE(2026,7,13),日次入力!$C$4:$C$1500,"MetaClaude")=0,"",SUMIFS(日次入力!$G$4:$G$1500,日次入力!$A$4:$A$1500,"&gt;="&amp;DATE(2026,7,7),日次入力!$A$4:$A$1500,"&lt;="&amp;DATE(2026,7,13),日次入力!$C$4:$C$1500,"MetaClaude"))</f>
        <v/>
      </c>
      <c r="G131" s="15" t="str">
        <f aca="false">IFERROR(E131/D131,"")</f>
        <v/>
      </c>
      <c r="H131" s="37" t="str">
        <f aca="false">IFERROR(C131/E131,"")</f>
        <v/>
      </c>
      <c r="I131" s="37" t="str">
        <f aca="false">IFERROR(C131/D131*1000,"")</f>
        <v/>
      </c>
      <c r="J131" s="15" t="str">
        <f aca="false">IFERROR(F131/E131,"")</f>
        <v/>
      </c>
      <c r="K131" s="37" t="str">
        <f aca="false">IFERROR(C131/F131,"")</f>
        <v/>
      </c>
      <c r="L131" s="42" t="str">
        <f aca="false">IF(COUNTIFS(日次入力!$A$4:$A$1500,"&gt;="&amp;DATE(2026,7,7),日次入力!$A$4:$A$1500,"&lt;="&amp;DATE(2026,7,13),日次入力!$C$4:$C$1500,"MetaClaude")=0,"",SUMIFS(日次入力!$H$4:$H$1500,日次入力!$A$4:$A$1500,"&gt;="&amp;DATE(2026,7,7),日次入力!$A$4:$A$1500,"&lt;="&amp;DATE(2026,7,13),日次入力!$C$4:$C$1500,"MetaClaude"))</f>
        <v/>
      </c>
      <c r="M131" s="15" t="str">
        <f aca="false">IF(L131="","",IFERROR(L131/F131,""))</f>
        <v/>
      </c>
      <c r="N131" s="42" t="str">
        <f aca="false">IF(COUNTIFS(日次入力!$A$4:$A$1500,"&gt;="&amp;DATE(2026,7,7),日次入力!$A$4:$A$1500,"&lt;="&amp;DATE(2026,7,13),日次入力!$C$4:$C$1500,"MetaClaude")=0,"",SUMIFS(日次入力!$I$4:$I$1500,日次入力!$A$4:$A$1500,"&gt;="&amp;DATE(2026,7,7),日次入力!$A$4:$A$1500,"&lt;="&amp;DATE(2026,7,13),日次入力!$C$4:$C$1500,"MetaClaude"))</f>
        <v/>
      </c>
      <c r="O131" s="15" t="str">
        <f aca="false">IF(N131="","",IFERROR(N131/L131,""))</f>
        <v/>
      </c>
      <c r="P131" s="37" t="str">
        <f aca="false">IF(N131=0,"",IFERROR(C131/N131,""))</f>
        <v/>
      </c>
      <c r="Q131" s="38" t="str">
        <f aca="false">IF(N131=0,"",IFERROR(IF(C131/N131&lt;=用語集!$B$22,"◎ 許容内","✗ 超過"),"—"))</f>
        <v>—</v>
      </c>
      <c r="R131" s="39" t="str">
        <f aca="false">IFERROR(用語集!$B$22/P131,"")</f>
        <v/>
      </c>
    </row>
    <row r="132" customFormat="false" ht="15" hidden="false" customHeight="false" outlineLevel="0" collapsed="false">
      <c r="A132" s="34" t="s">
        <v>88</v>
      </c>
      <c r="B132" s="35" t="s">
        <v>89</v>
      </c>
      <c r="C132" s="41" t="str">
        <f aca="false">IF(COUNTIFS(日次入力!$A$4:$A$1500,"&gt;="&amp;DATE(2026,7,14),日次入力!$A$4:$A$1500,"&lt;="&amp;DATE(2026,7,20),日次入力!$C$4:$C$1500,"MetaClaude")=0,"",SUMIFS(日次入力!$D$4:$D$1500,日次入力!$A$4:$A$1500,"&gt;="&amp;DATE(2026,7,14),日次入力!$A$4:$A$1500,"&lt;="&amp;DATE(2026,7,20),日次入力!$C$4:$C$1500,"MetaClaude"))</f>
        <v/>
      </c>
      <c r="D132" s="42" t="str">
        <f aca="false">IF(COUNTIFS(日次入力!$A$4:$A$1500,"&gt;="&amp;DATE(2026,7,14),日次入力!$A$4:$A$1500,"&lt;="&amp;DATE(2026,7,20),日次入力!$C$4:$C$1500,"MetaClaude")=0,"",SUMIFS(日次入力!$E$4:$E$1500,日次入力!$A$4:$A$1500,"&gt;="&amp;DATE(2026,7,14),日次入力!$A$4:$A$1500,"&lt;="&amp;DATE(2026,7,20),日次入力!$C$4:$C$1500,"MetaClaude"))</f>
        <v/>
      </c>
      <c r="E132" s="42" t="str">
        <f aca="false">IF(COUNTIFS(日次入力!$A$4:$A$1500,"&gt;="&amp;DATE(2026,7,14),日次入力!$A$4:$A$1500,"&lt;="&amp;DATE(2026,7,20),日次入力!$C$4:$C$1500,"MetaClaude")=0,"",SUMIFS(日次入力!$F$4:$F$1500,日次入力!$A$4:$A$1500,"&gt;="&amp;DATE(2026,7,14),日次入力!$A$4:$A$1500,"&lt;="&amp;DATE(2026,7,20),日次入力!$C$4:$C$1500,"MetaClaude"))</f>
        <v/>
      </c>
      <c r="F132" s="42" t="str">
        <f aca="false">IF(COUNTIFS(日次入力!$A$4:$A$1500,"&gt;="&amp;DATE(2026,7,14),日次入力!$A$4:$A$1500,"&lt;="&amp;DATE(2026,7,20),日次入力!$C$4:$C$1500,"MetaClaude")=0,"",SUMIFS(日次入力!$G$4:$G$1500,日次入力!$A$4:$A$1500,"&gt;="&amp;DATE(2026,7,14),日次入力!$A$4:$A$1500,"&lt;="&amp;DATE(2026,7,20),日次入力!$C$4:$C$1500,"MetaClaude"))</f>
        <v/>
      </c>
      <c r="G132" s="15" t="str">
        <f aca="false">IFERROR(E132/D132,"")</f>
        <v/>
      </c>
      <c r="H132" s="37" t="str">
        <f aca="false">IFERROR(C132/E132,"")</f>
        <v/>
      </c>
      <c r="I132" s="37" t="str">
        <f aca="false">IFERROR(C132/D132*1000,"")</f>
        <v/>
      </c>
      <c r="J132" s="15" t="str">
        <f aca="false">IFERROR(F132/E132,"")</f>
        <v/>
      </c>
      <c r="K132" s="37" t="str">
        <f aca="false">IFERROR(C132/F132,"")</f>
        <v/>
      </c>
      <c r="L132" s="42" t="str">
        <f aca="false">IF(COUNTIFS(日次入力!$A$4:$A$1500,"&gt;="&amp;DATE(2026,7,14),日次入力!$A$4:$A$1500,"&lt;="&amp;DATE(2026,7,20),日次入力!$C$4:$C$1500,"MetaClaude")=0,"",SUMIFS(日次入力!$H$4:$H$1500,日次入力!$A$4:$A$1500,"&gt;="&amp;DATE(2026,7,14),日次入力!$A$4:$A$1500,"&lt;="&amp;DATE(2026,7,20),日次入力!$C$4:$C$1500,"MetaClaude"))</f>
        <v/>
      </c>
      <c r="M132" s="15" t="str">
        <f aca="false">IF(L132="","",IFERROR(L132/F132,""))</f>
        <v/>
      </c>
      <c r="N132" s="42" t="str">
        <f aca="false">IF(COUNTIFS(日次入力!$A$4:$A$1500,"&gt;="&amp;DATE(2026,7,14),日次入力!$A$4:$A$1500,"&lt;="&amp;DATE(2026,7,20),日次入力!$C$4:$C$1500,"MetaClaude")=0,"",SUMIFS(日次入力!$I$4:$I$1500,日次入力!$A$4:$A$1500,"&gt;="&amp;DATE(2026,7,14),日次入力!$A$4:$A$1500,"&lt;="&amp;DATE(2026,7,20),日次入力!$C$4:$C$1500,"MetaClaude"))</f>
        <v/>
      </c>
      <c r="O132" s="15" t="str">
        <f aca="false">IF(N132="","",IFERROR(N132/L132,""))</f>
        <v/>
      </c>
      <c r="P132" s="37" t="str">
        <f aca="false">IF(N132=0,"",IFERROR(C132/N132,""))</f>
        <v/>
      </c>
      <c r="Q132" s="38" t="str">
        <f aca="false">IF(N132=0,"",IFERROR(IF(C132/N132&lt;=用語集!$B$22,"◎ 許容内","✗ 超過"),"—"))</f>
        <v>—</v>
      </c>
      <c r="R132" s="39" t="str">
        <f aca="false">IFERROR(用語集!$B$22/P132,"")</f>
        <v/>
      </c>
    </row>
    <row r="133" customFormat="false" ht="15" hidden="false" customHeight="false" outlineLevel="0" collapsed="false">
      <c r="A133" s="34" t="s">
        <v>90</v>
      </c>
      <c r="B133" s="35" t="s">
        <v>91</v>
      </c>
      <c r="C133" s="41" t="str">
        <f aca="false">IF(COUNTIFS(日次入力!$A$4:$A$1500,"&gt;="&amp;DATE(2026,7,21),日次入力!$A$4:$A$1500,"&lt;="&amp;DATE(2026,7,27),日次入力!$C$4:$C$1500,"MetaClaude")=0,"",SUMIFS(日次入力!$D$4:$D$1500,日次入力!$A$4:$A$1500,"&gt;="&amp;DATE(2026,7,21),日次入力!$A$4:$A$1500,"&lt;="&amp;DATE(2026,7,27),日次入力!$C$4:$C$1500,"MetaClaude"))</f>
        <v/>
      </c>
      <c r="D133" s="42" t="str">
        <f aca="false">IF(COUNTIFS(日次入力!$A$4:$A$1500,"&gt;="&amp;DATE(2026,7,21),日次入力!$A$4:$A$1500,"&lt;="&amp;DATE(2026,7,27),日次入力!$C$4:$C$1500,"MetaClaude")=0,"",SUMIFS(日次入力!$E$4:$E$1500,日次入力!$A$4:$A$1500,"&gt;="&amp;DATE(2026,7,21),日次入力!$A$4:$A$1500,"&lt;="&amp;DATE(2026,7,27),日次入力!$C$4:$C$1500,"MetaClaude"))</f>
        <v/>
      </c>
      <c r="E133" s="42" t="str">
        <f aca="false">IF(COUNTIFS(日次入力!$A$4:$A$1500,"&gt;="&amp;DATE(2026,7,21),日次入力!$A$4:$A$1500,"&lt;="&amp;DATE(2026,7,27),日次入力!$C$4:$C$1500,"MetaClaude")=0,"",SUMIFS(日次入力!$F$4:$F$1500,日次入力!$A$4:$A$1500,"&gt;="&amp;DATE(2026,7,21),日次入力!$A$4:$A$1500,"&lt;="&amp;DATE(2026,7,27),日次入力!$C$4:$C$1500,"MetaClaude"))</f>
        <v/>
      </c>
      <c r="F133" s="42" t="str">
        <f aca="false">IF(COUNTIFS(日次入力!$A$4:$A$1500,"&gt;="&amp;DATE(2026,7,21),日次入力!$A$4:$A$1500,"&lt;="&amp;DATE(2026,7,27),日次入力!$C$4:$C$1500,"MetaClaude")=0,"",SUMIFS(日次入力!$G$4:$G$1500,日次入力!$A$4:$A$1500,"&gt;="&amp;DATE(2026,7,21),日次入力!$A$4:$A$1500,"&lt;="&amp;DATE(2026,7,27),日次入力!$C$4:$C$1500,"MetaClaude"))</f>
        <v/>
      </c>
      <c r="G133" s="15" t="str">
        <f aca="false">IFERROR(E133/D133,"")</f>
        <v/>
      </c>
      <c r="H133" s="37" t="str">
        <f aca="false">IFERROR(C133/E133,"")</f>
        <v/>
      </c>
      <c r="I133" s="37" t="str">
        <f aca="false">IFERROR(C133/D133*1000,"")</f>
        <v/>
      </c>
      <c r="J133" s="15" t="str">
        <f aca="false">IFERROR(F133/E133,"")</f>
        <v/>
      </c>
      <c r="K133" s="37" t="str">
        <f aca="false">IFERROR(C133/F133,"")</f>
        <v/>
      </c>
      <c r="L133" s="42" t="str">
        <f aca="false">IF(COUNTIFS(日次入力!$A$4:$A$1500,"&gt;="&amp;DATE(2026,7,21),日次入力!$A$4:$A$1500,"&lt;="&amp;DATE(2026,7,27),日次入力!$C$4:$C$1500,"MetaClaude")=0,"",SUMIFS(日次入力!$H$4:$H$1500,日次入力!$A$4:$A$1500,"&gt;="&amp;DATE(2026,7,21),日次入力!$A$4:$A$1500,"&lt;="&amp;DATE(2026,7,27),日次入力!$C$4:$C$1500,"MetaClaude"))</f>
        <v/>
      </c>
      <c r="M133" s="15" t="str">
        <f aca="false">IF(L133="","",IFERROR(L133/F133,""))</f>
        <v/>
      </c>
      <c r="N133" s="42" t="str">
        <f aca="false">IF(COUNTIFS(日次入力!$A$4:$A$1500,"&gt;="&amp;DATE(2026,7,21),日次入力!$A$4:$A$1500,"&lt;="&amp;DATE(2026,7,27),日次入力!$C$4:$C$1500,"MetaClaude")=0,"",SUMIFS(日次入力!$I$4:$I$1500,日次入力!$A$4:$A$1500,"&gt;="&amp;DATE(2026,7,21),日次入力!$A$4:$A$1500,"&lt;="&amp;DATE(2026,7,27),日次入力!$C$4:$C$1500,"MetaClaude"))</f>
        <v/>
      </c>
      <c r="O133" s="15" t="str">
        <f aca="false">IF(N133="","",IFERROR(N133/L133,""))</f>
        <v/>
      </c>
      <c r="P133" s="37" t="str">
        <f aca="false">IF(N133=0,"",IFERROR(C133/N133,""))</f>
        <v/>
      </c>
      <c r="Q133" s="38" t="str">
        <f aca="false">IF(N133=0,"",IFERROR(IF(C133/N133&lt;=用語集!$B$22,"◎ 許容内","✗ 超過"),"—"))</f>
        <v>—</v>
      </c>
      <c r="R133" s="39" t="str">
        <f aca="false">IFERROR(用語集!$B$22/P133,"")</f>
        <v/>
      </c>
    </row>
    <row r="134" customFormat="false" ht="15" hidden="false" customHeight="false" outlineLevel="0" collapsed="false">
      <c r="A134" s="34" t="s">
        <v>92</v>
      </c>
      <c r="B134" s="35" t="s">
        <v>93</v>
      </c>
      <c r="C134" s="41" t="str">
        <f aca="false">IF(COUNTIFS(日次入力!$A$4:$A$1500,"&gt;="&amp;DATE(2026,7,28),日次入力!$A$4:$A$1500,"&lt;="&amp;DATE(2026,8,3),日次入力!$C$4:$C$1500,"MetaClaude")=0,"",SUMIFS(日次入力!$D$4:$D$1500,日次入力!$A$4:$A$1500,"&gt;="&amp;DATE(2026,7,28),日次入力!$A$4:$A$1500,"&lt;="&amp;DATE(2026,8,3),日次入力!$C$4:$C$1500,"MetaClaude"))</f>
        <v/>
      </c>
      <c r="D134" s="42" t="str">
        <f aca="false">IF(COUNTIFS(日次入力!$A$4:$A$1500,"&gt;="&amp;DATE(2026,7,28),日次入力!$A$4:$A$1500,"&lt;="&amp;DATE(2026,8,3),日次入力!$C$4:$C$1500,"MetaClaude")=0,"",SUMIFS(日次入力!$E$4:$E$1500,日次入力!$A$4:$A$1500,"&gt;="&amp;DATE(2026,7,28),日次入力!$A$4:$A$1500,"&lt;="&amp;DATE(2026,8,3),日次入力!$C$4:$C$1500,"MetaClaude"))</f>
        <v/>
      </c>
      <c r="E134" s="42" t="str">
        <f aca="false">IF(COUNTIFS(日次入力!$A$4:$A$1500,"&gt;="&amp;DATE(2026,7,28),日次入力!$A$4:$A$1500,"&lt;="&amp;DATE(2026,8,3),日次入力!$C$4:$C$1500,"MetaClaude")=0,"",SUMIFS(日次入力!$F$4:$F$1500,日次入力!$A$4:$A$1500,"&gt;="&amp;DATE(2026,7,28),日次入力!$A$4:$A$1500,"&lt;="&amp;DATE(2026,8,3),日次入力!$C$4:$C$1500,"MetaClaude"))</f>
        <v/>
      </c>
      <c r="F134" s="42" t="str">
        <f aca="false">IF(COUNTIFS(日次入力!$A$4:$A$1500,"&gt;="&amp;DATE(2026,7,28),日次入力!$A$4:$A$1500,"&lt;="&amp;DATE(2026,8,3),日次入力!$C$4:$C$1500,"MetaClaude")=0,"",SUMIFS(日次入力!$G$4:$G$1500,日次入力!$A$4:$A$1500,"&gt;="&amp;DATE(2026,7,28),日次入力!$A$4:$A$1500,"&lt;="&amp;DATE(2026,8,3),日次入力!$C$4:$C$1500,"MetaClaude"))</f>
        <v/>
      </c>
      <c r="G134" s="15" t="str">
        <f aca="false">IFERROR(E134/D134,"")</f>
        <v/>
      </c>
      <c r="H134" s="37" t="str">
        <f aca="false">IFERROR(C134/E134,"")</f>
        <v/>
      </c>
      <c r="I134" s="37" t="str">
        <f aca="false">IFERROR(C134/D134*1000,"")</f>
        <v/>
      </c>
      <c r="J134" s="15" t="str">
        <f aca="false">IFERROR(F134/E134,"")</f>
        <v/>
      </c>
      <c r="K134" s="37" t="str">
        <f aca="false">IFERROR(C134/F134,"")</f>
        <v/>
      </c>
      <c r="L134" s="42" t="str">
        <f aca="false">IF(COUNTIFS(日次入力!$A$4:$A$1500,"&gt;="&amp;DATE(2026,7,28),日次入力!$A$4:$A$1500,"&lt;="&amp;DATE(2026,8,3),日次入力!$C$4:$C$1500,"MetaClaude")=0,"",SUMIFS(日次入力!$H$4:$H$1500,日次入力!$A$4:$A$1500,"&gt;="&amp;DATE(2026,7,28),日次入力!$A$4:$A$1500,"&lt;="&amp;DATE(2026,8,3),日次入力!$C$4:$C$1500,"MetaClaude"))</f>
        <v/>
      </c>
      <c r="M134" s="15" t="str">
        <f aca="false">IF(L134="","",IFERROR(L134/F134,""))</f>
        <v/>
      </c>
      <c r="N134" s="42" t="str">
        <f aca="false">IF(COUNTIFS(日次入力!$A$4:$A$1500,"&gt;="&amp;DATE(2026,7,28),日次入力!$A$4:$A$1500,"&lt;="&amp;DATE(2026,8,3),日次入力!$C$4:$C$1500,"MetaClaude")=0,"",SUMIFS(日次入力!$I$4:$I$1500,日次入力!$A$4:$A$1500,"&gt;="&amp;DATE(2026,7,28),日次入力!$A$4:$A$1500,"&lt;="&amp;DATE(2026,8,3),日次入力!$C$4:$C$1500,"MetaClaude"))</f>
        <v/>
      </c>
      <c r="O134" s="15" t="str">
        <f aca="false">IF(N134="","",IFERROR(N134/L134,""))</f>
        <v/>
      </c>
      <c r="P134" s="37" t="str">
        <f aca="false">IF(N134=0,"",IFERROR(C134/N134,""))</f>
        <v/>
      </c>
      <c r="Q134" s="38" t="str">
        <f aca="false">IF(N134=0,"",IFERROR(IF(C134/N134&lt;=用語集!$B$22,"◎ 許容内","✗ 超過"),"—"))</f>
        <v>—</v>
      </c>
      <c r="R134" s="39" t="str">
        <f aca="false">IFERROR(用語集!$B$22/P134,"")</f>
        <v/>
      </c>
    </row>
    <row r="135" customFormat="false" ht="15" hidden="false" customHeight="false" outlineLevel="0" collapsed="false">
      <c r="A135" s="34" t="s">
        <v>94</v>
      </c>
      <c r="B135" s="35" t="s">
        <v>95</v>
      </c>
      <c r="C135" s="41" t="str">
        <f aca="false">IF(COUNTIFS(日次入力!$A$4:$A$1500,"&gt;="&amp;DATE(2026,8,4),日次入力!$A$4:$A$1500,"&lt;="&amp;DATE(2026,8,10),日次入力!$C$4:$C$1500,"MetaClaude")=0,"",SUMIFS(日次入力!$D$4:$D$1500,日次入力!$A$4:$A$1500,"&gt;="&amp;DATE(2026,8,4),日次入力!$A$4:$A$1500,"&lt;="&amp;DATE(2026,8,10),日次入力!$C$4:$C$1500,"MetaClaude"))</f>
        <v/>
      </c>
      <c r="D135" s="42" t="str">
        <f aca="false">IF(COUNTIFS(日次入力!$A$4:$A$1500,"&gt;="&amp;DATE(2026,8,4),日次入力!$A$4:$A$1500,"&lt;="&amp;DATE(2026,8,10),日次入力!$C$4:$C$1500,"MetaClaude")=0,"",SUMIFS(日次入力!$E$4:$E$1500,日次入力!$A$4:$A$1500,"&gt;="&amp;DATE(2026,8,4),日次入力!$A$4:$A$1500,"&lt;="&amp;DATE(2026,8,10),日次入力!$C$4:$C$1500,"MetaClaude"))</f>
        <v/>
      </c>
      <c r="E135" s="42" t="str">
        <f aca="false">IF(COUNTIFS(日次入力!$A$4:$A$1500,"&gt;="&amp;DATE(2026,8,4),日次入力!$A$4:$A$1500,"&lt;="&amp;DATE(2026,8,10),日次入力!$C$4:$C$1500,"MetaClaude")=0,"",SUMIFS(日次入力!$F$4:$F$1500,日次入力!$A$4:$A$1500,"&gt;="&amp;DATE(2026,8,4),日次入力!$A$4:$A$1500,"&lt;="&amp;DATE(2026,8,10),日次入力!$C$4:$C$1500,"MetaClaude"))</f>
        <v/>
      </c>
      <c r="F135" s="42" t="str">
        <f aca="false">IF(COUNTIFS(日次入力!$A$4:$A$1500,"&gt;="&amp;DATE(2026,8,4),日次入力!$A$4:$A$1500,"&lt;="&amp;DATE(2026,8,10),日次入力!$C$4:$C$1500,"MetaClaude")=0,"",SUMIFS(日次入力!$G$4:$G$1500,日次入力!$A$4:$A$1500,"&gt;="&amp;DATE(2026,8,4),日次入力!$A$4:$A$1500,"&lt;="&amp;DATE(2026,8,10),日次入力!$C$4:$C$1500,"MetaClaude"))</f>
        <v/>
      </c>
      <c r="G135" s="15" t="str">
        <f aca="false">IFERROR(E135/D135,"")</f>
        <v/>
      </c>
      <c r="H135" s="37" t="str">
        <f aca="false">IFERROR(C135/E135,"")</f>
        <v/>
      </c>
      <c r="I135" s="37" t="str">
        <f aca="false">IFERROR(C135/D135*1000,"")</f>
        <v/>
      </c>
      <c r="J135" s="15" t="str">
        <f aca="false">IFERROR(F135/E135,"")</f>
        <v/>
      </c>
      <c r="K135" s="37" t="str">
        <f aca="false">IFERROR(C135/F135,"")</f>
        <v/>
      </c>
      <c r="L135" s="42" t="str">
        <f aca="false">IF(COUNTIFS(日次入力!$A$4:$A$1500,"&gt;="&amp;DATE(2026,8,4),日次入力!$A$4:$A$1500,"&lt;="&amp;DATE(2026,8,10),日次入力!$C$4:$C$1500,"MetaClaude")=0,"",SUMIFS(日次入力!$H$4:$H$1500,日次入力!$A$4:$A$1500,"&gt;="&amp;DATE(2026,8,4),日次入力!$A$4:$A$1500,"&lt;="&amp;DATE(2026,8,10),日次入力!$C$4:$C$1500,"MetaClaude"))</f>
        <v/>
      </c>
      <c r="M135" s="15" t="str">
        <f aca="false">IF(L135="","",IFERROR(L135/F135,""))</f>
        <v/>
      </c>
      <c r="N135" s="42" t="str">
        <f aca="false">IF(COUNTIFS(日次入力!$A$4:$A$1500,"&gt;="&amp;DATE(2026,8,4),日次入力!$A$4:$A$1500,"&lt;="&amp;DATE(2026,8,10),日次入力!$C$4:$C$1500,"MetaClaude")=0,"",SUMIFS(日次入力!$I$4:$I$1500,日次入力!$A$4:$A$1500,"&gt;="&amp;DATE(2026,8,4),日次入力!$A$4:$A$1500,"&lt;="&amp;DATE(2026,8,10),日次入力!$C$4:$C$1500,"MetaClaude"))</f>
        <v/>
      </c>
      <c r="O135" s="15" t="str">
        <f aca="false">IF(N135="","",IFERROR(N135/L135,""))</f>
        <v/>
      </c>
      <c r="P135" s="37" t="str">
        <f aca="false">IF(N135=0,"",IFERROR(C135/N135,""))</f>
        <v/>
      </c>
      <c r="Q135" s="38" t="str">
        <f aca="false">IF(N135=0,"",IFERROR(IF(C135/N135&lt;=用語集!$B$22,"◎ 許容内","✗ 超過"),"—"))</f>
        <v>—</v>
      </c>
      <c r="R135" s="39" t="str">
        <f aca="false">IFERROR(用語集!$B$22/P135,"")</f>
        <v/>
      </c>
    </row>
    <row r="136" customFormat="false" ht="15" hidden="false" customHeight="false" outlineLevel="0" collapsed="false">
      <c r="A136" s="34" t="s">
        <v>96</v>
      </c>
      <c r="B136" s="35" t="s">
        <v>97</v>
      </c>
      <c r="C136" s="41" t="str">
        <f aca="false">IF(COUNTIFS(日次入力!$A$4:$A$1500,"&gt;="&amp;DATE(2026,8,11),日次入力!$A$4:$A$1500,"&lt;="&amp;DATE(2026,8,17),日次入力!$C$4:$C$1500,"MetaClaude")=0,"",SUMIFS(日次入力!$D$4:$D$1500,日次入力!$A$4:$A$1500,"&gt;="&amp;DATE(2026,8,11),日次入力!$A$4:$A$1500,"&lt;="&amp;DATE(2026,8,17),日次入力!$C$4:$C$1500,"MetaClaude"))</f>
        <v/>
      </c>
      <c r="D136" s="42" t="str">
        <f aca="false">IF(COUNTIFS(日次入力!$A$4:$A$1500,"&gt;="&amp;DATE(2026,8,11),日次入力!$A$4:$A$1500,"&lt;="&amp;DATE(2026,8,17),日次入力!$C$4:$C$1500,"MetaClaude")=0,"",SUMIFS(日次入力!$E$4:$E$1500,日次入力!$A$4:$A$1500,"&gt;="&amp;DATE(2026,8,11),日次入力!$A$4:$A$1500,"&lt;="&amp;DATE(2026,8,17),日次入力!$C$4:$C$1500,"MetaClaude"))</f>
        <v/>
      </c>
      <c r="E136" s="42" t="str">
        <f aca="false">IF(COUNTIFS(日次入力!$A$4:$A$1500,"&gt;="&amp;DATE(2026,8,11),日次入力!$A$4:$A$1500,"&lt;="&amp;DATE(2026,8,17),日次入力!$C$4:$C$1500,"MetaClaude")=0,"",SUMIFS(日次入力!$F$4:$F$1500,日次入力!$A$4:$A$1500,"&gt;="&amp;DATE(2026,8,11),日次入力!$A$4:$A$1500,"&lt;="&amp;DATE(2026,8,17),日次入力!$C$4:$C$1500,"MetaClaude"))</f>
        <v/>
      </c>
      <c r="F136" s="42" t="str">
        <f aca="false">IF(COUNTIFS(日次入力!$A$4:$A$1500,"&gt;="&amp;DATE(2026,8,11),日次入力!$A$4:$A$1500,"&lt;="&amp;DATE(2026,8,17),日次入力!$C$4:$C$1500,"MetaClaude")=0,"",SUMIFS(日次入力!$G$4:$G$1500,日次入力!$A$4:$A$1500,"&gt;="&amp;DATE(2026,8,11),日次入力!$A$4:$A$1500,"&lt;="&amp;DATE(2026,8,17),日次入力!$C$4:$C$1500,"MetaClaude"))</f>
        <v/>
      </c>
      <c r="G136" s="15" t="str">
        <f aca="false">IFERROR(E136/D136,"")</f>
        <v/>
      </c>
      <c r="H136" s="37" t="str">
        <f aca="false">IFERROR(C136/E136,"")</f>
        <v/>
      </c>
      <c r="I136" s="37" t="str">
        <f aca="false">IFERROR(C136/D136*1000,"")</f>
        <v/>
      </c>
      <c r="J136" s="15" t="str">
        <f aca="false">IFERROR(F136/E136,"")</f>
        <v/>
      </c>
      <c r="K136" s="37" t="str">
        <f aca="false">IFERROR(C136/F136,"")</f>
        <v/>
      </c>
      <c r="L136" s="42" t="str">
        <f aca="false">IF(COUNTIFS(日次入力!$A$4:$A$1500,"&gt;="&amp;DATE(2026,8,11),日次入力!$A$4:$A$1500,"&lt;="&amp;DATE(2026,8,17),日次入力!$C$4:$C$1500,"MetaClaude")=0,"",SUMIFS(日次入力!$H$4:$H$1500,日次入力!$A$4:$A$1500,"&gt;="&amp;DATE(2026,8,11),日次入力!$A$4:$A$1500,"&lt;="&amp;DATE(2026,8,17),日次入力!$C$4:$C$1500,"MetaClaude"))</f>
        <v/>
      </c>
      <c r="M136" s="15" t="str">
        <f aca="false">IF(L136="","",IFERROR(L136/F136,""))</f>
        <v/>
      </c>
      <c r="N136" s="42" t="str">
        <f aca="false">IF(COUNTIFS(日次入力!$A$4:$A$1500,"&gt;="&amp;DATE(2026,8,11),日次入力!$A$4:$A$1500,"&lt;="&amp;DATE(2026,8,17),日次入力!$C$4:$C$1500,"MetaClaude")=0,"",SUMIFS(日次入力!$I$4:$I$1500,日次入力!$A$4:$A$1500,"&gt;="&amp;DATE(2026,8,11),日次入力!$A$4:$A$1500,"&lt;="&amp;DATE(2026,8,17),日次入力!$C$4:$C$1500,"MetaClaude"))</f>
        <v/>
      </c>
      <c r="O136" s="15" t="str">
        <f aca="false">IF(N136="","",IFERROR(N136/L136,""))</f>
        <v/>
      </c>
      <c r="P136" s="37" t="str">
        <f aca="false">IF(N136=0,"",IFERROR(C136/N136,""))</f>
        <v/>
      </c>
      <c r="Q136" s="38" t="str">
        <f aca="false">IF(N136=0,"",IFERROR(IF(C136/N136&lt;=用語集!$B$22,"◎ 許容内","✗ 超過"),"—"))</f>
        <v>—</v>
      </c>
      <c r="R136" s="39" t="str">
        <f aca="false">IFERROR(用語集!$B$22/P136,"")</f>
        <v/>
      </c>
    </row>
    <row r="137" customFormat="false" ht="15" hidden="false" customHeight="false" outlineLevel="0" collapsed="false">
      <c r="A137" s="34" t="s">
        <v>98</v>
      </c>
      <c r="B137" s="35" t="s">
        <v>99</v>
      </c>
      <c r="C137" s="41" t="str">
        <f aca="false">IF(COUNTIFS(日次入力!$A$4:$A$1500,"&gt;="&amp;DATE(2026,8,18),日次入力!$A$4:$A$1500,"&lt;="&amp;DATE(2026,8,24),日次入力!$C$4:$C$1500,"MetaClaude")=0,"",SUMIFS(日次入力!$D$4:$D$1500,日次入力!$A$4:$A$1500,"&gt;="&amp;DATE(2026,8,18),日次入力!$A$4:$A$1500,"&lt;="&amp;DATE(2026,8,24),日次入力!$C$4:$C$1500,"MetaClaude"))</f>
        <v/>
      </c>
      <c r="D137" s="42" t="str">
        <f aca="false">IF(COUNTIFS(日次入力!$A$4:$A$1500,"&gt;="&amp;DATE(2026,8,18),日次入力!$A$4:$A$1500,"&lt;="&amp;DATE(2026,8,24),日次入力!$C$4:$C$1500,"MetaClaude")=0,"",SUMIFS(日次入力!$E$4:$E$1500,日次入力!$A$4:$A$1500,"&gt;="&amp;DATE(2026,8,18),日次入力!$A$4:$A$1500,"&lt;="&amp;DATE(2026,8,24),日次入力!$C$4:$C$1500,"MetaClaude"))</f>
        <v/>
      </c>
      <c r="E137" s="42" t="str">
        <f aca="false">IF(COUNTIFS(日次入力!$A$4:$A$1500,"&gt;="&amp;DATE(2026,8,18),日次入力!$A$4:$A$1500,"&lt;="&amp;DATE(2026,8,24),日次入力!$C$4:$C$1500,"MetaClaude")=0,"",SUMIFS(日次入力!$F$4:$F$1500,日次入力!$A$4:$A$1500,"&gt;="&amp;DATE(2026,8,18),日次入力!$A$4:$A$1500,"&lt;="&amp;DATE(2026,8,24),日次入力!$C$4:$C$1500,"MetaClaude"))</f>
        <v/>
      </c>
      <c r="F137" s="42" t="str">
        <f aca="false">IF(COUNTIFS(日次入力!$A$4:$A$1500,"&gt;="&amp;DATE(2026,8,18),日次入力!$A$4:$A$1500,"&lt;="&amp;DATE(2026,8,24),日次入力!$C$4:$C$1500,"MetaClaude")=0,"",SUMIFS(日次入力!$G$4:$G$1500,日次入力!$A$4:$A$1500,"&gt;="&amp;DATE(2026,8,18),日次入力!$A$4:$A$1500,"&lt;="&amp;DATE(2026,8,24),日次入力!$C$4:$C$1500,"MetaClaude"))</f>
        <v/>
      </c>
      <c r="G137" s="15" t="str">
        <f aca="false">IFERROR(E137/D137,"")</f>
        <v/>
      </c>
      <c r="H137" s="37" t="str">
        <f aca="false">IFERROR(C137/E137,"")</f>
        <v/>
      </c>
      <c r="I137" s="37" t="str">
        <f aca="false">IFERROR(C137/D137*1000,"")</f>
        <v/>
      </c>
      <c r="J137" s="15" t="str">
        <f aca="false">IFERROR(F137/E137,"")</f>
        <v/>
      </c>
      <c r="K137" s="37" t="str">
        <f aca="false">IFERROR(C137/F137,"")</f>
        <v/>
      </c>
      <c r="L137" s="42" t="str">
        <f aca="false">IF(COUNTIFS(日次入力!$A$4:$A$1500,"&gt;="&amp;DATE(2026,8,18),日次入力!$A$4:$A$1500,"&lt;="&amp;DATE(2026,8,24),日次入力!$C$4:$C$1500,"MetaClaude")=0,"",SUMIFS(日次入力!$H$4:$H$1500,日次入力!$A$4:$A$1500,"&gt;="&amp;DATE(2026,8,18),日次入力!$A$4:$A$1500,"&lt;="&amp;DATE(2026,8,24),日次入力!$C$4:$C$1500,"MetaClaude"))</f>
        <v/>
      </c>
      <c r="M137" s="15" t="str">
        <f aca="false">IF(L137="","",IFERROR(L137/F137,""))</f>
        <v/>
      </c>
      <c r="N137" s="42" t="str">
        <f aca="false">IF(COUNTIFS(日次入力!$A$4:$A$1500,"&gt;="&amp;DATE(2026,8,18),日次入力!$A$4:$A$1500,"&lt;="&amp;DATE(2026,8,24),日次入力!$C$4:$C$1500,"MetaClaude")=0,"",SUMIFS(日次入力!$I$4:$I$1500,日次入力!$A$4:$A$1500,"&gt;="&amp;DATE(2026,8,18),日次入力!$A$4:$A$1500,"&lt;="&amp;DATE(2026,8,24),日次入力!$C$4:$C$1500,"MetaClaude"))</f>
        <v/>
      </c>
      <c r="O137" s="15" t="str">
        <f aca="false">IF(N137="","",IFERROR(N137/L137,""))</f>
        <v/>
      </c>
      <c r="P137" s="37" t="str">
        <f aca="false">IF(N137=0,"",IFERROR(C137/N137,""))</f>
        <v/>
      </c>
      <c r="Q137" s="38" t="str">
        <f aca="false">IF(N137=0,"",IFERROR(IF(C137/N137&lt;=用語集!$B$22,"◎ 許容内","✗ 超過"),"—"))</f>
        <v>—</v>
      </c>
      <c r="R137" s="39" t="str">
        <f aca="false">IFERROR(用語集!$B$22/P137,"")</f>
        <v/>
      </c>
    </row>
    <row r="138" customFormat="false" ht="15" hidden="false" customHeight="false" outlineLevel="0" collapsed="false">
      <c r="A138" s="34" t="s">
        <v>100</v>
      </c>
      <c r="B138" s="35" t="s">
        <v>101</v>
      </c>
      <c r="C138" s="41" t="str">
        <f aca="false">IF(COUNTIFS(日次入力!$A$4:$A$1500,"&gt;="&amp;DATE(2026,8,25),日次入力!$A$4:$A$1500,"&lt;="&amp;DATE(2026,8,31),日次入力!$C$4:$C$1500,"MetaClaude")=0,"",SUMIFS(日次入力!$D$4:$D$1500,日次入力!$A$4:$A$1500,"&gt;="&amp;DATE(2026,8,25),日次入力!$A$4:$A$1500,"&lt;="&amp;DATE(2026,8,31),日次入力!$C$4:$C$1500,"MetaClaude"))</f>
        <v/>
      </c>
      <c r="D138" s="42" t="str">
        <f aca="false">IF(COUNTIFS(日次入力!$A$4:$A$1500,"&gt;="&amp;DATE(2026,8,25),日次入力!$A$4:$A$1500,"&lt;="&amp;DATE(2026,8,31),日次入力!$C$4:$C$1500,"MetaClaude")=0,"",SUMIFS(日次入力!$E$4:$E$1500,日次入力!$A$4:$A$1500,"&gt;="&amp;DATE(2026,8,25),日次入力!$A$4:$A$1500,"&lt;="&amp;DATE(2026,8,31),日次入力!$C$4:$C$1500,"MetaClaude"))</f>
        <v/>
      </c>
      <c r="E138" s="42" t="str">
        <f aca="false">IF(COUNTIFS(日次入力!$A$4:$A$1500,"&gt;="&amp;DATE(2026,8,25),日次入力!$A$4:$A$1500,"&lt;="&amp;DATE(2026,8,31),日次入力!$C$4:$C$1500,"MetaClaude")=0,"",SUMIFS(日次入力!$F$4:$F$1500,日次入力!$A$4:$A$1500,"&gt;="&amp;DATE(2026,8,25),日次入力!$A$4:$A$1500,"&lt;="&amp;DATE(2026,8,31),日次入力!$C$4:$C$1500,"MetaClaude"))</f>
        <v/>
      </c>
      <c r="F138" s="42" t="str">
        <f aca="false">IF(COUNTIFS(日次入力!$A$4:$A$1500,"&gt;="&amp;DATE(2026,8,25),日次入力!$A$4:$A$1500,"&lt;="&amp;DATE(2026,8,31),日次入力!$C$4:$C$1500,"MetaClaude")=0,"",SUMIFS(日次入力!$G$4:$G$1500,日次入力!$A$4:$A$1500,"&gt;="&amp;DATE(2026,8,25),日次入力!$A$4:$A$1500,"&lt;="&amp;DATE(2026,8,31),日次入力!$C$4:$C$1500,"MetaClaude"))</f>
        <v/>
      </c>
      <c r="G138" s="15" t="str">
        <f aca="false">IFERROR(E138/D138,"")</f>
        <v/>
      </c>
      <c r="H138" s="37" t="str">
        <f aca="false">IFERROR(C138/E138,"")</f>
        <v/>
      </c>
      <c r="I138" s="37" t="str">
        <f aca="false">IFERROR(C138/D138*1000,"")</f>
        <v/>
      </c>
      <c r="J138" s="15" t="str">
        <f aca="false">IFERROR(F138/E138,"")</f>
        <v/>
      </c>
      <c r="K138" s="37" t="str">
        <f aca="false">IFERROR(C138/F138,"")</f>
        <v/>
      </c>
      <c r="L138" s="42" t="str">
        <f aca="false">IF(COUNTIFS(日次入力!$A$4:$A$1500,"&gt;="&amp;DATE(2026,8,25),日次入力!$A$4:$A$1500,"&lt;="&amp;DATE(2026,8,31),日次入力!$C$4:$C$1500,"MetaClaude")=0,"",SUMIFS(日次入力!$H$4:$H$1500,日次入力!$A$4:$A$1500,"&gt;="&amp;DATE(2026,8,25),日次入力!$A$4:$A$1500,"&lt;="&amp;DATE(2026,8,31),日次入力!$C$4:$C$1500,"MetaClaude"))</f>
        <v/>
      </c>
      <c r="M138" s="15" t="str">
        <f aca="false">IF(L138="","",IFERROR(L138/F138,""))</f>
        <v/>
      </c>
      <c r="N138" s="42" t="str">
        <f aca="false">IF(COUNTIFS(日次入力!$A$4:$A$1500,"&gt;="&amp;DATE(2026,8,25),日次入力!$A$4:$A$1500,"&lt;="&amp;DATE(2026,8,31),日次入力!$C$4:$C$1500,"MetaClaude")=0,"",SUMIFS(日次入力!$I$4:$I$1500,日次入力!$A$4:$A$1500,"&gt;="&amp;DATE(2026,8,25),日次入力!$A$4:$A$1500,"&lt;="&amp;DATE(2026,8,31),日次入力!$C$4:$C$1500,"MetaClaude"))</f>
        <v/>
      </c>
      <c r="O138" s="15" t="str">
        <f aca="false">IF(N138="","",IFERROR(N138/L138,""))</f>
        <v/>
      </c>
      <c r="P138" s="37" t="str">
        <f aca="false">IF(N138=0,"",IFERROR(C138/N138,""))</f>
        <v/>
      </c>
      <c r="Q138" s="38" t="str">
        <f aca="false">IF(N138=0,"",IFERROR(IF(C138/N138&lt;=用語集!$B$22,"◎ 許容内","✗ 超過"),"—"))</f>
        <v>—</v>
      </c>
      <c r="R138" s="39" t="str">
        <f aca="false">IFERROR(用語集!$B$22/P138,"")</f>
        <v/>
      </c>
    </row>
    <row r="139" customFormat="false" ht="15" hidden="false" customHeight="false" outlineLevel="0" collapsed="false">
      <c r="A139" s="34" t="s">
        <v>102</v>
      </c>
      <c r="B139" s="35" t="s">
        <v>103</v>
      </c>
      <c r="C139" s="41" t="str">
        <f aca="false">IF(COUNTIFS(日次入力!$A$4:$A$1500,"&gt;="&amp;DATE(2026,9,1),日次入力!$A$4:$A$1500,"&lt;="&amp;DATE(2026,9,7),日次入力!$C$4:$C$1500,"MetaClaude")=0,"",SUMIFS(日次入力!$D$4:$D$1500,日次入力!$A$4:$A$1500,"&gt;="&amp;DATE(2026,9,1),日次入力!$A$4:$A$1500,"&lt;="&amp;DATE(2026,9,7),日次入力!$C$4:$C$1500,"MetaClaude"))</f>
        <v/>
      </c>
      <c r="D139" s="42" t="str">
        <f aca="false">IF(COUNTIFS(日次入力!$A$4:$A$1500,"&gt;="&amp;DATE(2026,9,1),日次入力!$A$4:$A$1500,"&lt;="&amp;DATE(2026,9,7),日次入力!$C$4:$C$1500,"MetaClaude")=0,"",SUMIFS(日次入力!$E$4:$E$1500,日次入力!$A$4:$A$1500,"&gt;="&amp;DATE(2026,9,1),日次入力!$A$4:$A$1500,"&lt;="&amp;DATE(2026,9,7),日次入力!$C$4:$C$1500,"MetaClaude"))</f>
        <v/>
      </c>
      <c r="E139" s="42" t="str">
        <f aca="false">IF(COUNTIFS(日次入力!$A$4:$A$1500,"&gt;="&amp;DATE(2026,9,1),日次入力!$A$4:$A$1500,"&lt;="&amp;DATE(2026,9,7),日次入力!$C$4:$C$1500,"MetaClaude")=0,"",SUMIFS(日次入力!$F$4:$F$1500,日次入力!$A$4:$A$1500,"&gt;="&amp;DATE(2026,9,1),日次入力!$A$4:$A$1500,"&lt;="&amp;DATE(2026,9,7),日次入力!$C$4:$C$1500,"MetaClaude"))</f>
        <v/>
      </c>
      <c r="F139" s="42" t="str">
        <f aca="false">IF(COUNTIFS(日次入力!$A$4:$A$1500,"&gt;="&amp;DATE(2026,9,1),日次入力!$A$4:$A$1500,"&lt;="&amp;DATE(2026,9,7),日次入力!$C$4:$C$1500,"MetaClaude")=0,"",SUMIFS(日次入力!$G$4:$G$1500,日次入力!$A$4:$A$1500,"&gt;="&amp;DATE(2026,9,1),日次入力!$A$4:$A$1500,"&lt;="&amp;DATE(2026,9,7),日次入力!$C$4:$C$1500,"MetaClaude"))</f>
        <v/>
      </c>
      <c r="G139" s="15" t="str">
        <f aca="false">IFERROR(E139/D139,"")</f>
        <v/>
      </c>
      <c r="H139" s="37" t="str">
        <f aca="false">IFERROR(C139/E139,"")</f>
        <v/>
      </c>
      <c r="I139" s="37" t="str">
        <f aca="false">IFERROR(C139/D139*1000,"")</f>
        <v/>
      </c>
      <c r="J139" s="15" t="str">
        <f aca="false">IFERROR(F139/E139,"")</f>
        <v/>
      </c>
      <c r="K139" s="37" t="str">
        <f aca="false">IFERROR(C139/F139,"")</f>
        <v/>
      </c>
      <c r="L139" s="42" t="str">
        <f aca="false">IF(COUNTIFS(日次入力!$A$4:$A$1500,"&gt;="&amp;DATE(2026,9,1),日次入力!$A$4:$A$1500,"&lt;="&amp;DATE(2026,9,7),日次入力!$C$4:$C$1500,"MetaClaude")=0,"",SUMIFS(日次入力!$H$4:$H$1500,日次入力!$A$4:$A$1500,"&gt;="&amp;DATE(2026,9,1),日次入力!$A$4:$A$1500,"&lt;="&amp;DATE(2026,9,7),日次入力!$C$4:$C$1500,"MetaClaude"))</f>
        <v/>
      </c>
      <c r="M139" s="15" t="str">
        <f aca="false">IF(L139="","",IFERROR(L139/F139,""))</f>
        <v/>
      </c>
      <c r="N139" s="42" t="str">
        <f aca="false">IF(COUNTIFS(日次入力!$A$4:$A$1500,"&gt;="&amp;DATE(2026,9,1),日次入力!$A$4:$A$1500,"&lt;="&amp;DATE(2026,9,7),日次入力!$C$4:$C$1500,"MetaClaude")=0,"",SUMIFS(日次入力!$I$4:$I$1500,日次入力!$A$4:$A$1500,"&gt;="&amp;DATE(2026,9,1),日次入力!$A$4:$A$1500,"&lt;="&amp;DATE(2026,9,7),日次入力!$C$4:$C$1500,"MetaClaude"))</f>
        <v/>
      </c>
      <c r="O139" s="15" t="str">
        <f aca="false">IF(N139="","",IFERROR(N139/L139,""))</f>
        <v/>
      </c>
      <c r="P139" s="37" t="str">
        <f aca="false">IF(N139=0,"",IFERROR(C139/N139,""))</f>
        <v/>
      </c>
      <c r="Q139" s="38" t="str">
        <f aca="false">IF(N139=0,"",IFERROR(IF(C139/N139&lt;=用語集!$B$22,"◎ 許容内","✗ 超過"),"—"))</f>
        <v>—</v>
      </c>
      <c r="R139" s="39" t="str">
        <f aca="false">IFERROR(用語集!$B$22/P139,"")</f>
        <v/>
      </c>
    </row>
    <row r="140" customFormat="false" ht="15" hidden="false" customHeight="false" outlineLevel="0" collapsed="false">
      <c r="A140" s="34" t="s">
        <v>104</v>
      </c>
      <c r="B140" s="35" t="s">
        <v>105</v>
      </c>
      <c r="C140" s="41" t="str">
        <f aca="false">IF(COUNTIFS(日次入力!$A$4:$A$1500,"&gt;="&amp;DATE(2026,9,8),日次入力!$A$4:$A$1500,"&lt;="&amp;DATE(2026,9,14),日次入力!$C$4:$C$1500,"MetaClaude")=0,"",SUMIFS(日次入力!$D$4:$D$1500,日次入力!$A$4:$A$1500,"&gt;="&amp;DATE(2026,9,8),日次入力!$A$4:$A$1500,"&lt;="&amp;DATE(2026,9,14),日次入力!$C$4:$C$1500,"MetaClaude"))</f>
        <v/>
      </c>
      <c r="D140" s="42" t="str">
        <f aca="false">IF(COUNTIFS(日次入力!$A$4:$A$1500,"&gt;="&amp;DATE(2026,9,8),日次入力!$A$4:$A$1500,"&lt;="&amp;DATE(2026,9,14),日次入力!$C$4:$C$1500,"MetaClaude")=0,"",SUMIFS(日次入力!$E$4:$E$1500,日次入力!$A$4:$A$1500,"&gt;="&amp;DATE(2026,9,8),日次入力!$A$4:$A$1500,"&lt;="&amp;DATE(2026,9,14),日次入力!$C$4:$C$1500,"MetaClaude"))</f>
        <v/>
      </c>
      <c r="E140" s="42" t="str">
        <f aca="false">IF(COUNTIFS(日次入力!$A$4:$A$1500,"&gt;="&amp;DATE(2026,9,8),日次入力!$A$4:$A$1500,"&lt;="&amp;DATE(2026,9,14),日次入力!$C$4:$C$1500,"MetaClaude")=0,"",SUMIFS(日次入力!$F$4:$F$1500,日次入力!$A$4:$A$1500,"&gt;="&amp;DATE(2026,9,8),日次入力!$A$4:$A$1500,"&lt;="&amp;DATE(2026,9,14),日次入力!$C$4:$C$1500,"MetaClaude"))</f>
        <v/>
      </c>
      <c r="F140" s="42" t="str">
        <f aca="false">IF(COUNTIFS(日次入力!$A$4:$A$1500,"&gt;="&amp;DATE(2026,9,8),日次入力!$A$4:$A$1500,"&lt;="&amp;DATE(2026,9,14),日次入力!$C$4:$C$1500,"MetaClaude")=0,"",SUMIFS(日次入力!$G$4:$G$1500,日次入力!$A$4:$A$1500,"&gt;="&amp;DATE(2026,9,8),日次入力!$A$4:$A$1500,"&lt;="&amp;DATE(2026,9,14),日次入力!$C$4:$C$1500,"MetaClaude"))</f>
        <v/>
      </c>
      <c r="G140" s="15" t="str">
        <f aca="false">IFERROR(E140/D140,"")</f>
        <v/>
      </c>
      <c r="H140" s="37" t="str">
        <f aca="false">IFERROR(C140/E140,"")</f>
        <v/>
      </c>
      <c r="I140" s="37" t="str">
        <f aca="false">IFERROR(C140/D140*1000,"")</f>
        <v/>
      </c>
      <c r="J140" s="15" t="str">
        <f aca="false">IFERROR(F140/E140,"")</f>
        <v/>
      </c>
      <c r="K140" s="37" t="str">
        <f aca="false">IFERROR(C140/F140,"")</f>
        <v/>
      </c>
      <c r="L140" s="42" t="str">
        <f aca="false">IF(COUNTIFS(日次入力!$A$4:$A$1500,"&gt;="&amp;DATE(2026,9,8),日次入力!$A$4:$A$1500,"&lt;="&amp;DATE(2026,9,14),日次入力!$C$4:$C$1500,"MetaClaude")=0,"",SUMIFS(日次入力!$H$4:$H$1500,日次入力!$A$4:$A$1500,"&gt;="&amp;DATE(2026,9,8),日次入力!$A$4:$A$1500,"&lt;="&amp;DATE(2026,9,14),日次入力!$C$4:$C$1500,"MetaClaude"))</f>
        <v/>
      </c>
      <c r="M140" s="15" t="str">
        <f aca="false">IF(L140="","",IFERROR(L140/F140,""))</f>
        <v/>
      </c>
      <c r="N140" s="42" t="str">
        <f aca="false">IF(COUNTIFS(日次入力!$A$4:$A$1500,"&gt;="&amp;DATE(2026,9,8),日次入力!$A$4:$A$1500,"&lt;="&amp;DATE(2026,9,14),日次入力!$C$4:$C$1500,"MetaClaude")=0,"",SUMIFS(日次入力!$I$4:$I$1500,日次入力!$A$4:$A$1500,"&gt;="&amp;DATE(2026,9,8),日次入力!$A$4:$A$1500,"&lt;="&amp;DATE(2026,9,14),日次入力!$C$4:$C$1500,"MetaClaude"))</f>
        <v/>
      </c>
      <c r="O140" s="15" t="str">
        <f aca="false">IF(N140="","",IFERROR(N140/L140,""))</f>
        <v/>
      </c>
      <c r="P140" s="37" t="str">
        <f aca="false">IF(N140=0,"",IFERROR(C140/N140,""))</f>
        <v/>
      </c>
      <c r="Q140" s="38" t="str">
        <f aca="false">IF(N140=0,"",IFERROR(IF(C140/N140&lt;=用語集!$B$22,"◎ 許容内","✗ 超過"),"—"))</f>
        <v>—</v>
      </c>
      <c r="R140" s="39" t="str">
        <f aca="false">IFERROR(用語集!$B$22/P140,"")</f>
        <v/>
      </c>
    </row>
    <row r="141" customFormat="false" ht="15" hidden="false" customHeight="false" outlineLevel="0" collapsed="false">
      <c r="A141" s="34" t="s">
        <v>106</v>
      </c>
      <c r="B141" s="35" t="s">
        <v>107</v>
      </c>
      <c r="C141" s="41" t="str">
        <f aca="false">IF(COUNTIFS(日次入力!$A$4:$A$1500,"&gt;="&amp;DATE(2026,9,15),日次入力!$A$4:$A$1500,"&lt;="&amp;DATE(2026,9,21),日次入力!$C$4:$C$1500,"MetaClaude")=0,"",SUMIFS(日次入力!$D$4:$D$1500,日次入力!$A$4:$A$1500,"&gt;="&amp;DATE(2026,9,15),日次入力!$A$4:$A$1500,"&lt;="&amp;DATE(2026,9,21),日次入力!$C$4:$C$1500,"MetaClaude"))</f>
        <v/>
      </c>
      <c r="D141" s="42" t="str">
        <f aca="false">IF(COUNTIFS(日次入力!$A$4:$A$1500,"&gt;="&amp;DATE(2026,9,15),日次入力!$A$4:$A$1500,"&lt;="&amp;DATE(2026,9,21),日次入力!$C$4:$C$1500,"MetaClaude")=0,"",SUMIFS(日次入力!$E$4:$E$1500,日次入力!$A$4:$A$1500,"&gt;="&amp;DATE(2026,9,15),日次入力!$A$4:$A$1500,"&lt;="&amp;DATE(2026,9,21),日次入力!$C$4:$C$1500,"MetaClaude"))</f>
        <v/>
      </c>
      <c r="E141" s="42" t="str">
        <f aca="false">IF(COUNTIFS(日次入力!$A$4:$A$1500,"&gt;="&amp;DATE(2026,9,15),日次入力!$A$4:$A$1500,"&lt;="&amp;DATE(2026,9,21),日次入力!$C$4:$C$1500,"MetaClaude")=0,"",SUMIFS(日次入力!$F$4:$F$1500,日次入力!$A$4:$A$1500,"&gt;="&amp;DATE(2026,9,15),日次入力!$A$4:$A$1500,"&lt;="&amp;DATE(2026,9,21),日次入力!$C$4:$C$1500,"MetaClaude"))</f>
        <v/>
      </c>
      <c r="F141" s="42" t="str">
        <f aca="false">IF(COUNTIFS(日次入力!$A$4:$A$1500,"&gt;="&amp;DATE(2026,9,15),日次入力!$A$4:$A$1500,"&lt;="&amp;DATE(2026,9,21),日次入力!$C$4:$C$1500,"MetaClaude")=0,"",SUMIFS(日次入力!$G$4:$G$1500,日次入力!$A$4:$A$1500,"&gt;="&amp;DATE(2026,9,15),日次入力!$A$4:$A$1500,"&lt;="&amp;DATE(2026,9,21),日次入力!$C$4:$C$1500,"MetaClaude"))</f>
        <v/>
      </c>
      <c r="G141" s="15" t="str">
        <f aca="false">IFERROR(E141/D141,"")</f>
        <v/>
      </c>
      <c r="H141" s="37" t="str">
        <f aca="false">IFERROR(C141/E141,"")</f>
        <v/>
      </c>
      <c r="I141" s="37" t="str">
        <f aca="false">IFERROR(C141/D141*1000,"")</f>
        <v/>
      </c>
      <c r="J141" s="15" t="str">
        <f aca="false">IFERROR(F141/E141,"")</f>
        <v/>
      </c>
      <c r="K141" s="37" t="str">
        <f aca="false">IFERROR(C141/F141,"")</f>
        <v/>
      </c>
      <c r="L141" s="42" t="str">
        <f aca="false">IF(COUNTIFS(日次入力!$A$4:$A$1500,"&gt;="&amp;DATE(2026,9,15),日次入力!$A$4:$A$1500,"&lt;="&amp;DATE(2026,9,21),日次入力!$C$4:$C$1500,"MetaClaude")=0,"",SUMIFS(日次入力!$H$4:$H$1500,日次入力!$A$4:$A$1500,"&gt;="&amp;DATE(2026,9,15),日次入力!$A$4:$A$1500,"&lt;="&amp;DATE(2026,9,21),日次入力!$C$4:$C$1500,"MetaClaude"))</f>
        <v/>
      </c>
      <c r="M141" s="15" t="str">
        <f aca="false">IF(L141="","",IFERROR(L141/F141,""))</f>
        <v/>
      </c>
      <c r="N141" s="42" t="str">
        <f aca="false">IF(COUNTIFS(日次入力!$A$4:$A$1500,"&gt;="&amp;DATE(2026,9,15),日次入力!$A$4:$A$1500,"&lt;="&amp;DATE(2026,9,21),日次入力!$C$4:$C$1500,"MetaClaude")=0,"",SUMIFS(日次入力!$I$4:$I$1500,日次入力!$A$4:$A$1500,"&gt;="&amp;DATE(2026,9,15),日次入力!$A$4:$A$1500,"&lt;="&amp;DATE(2026,9,21),日次入力!$C$4:$C$1500,"MetaClaude"))</f>
        <v/>
      </c>
      <c r="O141" s="15" t="str">
        <f aca="false">IF(N141="","",IFERROR(N141/L141,""))</f>
        <v/>
      </c>
      <c r="P141" s="37" t="str">
        <f aca="false">IF(N141=0,"",IFERROR(C141/N141,""))</f>
        <v/>
      </c>
      <c r="Q141" s="38" t="str">
        <f aca="false">IF(N141=0,"",IFERROR(IF(C141/N141&lt;=用語集!$B$22,"◎ 許容内","✗ 超過"),"—"))</f>
        <v>—</v>
      </c>
      <c r="R141" s="39" t="str">
        <f aca="false">IFERROR(用語集!$B$22/P141,"")</f>
        <v/>
      </c>
    </row>
    <row r="142" customFormat="false" ht="15" hidden="false" customHeight="false" outlineLevel="0" collapsed="false">
      <c r="A142" s="34" t="s">
        <v>108</v>
      </c>
      <c r="B142" s="35" t="s">
        <v>109</v>
      </c>
      <c r="C142" s="41" t="str">
        <f aca="false">IF(COUNTIFS(日次入力!$A$4:$A$1500,"&gt;="&amp;DATE(2026,9,22),日次入力!$A$4:$A$1500,"&lt;="&amp;DATE(2026,9,28),日次入力!$C$4:$C$1500,"MetaClaude")=0,"",SUMIFS(日次入力!$D$4:$D$1500,日次入力!$A$4:$A$1500,"&gt;="&amp;DATE(2026,9,22),日次入力!$A$4:$A$1500,"&lt;="&amp;DATE(2026,9,28),日次入力!$C$4:$C$1500,"MetaClaude"))</f>
        <v/>
      </c>
      <c r="D142" s="42" t="str">
        <f aca="false">IF(COUNTIFS(日次入力!$A$4:$A$1500,"&gt;="&amp;DATE(2026,9,22),日次入力!$A$4:$A$1500,"&lt;="&amp;DATE(2026,9,28),日次入力!$C$4:$C$1500,"MetaClaude")=0,"",SUMIFS(日次入力!$E$4:$E$1500,日次入力!$A$4:$A$1500,"&gt;="&amp;DATE(2026,9,22),日次入力!$A$4:$A$1500,"&lt;="&amp;DATE(2026,9,28),日次入力!$C$4:$C$1500,"MetaClaude"))</f>
        <v/>
      </c>
      <c r="E142" s="42" t="str">
        <f aca="false">IF(COUNTIFS(日次入力!$A$4:$A$1500,"&gt;="&amp;DATE(2026,9,22),日次入力!$A$4:$A$1500,"&lt;="&amp;DATE(2026,9,28),日次入力!$C$4:$C$1500,"MetaClaude")=0,"",SUMIFS(日次入力!$F$4:$F$1500,日次入力!$A$4:$A$1500,"&gt;="&amp;DATE(2026,9,22),日次入力!$A$4:$A$1500,"&lt;="&amp;DATE(2026,9,28),日次入力!$C$4:$C$1500,"MetaClaude"))</f>
        <v/>
      </c>
      <c r="F142" s="42" t="str">
        <f aca="false">IF(COUNTIFS(日次入力!$A$4:$A$1500,"&gt;="&amp;DATE(2026,9,22),日次入力!$A$4:$A$1500,"&lt;="&amp;DATE(2026,9,28),日次入力!$C$4:$C$1500,"MetaClaude")=0,"",SUMIFS(日次入力!$G$4:$G$1500,日次入力!$A$4:$A$1500,"&gt;="&amp;DATE(2026,9,22),日次入力!$A$4:$A$1500,"&lt;="&amp;DATE(2026,9,28),日次入力!$C$4:$C$1500,"MetaClaude"))</f>
        <v/>
      </c>
      <c r="G142" s="15" t="str">
        <f aca="false">IFERROR(E142/D142,"")</f>
        <v/>
      </c>
      <c r="H142" s="37" t="str">
        <f aca="false">IFERROR(C142/E142,"")</f>
        <v/>
      </c>
      <c r="I142" s="37" t="str">
        <f aca="false">IFERROR(C142/D142*1000,"")</f>
        <v/>
      </c>
      <c r="J142" s="15" t="str">
        <f aca="false">IFERROR(F142/E142,"")</f>
        <v/>
      </c>
      <c r="K142" s="37" t="str">
        <f aca="false">IFERROR(C142/F142,"")</f>
        <v/>
      </c>
      <c r="L142" s="42" t="str">
        <f aca="false">IF(COUNTIFS(日次入力!$A$4:$A$1500,"&gt;="&amp;DATE(2026,9,22),日次入力!$A$4:$A$1500,"&lt;="&amp;DATE(2026,9,28),日次入力!$C$4:$C$1500,"MetaClaude")=0,"",SUMIFS(日次入力!$H$4:$H$1500,日次入力!$A$4:$A$1500,"&gt;="&amp;DATE(2026,9,22),日次入力!$A$4:$A$1500,"&lt;="&amp;DATE(2026,9,28),日次入力!$C$4:$C$1500,"MetaClaude"))</f>
        <v/>
      </c>
      <c r="M142" s="15" t="str">
        <f aca="false">IF(L142="","",IFERROR(L142/F142,""))</f>
        <v/>
      </c>
      <c r="N142" s="42" t="str">
        <f aca="false">IF(COUNTIFS(日次入力!$A$4:$A$1500,"&gt;="&amp;DATE(2026,9,22),日次入力!$A$4:$A$1500,"&lt;="&amp;DATE(2026,9,28),日次入力!$C$4:$C$1500,"MetaClaude")=0,"",SUMIFS(日次入力!$I$4:$I$1500,日次入力!$A$4:$A$1500,"&gt;="&amp;DATE(2026,9,22),日次入力!$A$4:$A$1500,"&lt;="&amp;DATE(2026,9,28),日次入力!$C$4:$C$1500,"MetaClaude"))</f>
        <v/>
      </c>
      <c r="O142" s="15" t="str">
        <f aca="false">IF(N142="","",IFERROR(N142/L142,""))</f>
        <v/>
      </c>
      <c r="P142" s="37" t="str">
        <f aca="false">IF(N142=0,"",IFERROR(C142/N142,""))</f>
        <v/>
      </c>
      <c r="Q142" s="38" t="str">
        <f aca="false">IF(N142=0,"",IFERROR(IF(C142/N142&lt;=用語集!$B$22,"◎ 許容内","✗ 超過"),"—"))</f>
        <v>—</v>
      </c>
      <c r="R142" s="39" t="str">
        <f aca="false">IFERROR(用語集!$B$22/P142,"")</f>
        <v/>
      </c>
    </row>
    <row r="143" customFormat="false" ht="15" hidden="false" customHeight="false" outlineLevel="0" collapsed="false">
      <c r="A143" s="34" t="s">
        <v>110</v>
      </c>
      <c r="B143" s="35" t="s">
        <v>111</v>
      </c>
      <c r="C143" s="41" t="str">
        <f aca="false">IF(COUNTIFS(日次入力!$A$4:$A$1500,"&gt;="&amp;DATE(2026,9,29),日次入力!$A$4:$A$1500,"&lt;="&amp;DATE(2026,10,5),日次入力!$C$4:$C$1500,"MetaClaude")=0,"",SUMIFS(日次入力!$D$4:$D$1500,日次入力!$A$4:$A$1500,"&gt;="&amp;DATE(2026,9,29),日次入力!$A$4:$A$1500,"&lt;="&amp;DATE(2026,10,5),日次入力!$C$4:$C$1500,"MetaClaude"))</f>
        <v/>
      </c>
      <c r="D143" s="42" t="str">
        <f aca="false">IF(COUNTIFS(日次入力!$A$4:$A$1500,"&gt;="&amp;DATE(2026,9,29),日次入力!$A$4:$A$1500,"&lt;="&amp;DATE(2026,10,5),日次入力!$C$4:$C$1500,"MetaClaude")=0,"",SUMIFS(日次入力!$E$4:$E$1500,日次入力!$A$4:$A$1500,"&gt;="&amp;DATE(2026,9,29),日次入力!$A$4:$A$1500,"&lt;="&amp;DATE(2026,10,5),日次入力!$C$4:$C$1500,"MetaClaude"))</f>
        <v/>
      </c>
      <c r="E143" s="42" t="str">
        <f aca="false">IF(COUNTIFS(日次入力!$A$4:$A$1500,"&gt;="&amp;DATE(2026,9,29),日次入力!$A$4:$A$1500,"&lt;="&amp;DATE(2026,10,5),日次入力!$C$4:$C$1500,"MetaClaude")=0,"",SUMIFS(日次入力!$F$4:$F$1500,日次入力!$A$4:$A$1500,"&gt;="&amp;DATE(2026,9,29),日次入力!$A$4:$A$1500,"&lt;="&amp;DATE(2026,10,5),日次入力!$C$4:$C$1500,"MetaClaude"))</f>
        <v/>
      </c>
      <c r="F143" s="42" t="str">
        <f aca="false">IF(COUNTIFS(日次入力!$A$4:$A$1500,"&gt;="&amp;DATE(2026,9,29),日次入力!$A$4:$A$1500,"&lt;="&amp;DATE(2026,10,5),日次入力!$C$4:$C$1500,"MetaClaude")=0,"",SUMIFS(日次入力!$G$4:$G$1500,日次入力!$A$4:$A$1500,"&gt;="&amp;DATE(2026,9,29),日次入力!$A$4:$A$1500,"&lt;="&amp;DATE(2026,10,5),日次入力!$C$4:$C$1500,"MetaClaude"))</f>
        <v/>
      </c>
      <c r="G143" s="15" t="str">
        <f aca="false">IFERROR(E143/D143,"")</f>
        <v/>
      </c>
      <c r="H143" s="37" t="str">
        <f aca="false">IFERROR(C143/E143,"")</f>
        <v/>
      </c>
      <c r="I143" s="37" t="str">
        <f aca="false">IFERROR(C143/D143*1000,"")</f>
        <v/>
      </c>
      <c r="J143" s="15" t="str">
        <f aca="false">IFERROR(F143/E143,"")</f>
        <v/>
      </c>
      <c r="K143" s="37" t="str">
        <f aca="false">IFERROR(C143/F143,"")</f>
        <v/>
      </c>
      <c r="L143" s="42" t="str">
        <f aca="false">IF(COUNTIFS(日次入力!$A$4:$A$1500,"&gt;="&amp;DATE(2026,9,29),日次入力!$A$4:$A$1500,"&lt;="&amp;DATE(2026,10,5),日次入力!$C$4:$C$1500,"MetaClaude")=0,"",SUMIFS(日次入力!$H$4:$H$1500,日次入力!$A$4:$A$1500,"&gt;="&amp;DATE(2026,9,29),日次入力!$A$4:$A$1500,"&lt;="&amp;DATE(2026,10,5),日次入力!$C$4:$C$1500,"MetaClaude"))</f>
        <v/>
      </c>
      <c r="M143" s="15" t="str">
        <f aca="false">IF(L143="","",IFERROR(L143/F143,""))</f>
        <v/>
      </c>
      <c r="N143" s="42" t="str">
        <f aca="false">IF(COUNTIFS(日次入力!$A$4:$A$1500,"&gt;="&amp;DATE(2026,9,29),日次入力!$A$4:$A$1500,"&lt;="&amp;DATE(2026,10,5),日次入力!$C$4:$C$1500,"MetaClaude")=0,"",SUMIFS(日次入力!$I$4:$I$1500,日次入力!$A$4:$A$1500,"&gt;="&amp;DATE(2026,9,29),日次入力!$A$4:$A$1500,"&lt;="&amp;DATE(2026,10,5),日次入力!$C$4:$C$1500,"MetaClaude"))</f>
        <v/>
      </c>
      <c r="O143" s="15" t="str">
        <f aca="false">IF(N143="","",IFERROR(N143/L143,""))</f>
        <v/>
      </c>
      <c r="P143" s="37" t="str">
        <f aca="false">IF(N143=0,"",IFERROR(C143/N143,""))</f>
        <v/>
      </c>
      <c r="Q143" s="38" t="str">
        <f aca="false">IF(N143=0,"",IFERROR(IF(C143/N143&lt;=用語集!$B$22,"◎ 許容内","✗ 超過"),"—"))</f>
        <v>—</v>
      </c>
      <c r="R143" s="39" t="str">
        <f aca="false">IFERROR(用語集!$B$22/P143,"")</f>
        <v/>
      </c>
    </row>
    <row r="144" customFormat="false" ht="15" hidden="false" customHeight="false" outlineLevel="0" collapsed="false">
      <c r="A144" s="34" t="s">
        <v>112</v>
      </c>
      <c r="B144" s="35" t="s">
        <v>113</v>
      </c>
      <c r="C144" s="41" t="str">
        <f aca="false">IF(COUNTIFS(日次入力!$A$4:$A$1500,"&gt;="&amp;DATE(2026,10,6),日次入力!$A$4:$A$1500,"&lt;="&amp;DATE(2026,10,12),日次入力!$C$4:$C$1500,"MetaClaude")=0,"",SUMIFS(日次入力!$D$4:$D$1500,日次入力!$A$4:$A$1500,"&gt;="&amp;DATE(2026,10,6),日次入力!$A$4:$A$1500,"&lt;="&amp;DATE(2026,10,12),日次入力!$C$4:$C$1500,"MetaClaude"))</f>
        <v/>
      </c>
      <c r="D144" s="42" t="str">
        <f aca="false">IF(COUNTIFS(日次入力!$A$4:$A$1500,"&gt;="&amp;DATE(2026,10,6),日次入力!$A$4:$A$1500,"&lt;="&amp;DATE(2026,10,12),日次入力!$C$4:$C$1500,"MetaClaude")=0,"",SUMIFS(日次入力!$E$4:$E$1500,日次入力!$A$4:$A$1500,"&gt;="&amp;DATE(2026,10,6),日次入力!$A$4:$A$1500,"&lt;="&amp;DATE(2026,10,12),日次入力!$C$4:$C$1500,"MetaClaude"))</f>
        <v/>
      </c>
      <c r="E144" s="42" t="str">
        <f aca="false">IF(COUNTIFS(日次入力!$A$4:$A$1500,"&gt;="&amp;DATE(2026,10,6),日次入力!$A$4:$A$1500,"&lt;="&amp;DATE(2026,10,12),日次入力!$C$4:$C$1500,"MetaClaude")=0,"",SUMIFS(日次入力!$F$4:$F$1500,日次入力!$A$4:$A$1500,"&gt;="&amp;DATE(2026,10,6),日次入力!$A$4:$A$1500,"&lt;="&amp;DATE(2026,10,12),日次入力!$C$4:$C$1500,"MetaClaude"))</f>
        <v/>
      </c>
      <c r="F144" s="42" t="str">
        <f aca="false">IF(COUNTIFS(日次入力!$A$4:$A$1500,"&gt;="&amp;DATE(2026,10,6),日次入力!$A$4:$A$1500,"&lt;="&amp;DATE(2026,10,12),日次入力!$C$4:$C$1500,"MetaClaude")=0,"",SUMIFS(日次入力!$G$4:$G$1500,日次入力!$A$4:$A$1500,"&gt;="&amp;DATE(2026,10,6),日次入力!$A$4:$A$1500,"&lt;="&amp;DATE(2026,10,12),日次入力!$C$4:$C$1500,"MetaClaude"))</f>
        <v/>
      </c>
      <c r="G144" s="15" t="str">
        <f aca="false">IFERROR(E144/D144,"")</f>
        <v/>
      </c>
      <c r="H144" s="37" t="str">
        <f aca="false">IFERROR(C144/E144,"")</f>
        <v/>
      </c>
      <c r="I144" s="37" t="str">
        <f aca="false">IFERROR(C144/D144*1000,"")</f>
        <v/>
      </c>
      <c r="J144" s="15" t="str">
        <f aca="false">IFERROR(F144/E144,"")</f>
        <v/>
      </c>
      <c r="K144" s="37" t="str">
        <f aca="false">IFERROR(C144/F144,"")</f>
        <v/>
      </c>
      <c r="L144" s="42" t="str">
        <f aca="false">IF(COUNTIFS(日次入力!$A$4:$A$1500,"&gt;="&amp;DATE(2026,10,6),日次入力!$A$4:$A$1500,"&lt;="&amp;DATE(2026,10,12),日次入力!$C$4:$C$1500,"MetaClaude")=0,"",SUMIFS(日次入力!$H$4:$H$1500,日次入力!$A$4:$A$1500,"&gt;="&amp;DATE(2026,10,6),日次入力!$A$4:$A$1500,"&lt;="&amp;DATE(2026,10,12),日次入力!$C$4:$C$1500,"MetaClaude"))</f>
        <v/>
      </c>
      <c r="M144" s="15" t="str">
        <f aca="false">IF(L144="","",IFERROR(L144/F144,""))</f>
        <v/>
      </c>
      <c r="N144" s="42" t="str">
        <f aca="false">IF(COUNTIFS(日次入力!$A$4:$A$1500,"&gt;="&amp;DATE(2026,10,6),日次入力!$A$4:$A$1500,"&lt;="&amp;DATE(2026,10,12),日次入力!$C$4:$C$1500,"MetaClaude")=0,"",SUMIFS(日次入力!$I$4:$I$1500,日次入力!$A$4:$A$1500,"&gt;="&amp;DATE(2026,10,6),日次入力!$A$4:$A$1500,"&lt;="&amp;DATE(2026,10,12),日次入力!$C$4:$C$1500,"MetaClaude"))</f>
        <v/>
      </c>
      <c r="O144" s="15" t="str">
        <f aca="false">IF(N144="","",IFERROR(N144/L144,""))</f>
        <v/>
      </c>
      <c r="P144" s="37" t="str">
        <f aca="false">IF(N144=0,"",IFERROR(C144/N144,""))</f>
        <v/>
      </c>
      <c r="Q144" s="38" t="str">
        <f aca="false">IF(N144=0,"",IFERROR(IF(C144/N144&lt;=用語集!$B$22,"◎ 許容内","✗ 超過"),"—"))</f>
        <v>—</v>
      </c>
      <c r="R144" s="39" t="str">
        <f aca="false">IFERROR(用語集!$B$22/P144,"")</f>
        <v/>
      </c>
    </row>
    <row r="145" customFormat="false" ht="15" hidden="false" customHeight="false" outlineLevel="0" collapsed="false">
      <c r="A145" s="34" t="s">
        <v>114</v>
      </c>
      <c r="B145" s="35" t="s">
        <v>115</v>
      </c>
      <c r="C145" s="41" t="str">
        <f aca="false">IF(COUNTIFS(日次入力!$A$4:$A$1500,"&gt;="&amp;DATE(2026,10,13),日次入力!$A$4:$A$1500,"&lt;="&amp;DATE(2026,10,19),日次入力!$C$4:$C$1500,"MetaClaude")=0,"",SUMIFS(日次入力!$D$4:$D$1500,日次入力!$A$4:$A$1500,"&gt;="&amp;DATE(2026,10,13),日次入力!$A$4:$A$1500,"&lt;="&amp;DATE(2026,10,19),日次入力!$C$4:$C$1500,"MetaClaude"))</f>
        <v/>
      </c>
      <c r="D145" s="42" t="str">
        <f aca="false">IF(COUNTIFS(日次入力!$A$4:$A$1500,"&gt;="&amp;DATE(2026,10,13),日次入力!$A$4:$A$1500,"&lt;="&amp;DATE(2026,10,19),日次入力!$C$4:$C$1500,"MetaClaude")=0,"",SUMIFS(日次入力!$E$4:$E$1500,日次入力!$A$4:$A$1500,"&gt;="&amp;DATE(2026,10,13),日次入力!$A$4:$A$1500,"&lt;="&amp;DATE(2026,10,19),日次入力!$C$4:$C$1500,"MetaClaude"))</f>
        <v/>
      </c>
      <c r="E145" s="42" t="str">
        <f aca="false">IF(COUNTIFS(日次入力!$A$4:$A$1500,"&gt;="&amp;DATE(2026,10,13),日次入力!$A$4:$A$1500,"&lt;="&amp;DATE(2026,10,19),日次入力!$C$4:$C$1500,"MetaClaude")=0,"",SUMIFS(日次入力!$F$4:$F$1500,日次入力!$A$4:$A$1500,"&gt;="&amp;DATE(2026,10,13),日次入力!$A$4:$A$1500,"&lt;="&amp;DATE(2026,10,19),日次入力!$C$4:$C$1500,"MetaClaude"))</f>
        <v/>
      </c>
      <c r="F145" s="42" t="str">
        <f aca="false">IF(COUNTIFS(日次入力!$A$4:$A$1500,"&gt;="&amp;DATE(2026,10,13),日次入力!$A$4:$A$1500,"&lt;="&amp;DATE(2026,10,19),日次入力!$C$4:$C$1500,"MetaClaude")=0,"",SUMIFS(日次入力!$G$4:$G$1500,日次入力!$A$4:$A$1500,"&gt;="&amp;DATE(2026,10,13),日次入力!$A$4:$A$1500,"&lt;="&amp;DATE(2026,10,19),日次入力!$C$4:$C$1500,"MetaClaude"))</f>
        <v/>
      </c>
      <c r="G145" s="15" t="str">
        <f aca="false">IFERROR(E145/D145,"")</f>
        <v/>
      </c>
      <c r="H145" s="37" t="str">
        <f aca="false">IFERROR(C145/E145,"")</f>
        <v/>
      </c>
      <c r="I145" s="37" t="str">
        <f aca="false">IFERROR(C145/D145*1000,"")</f>
        <v/>
      </c>
      <c r="J145" s="15" t="str">
        <f aca="false">IFERROR(F145/E145,"")</f>
        <v/>
      </c>
      <c r="K145" s="37" t="str">
        <f aca="false">IFERROR(C145/F145,"")</f>
        <v/>
      </c>
      <c r="L145" s="42" t="str">
        <f aca="false">IF(COUNTIFS(日次入力!$A$4:$A$1500,"&gt;="&amp;DATE(2026,10,13),日次入力!$A$4:$A$1500,"&lt;="&amp;DATE(2026,10,19),日次入力!$C$4:$C$1500,"MetaClaude")=0,"",SUMIFS(日次入力!$H$4:$H$1500,日次入力!$A$4:$A$1500,"&gt;="&amp;DATE(2026,10,13),日次入力!$A$4:$A$1500,"&lt;="&amp;DATE(2026,10,19),日次入力!$C$4:$C$1500,"MetaClaude"))</f>
        <v/>
      </c>
      <c r="M145" s="15" t="str">
        <f aca="false">IF(L145="","",IFERROR(L145/F145,""))</f>
        <v/>
      </c>
      <c r="N145" s="42" t="str">
        <f aca="false">IF(COUNTIFS(日次入力!$A$4:$A$1500,"&gt;="&amp;DATE(2026,10,13),日次入力!$A$4:$A$1500,"&lt;="&amp;DATE(2026,10,19),日次入力!$C$4:$C$1500,"MetaClaude")=0,"",SUMIFS(日次入力!$I$4:$I$1500,日次入力!$A$4:$A$1500,"&gt;="&amp;DATE(2026,10,13),日次入力!$A$4:$A$1500,"&lt;="&amp;DATE(2026,10,19),日次入力!$C$4:$C$1500,"MetaClaude"))</f>
        <v/>
      </c>
      <c r="O145" s="15" t="str">
        <f aca="false">IF(N145="","",IFERROR(N145/L145,""))</f>
        <v/>
      </c>
      <c r="P145" s="37" t="str">
        <f aca="false">IF(N145=0,"",IFERROR(C145/N145,""))</f>
        <v/>
      </c>
      <c r="Q145" s="38" t="str">
        <f aca="false">IF(N145=0,"",IFERROR(IF(C145/N145&lt;=用語集!$B$22,"◎ 許容内","✗ 超過"),"—"))</f>
        <v>—</v>
      </c>
      <c r="R145" s="39" t="str">
        <f aca="false">IFERROR(用語集!$B$22/P145,"")</f>
        <v/>
      </c>
    </row>
    <row r="146" customFormat="false" ht="15" hidden="false" customHeight="false" outlineLevel="0" collapsed="false">
      <c r="A146" s="34" t="s">
        <v>116</v>
      </c>
      <c r="B146" s="35" t="s">
        <v>117</v>
      </c>
      <c r="C146" s="41" t="str">
        <f aca="false">IF(COUNTIFS(日次入力!$A$4:$A$1500,"&gt;="&amp;DATE(2026,10,20),日次入力!$A$4:$A$1500,"&lt;="&amp;DATE(2026,10,26),日次入力!$C$4:$C$1500,"MetaClaude")=0,"",SUMIFS(日次入力!$D$4:$D$1500,日次入力!$A$4:$A$1500,"&gt;="&amp;DATE(2026,10,20),日次入力!$A$4:$A$1500,"&lt;="&amp;DATE(2026,10,26),日次入力!$C$4:$C$1500,"MetaClaude"))</f>
        <v/>
      </c>
      <c r="D146" s="42" t="str">
        <f aca="false">IF(COUNTIFS(日次入力!$A$4:$A$1500,"&gt;="&amp;DATE(2026,10,20),日次入力!$A$4:$A$1500,"&lt;="&amp;DATE(2026,10,26),日次入力!$C$4:$C$1500,"MetaClaude")=0,"",SUMIFS(日次入力!$E$4:$E$1500,日次入力!$A$4:$A$1500,"&gt;="&amp;DATE(2026,10,20),日次入力!$A$4:$A$1500,"&lt;="&amp;DATE(2026,10,26),日次入力!$C$4:$C$1500,"MetaClaude"))</f>
        <v/>
      </c>
      <c r="E146" s="42" t="str">
        <f aca="false">IF(COUNTIFS(日次入力!$A$4:$A$1500,"&gt;="&amp;DATE(2026,10,20),日次入力!$A$4:$A$1500,"&lt;="&amp;DATE(2026,10,26),日次入力!$C$4:$C$1500,"MetaClaude")=0,"",SUMIFS(日次入力!$F$4:$F$1500,日次入力!$A$4:$A$1500,"&gt;="&amp;DATE(2026,10,20),日次入力!$A$4:$A$1500,"&lt;="&amp;DATE(2026,10,26),日次入力!$C$4:$C$1500,"MetaClaude"))</f>
        <v/>
      </c>
      <c r="F146" s="42" t="str">
        <f aca="false">IF(COUNTIFS(日次入力!$A$4:$A$1500,"&gt;="&amp;DATE(2026,10,20),日次入力!$A$4:$A$1500,"&lt;="&amp;DATE(2026,10,26),日次入力!$C$4:$C$1500,"MetaClaude")=0,"",SUMIFS(日次入力!$G$4:$G$1500,日次入力!$A$4:$A$1500,"&gt;="&amp;DATE(2026,10,20),日次入力!$A$4:$A$1500,"&lt;="&amp;DATE(2026,10,26),日次入力!$C$4:$C$1500,"MetaClaude"))</f>
        <v/>
      </c>
      <c r="G146" s="15" t="str">
        <f aca="false">IFERROR(E146/D146,"")</f>
        <v/>
      </c>
      <c r="H146" s="37" t="str">
        <f aca="false">IFERROR(C146/E146,"")</f>
        <v/>
      </c>
      <c r="I146" s="37" t="str">
        <f aca="false">IFERROR(C146/D146*1000,"")</f>
        <v/>
      </c>
      <c r="J146" s="15" t="str">
        <f aca="false">IFERROR(F146/E146,"")</f>
        <v/>
      </c>
      <c r="K146" s="37" t="str">
        <f aca="false">IFERROR(C146/F146,"")</f>
        <v/>
      </c>
      <c r="L146" s="42" t="str">
        <f aca="false">IF(COUNTIFS(日次入力!$A$4:$A$1500,"&gt;="&amp;DATE(2026,10,20),日次入力!$A$4:$A$1500,"&lt;="&amp;DATE(2026,10,26),日次入力!$C$4:$C$1500,"MetaClaude")=0,"",SUMIFS(日次入力!$H$4:$H$1500,日次入力!$A$4:$A$1500,"&gt;="&amp;DATE(2026,10,20),日次入力!$A$4:$A$1500,"&lt;="&amp;DATE(2026,10,26),日次入力!$C$4:$C$1500,"MetaClaude"))</f>
        <v/>
      </c>
      <c r="M146" s="15" t="str">
        <f aca="false">IF(L146="","",IFERROR(L146/F146,""))</f>
        <v/>
      </c>
      <c r="N146" s="42" t="str">
        <f aca="false">IF(COUNTIFS(日次入力!$A$4:$A$1500,"&gt;="&amp;DATE(2026,10,20),日次入力!$A$4:$A$1500,"&lt;="&amp;DATE(2026,10,26),日次入力!$C$4:$C$1500,"MetaClaude")=0,"",SUMIFS(日次入力!$I$4:$I$1500,日次入力!$A$4:$A$1500,"&gt;="&amp;DATE(2026,10,20),日次入力!$A$4:$A$1500,"&lt;="&amp;DATE(2026,10,26),日次入力!$C$4:$C$1500,"MetaClaude"))</f>
        <v/>
      </c>
      <c r="O146" s="15" t="str">
        <f aca="false">IF(N146="","",IFERROR(N146/L146,""))</f>
        <v/>
      </c>
      <c r="P146" s="37" t="str">
        <f aca="false">IF(N146=0,"",IFERROR(C146/N146,""))</f>
        <v/>
      </c>
      <c r="Q146" s="38" t="str">
        <f aca="false">IF(N146=0,"",IFERROR(IF(C146/N146&lt;=用語集!$B$22,"◎ 許容内","✗ 超過"),"—"))</f>
        <v>—</v>
      </c>
      <c r="R146" s="39" t="str">
        <f aca="false">IFERROR(用語集!$B$22/P146,"")</f>
        <v/>
      </c>
    </row>
    <row r="147" customFormat="false" ht="15" hidden="false" customHeight="false" outlineLevel="0" collapsed="false">
      <c r="A147" s="34" t="s">
        <v>118</v>
      </c>
      <c r="B147" s="35" t="s">
        <v>119</v>
      </c>
      <c r="C147" s="41" t="str">
        <f aca="false">IF(COUNTIFS(日次入力!$A$4:$A$1500,"&gt;="&amp;DATE(2026,10,27),日次入力!$A$4:$A$1500,"&lt;="&amp;DATE(2026,11,2),日次入力!$C$4:$C$1500,"MetaClaude")=0,"",SUMIFS(日次入力!$D$4:$D$1500,日次入力!$A$4:$A$1500,"&gt;="&amp;DATE(2026,10,27),日次入力!$A$4:$A$1500,"&lt;="&amp;DATE(2026,11,2),日次入力!$C$4:$C$1500,"MetaClaude"))</f>
        <v/>
      </c>
      <c r="D147" s="42" t="str">
        <f aca="false">IF(COUNTIFS(日次入力!$A$4:$A$1500,"&gt;="&amp;DATE(2026,10,27),日次入力!$A$4:$A$1500,"&lt;="&amp;DATE(2026,11,2),日次入力!$C$4:$C$1500,"MetaClaude")=0,"",SUMIFS(日次入力!$E$4:$E$1500,日次入力!$A$4:$A$1500,"&gt;="&amp;DATE(2026,10,27),日次入力!$A$4:$A$1500,"&lt;="&amp;DATE(2026,11,2),日次入力!$C$4:$C$1500,"MetaClaude"))</f>
        <v/>
      </c>
      <c r="E147" s="42" t="str">
        <f aca="false">IF(COUNTIFS(日次入力!$A$4:$A$1500,"&gt;="&amp;DATE(2026,10,27),日次入力!$A$4:$A$1500,"&lt;="&amp;DATE(2026,11,2),日次入力!$C$4:$C$1500,"MetaClaude")=0,"",SUMIFS(日次入力!$F$4:$F$1500,日次入力!$A$4:$A$1500,"&gt;="&amp;DATE(2026,10,27),日次入力!$A$4:$A$1500,"&lt;="&amp;DATE(2026,11,2),日次入力!$C$4:$C$1500,"MetaClaude"))</f>
        <v/>
      </c>
      <c r="F147" s="42" t="str">
        <f aca="false">IF(COUNTIFS(日次入力!$A$4:$A$1500,"&gt;="&amp;DATE(2026,10,27),日次入力!$A$4:$A$1500,"&lt;="&amp;DATE(2026,11,2),日次入力!$C$4:$C$1500,"MetaClaude")=0,"",SUMIFS(日次入力!$G$4:$G$1500,日次入力!$A$4:$A$1500,"&gt;="&amp;DATE(2026,10,27),日次入力!$A$4:$A$1500,"&lt;="&amp;DATE(2026,11,2),日次入力!$C$4:$C$1500,"MetaClaude"))</f>
        <v/>
      </c>
      <c r="G147" s="15" t="str">
        <f aca="false">IFERROR(E147/D147,"")</f>
        <v/>
      </c>
      <c r="H147" s="37" t="str">
        <f aca="false">IFERROR(C147/E147,"")</f>
        <v/>
      </c>
      <c r="I147" s="37" t="str">
        <f aca="false">IFERROR(C147/D147*1000,"")</f>
        <v/>
      </c>
      <c r="J147" s="15" t="str">
        <f aca="false">IFERROR(F147/E147,"")</f>
        <v/>
      </c>
      <c r="K147" s="37" t="str">
        <f aca="false">IFERROR(C147/F147,"")</f>
        <v/>
      </c>
      <c r="L147" s="42" t="str">
        <f aca="false">IF(COUNTIFS(日次入力!$A$4:$A$1500,"&gt;="&amp;DATE(2026,10,27),日次入力!$A$4:$A$1500,"&lt;="&amp;DATE(2026,11,2),日次入力!$C$4:$C$1500,"MetaClaude")=0,"",SUMIFS(日次入力!$H$4:$H$1500,日次入力!$A$4:$A$1500,"&gt;="&amp;DATE(2026,10,27),日次入力!$A$4:$A$1500,"&lt;="&amp;DATE(2026,11,2),日次入力!$C$4:$C$1500,"MetaClaude"))</f>
        <v/>
      </c>
      <c r="M147" s="15" t="str">
        <f aca="false">IF(L147="","",IFERROR(L147/F147,""))</f>
        <v/>
      </c>
      <c r="N147" s="42" t="str">
        <f aca="false">IF(COUNTIFS(日次入力!$A$4:$A$1500,"&gt;="&amp;DATE(2026,10,27),日次入力!$A$4:$A$1500,"&lt;="&amp;DATE(2026,11,2),日次入力!$C$4:$C$1500,"MetaClaude")=0,"",SUMIFS(日次入力!$I$4:$I$1500,日次入力!$A$4:$A$1500,"&gt;="&amp;DATE(2026,10,27),日次入力!$A$4:$A$1500,"&lt;="&amp;DATE(2026,11,2),日次入力!$C$4:$C$1500,"MetaClaude"))</f>
        <v/>
      </c>
      <c r="O147" s="15" t="str">
        <f aca="false">IF(N147="","",IFERROR(N147/L147,""))</f>
        <v/>
      </c>
      <c r="P147" s="37" t="str">
        <f aca="false">IF(N147=0,"",IFERROR(C147/N147,""))</f>
        <v/>
      </c>
      <c r="Q147" s="38" t="str">
        <f aca="false">IF(N147=0,"",IFERROR(IF(C147/N147&lt;=用語集!$B$22,"◎ 許容内","✗ 超過"),"—"))</f>
        <v>—</v>
      </c>
      <c r="R147" s="39" t="str">
        <f aca="false">IFERROR(用語集!$B$22/P147,"")</f>
        <v/>
      </c>
    </row>
    <row r="148" customFormat="false" ht="15" hidden="false" customHeight="false" outlineLevel="0" collapsed="false">
      <c r="A148" s="34" t="s">
        <v>120</v>
      </c>
      <c r="B148" s="35" t="s">
        <v>121</v>
      </c>
      <c r="C148" s="41" t="str">
        <f aca="false">IF(COUNTIFS(日次入力!$A$4:$A$1500,"&gt;="&amp;DATE(2026,11,3),日次入力!$A$4:$A$1500,"&lt;="&amp;DATE(2026,11,9),日次入力!$C$4:$C$1500,"MetaClaude")=0,"",SUMIFS(日次入力!$D$4:$D$1500,日次入力!$A$4:$A$1500,"&gt;="&amp;DATE(2026,11,3),日次入力!$A$4:$A$1500,"&lt;="&amp;DATE(2026,11,9),日次入力!$C$4:$C$1500,"MetaClaude"))</f>
        <v/>
      </c>
      <c r="D148" s="42" t="str">
        <f aca="false">IF(COUNTIFS(日次入力!$A$4:$A$1500,"&gt;="&amp;DATE(2026,11,3),日次入力!$A$4:$A$1500,"&lt;="&amp;DATE(2026,11,9),日次入力!$C$4:$C$1500,"MetaClaude")=0,"",SUMIFS(日次入力!$E$4:$E$1500,日次入力!$A$4:$A$1500,"&gt;="&amp;DATE(2026,11,3),日次入力!$A$4:$A$1500,"&lt;="&amp;DATE(2026,11,9),日次入力!$C$4:$C$1500,"MetaClaude"))</f>
        <v/>
      </c>
      <c r="E148" s="42" t="str">
        <f aca="false">IF(COUNTIFS(日次入力!$A$4:$A$1500,"&gt;="&amp;DATE(2026,11,3),日次入力!$A$4:$A$1500,"&lt;="&amp;DATE(2026,11,9),日次入力!$C$4:$C$1500,"MetaClaude")=0,"",SUMIFS(日次入力!$F$4:$F$1500,日次入力!$A$4:$A$1500,"&gt;="&amp;DATE(2026,11,3),日次入力!$A$4:$A$1500,"&lt;="&amp;DATE(2026,11,9),日次入力!$C$4:$C$1500,"MetaClaude"))</f>
        <v/>
      </c>
      <c r="F148" s="42" t="str">
        <f aca="false">IF(COUNTIFS(日次入力!$A$4:$A$1500,"&gt;="&amp;DATE(2026,11,3),日次入力!$A$4:$A$1500,"&lt;="&amp;DATE(2026,11,9),日次入力!$C$4:$C$1500,"MetaClaude")=0,"",SUMIFS(日次入力!$G$4:$G$1500,日次入力!$A$4:$A$1500,"&gt;="&amp;DATE(2026,11,3),日次入力!$A$4:$A$1500,"&lt;="&amp;DATE(2026,11,9),日次入力!$C$4:$C$1500,"MetaClaude"))</f>
        <v/>
      </c>
      <c r="G148" s="15" t="str">
        <f aca="false">IFERROR(E148/D148,"")</f>
        <v/>
      </c>
      <c r="H148" s="37" t="str">
        <f aca="false">IFERROR(C148/E148,"")</f>
        <v/>
      </c>
      <c r="I148" s="37" t="str">
        <f aca="false">IFERROR(C148/D148*1000,"")</f>
        <v/>
      </c>
      <c r="J148" s="15" t="str">
        <f aca="false">IFERROR(F148/E148,"")</f>
        <v/>
      </c>
      <c r="K148" s="37" t="str">
        <f aca="false">IFERROR(C148/F148,"")</f>
        <v/>
      </c>
      <c r="L148" s="42" t="str">
        <f aca="false">IF(COUNTIFS(日次入力!$A$4:$A$1500,"&gt;="&amp;DATE(2026,11,3),日次入力!$A$4:$A$1500,"&lt;="&amp;DATE(2026,11,9),日次入力!$C$4:$C$1500,"MetaClaude")=0,"",SUMIFS(日次入力!$H$4:$H$1500,日次入力!$A$4:$A$1500,"&gt;="&amp;DATE(2026,11,3),日次入力!$A$4:$A$1500,"&lt;="&amp;DATE(2026,11,9),日次入力!$C$4:$C$1500,"MetaClaude"))</f>
        <v/>
      </c>
      <c r="M148" s="15" t="str">
        <f aca="false">IF(L148="","",IFERROR(L148/F148,""))</f>
        <v/>
      </c>
      <c r="N148" s="42" t="str">
        <f aca="false">IF(COUNTIFS(日次入力!$A$4:$A$1500,"&gt;="&amp;DATE(2026,11,3),日次入力!$A$4:$A$1500,"&lt;="&amp;DATE(2026,11,9),日次入力!$C$4:$C$1500,"MetaClaude")=0,"",SUMIFS(日次入力!$I$4:$I$1500,日次入力!$A$4:$A$1500,"&gt;="&amp;DATE(2026,11,3),日次入力!$A$4:$A$1500,"&lt;="&amp;DATE(2026,11,9),日次入力!$C$4:$C$1500,"MetaClaude"))</f>
        <v/>
      </c>
      <c r="O148" s="15" t="str">
        <f aca="false">IF(N148="","",IFERROR(N148/L148,""))</f>
        <v/>
      </c>
      <c r="P148" s="37" t="str">
        <f aca="false">IF(N148=0,"",IFERROR(C148/N148,""))</f>
        <v/>
      </c>
      <c r="Q148" s="38" t="str">
        <f aca="false">IF(N148=0,"",IFERROR(IF(C148/N148&lt;=用語集!$B$22,"◎ 許容内","✗ 超過"),"—"))</f>
        <v>—</v>
      </c>
      <c r="R148" s="39" t="str">
        <f aca="false">IFERROR(用語集!$B$22/P148,"")</f>
        <v/>
      </c>
    </row>
    <row r="149" customFormat="false" ht="15" hidden="false" customHeight="false" outlineLevel="0" collapsed="false">
      <c r="A149" s="34" t="s">
        <v>122</v>
      </c>
      <c r="B149" s="35" t="s">
        <v>123</v>
      </c>
      <c r="C149" s="41" t="str">
        <f aca="false">IF(COUNTIFS(日次入力!$A$4:$A$1500,"&gt;="&amp;DATE(2026,11,10),日次入力!$A$4:$A$1500,"&lt;="&amp;DATE(2026,11,16),日次入力!$C$4:$C$1500,"MetaClaude")=0,"",SUMIFS(日次入力!$D$4:$D$1500,日次入力!$A$4:$A$1500,"&gt;="&amp;DATE(2026,11,10),日次入力!$A$4:$A$1500,"&lt;="&amp;DATE(2026,11,16),日次入力!$C$4:$C$1500,"MetaClaude"))</f>
        <v/>
      </c>
      <c r="D149" s="42" t="str">
        <f aca="false">IF(COUNTIFS(日次入力!$A$4:$A$1500,"&gt;="&amp;DATE(2026,11,10),日次入力!$A$4:$A$1500,"&lt;="&amp;DATE(2026,11,16),日次入力!$C$4:$C$1500,"MetaClaude")=0,"",SUMIFS(日次入力!$E$4:$E$1500,日次入力!$A$4:$A$1500,"&gt;="&amp;DATE(2026,11,10),日次入力!$A$4:$A$1500,"&lt;="&amp;DATE(2026,11,16),日次入力!$C$4:$C$1500,"MetaClaude"))</f>
        <v/>
      </c>
      <c r="E149" s="42" t="str">
        <f aca="false">IF(COUNTIFS(日次入力!$A$4:$A$1500,"&gt;="&amp;DATE(2026,11,10),日次入力!$A$4:$A$1500,"&lt;="&amp;DATE(2026,11,16),日次入力!$C$4:$C$1500,"MetaClaude")=0,"",SUMIFS(日次入力!$F$4:$F$1500,日次入力!$A$4:$A$1500,"&gt;="&amp;DATE(2026,11,10),日次入力!$A$4:$A$1500,"&lt;="&amp;DATE(2026,11,16),日次入力!$C$4:$C$1500,"MetaClaude"))</f>
        <v/>
      </c>
      <c r="F149" s="42" t="str">
        <f aca="false">IF(COUNTIFS(日次入力!$A$4:$A$1500,"&gt;="&amp;DATE(2026,11,10),日次入力!$A$4:$A$1500,"&lt;="&amp;DATE(2026,11,16),日次入力!$C$4:$C$1500,"MetaClaude")=0,"",SUMIFS(日次入力!$G$4:$G$1500,日次入力!$A$4:$A$1500,"&gt;="&amp;DATE(2026,11,10),日次入力!$A$4:$A$1500,"&lt;="&amp;DATE(2026,11,16),日次入力!$C$4:$C$1500,"MetaClaude"))</f>
        <v/>
      </c>
      <c r="G149" s="15" t="str">
        <f aca="false">IFERROR(E149/D149,"")</f>
        <v/>
      </c>
      <c r="H149" s="37" t="str">
        <f aca="false">IFERROR(C149/E149,"")</f>
        <v/>
      </c>
      <c r="I149" s="37" t="str">
        <f aca="false">IFERROR(C149/D149*1000,"")</f>
        <v/>
      </c>
      <c r="J149" s="15" t="str">
        <f aca="false">IFERROR(F149/E149,"")</f>
        <v/>
      </c>
      <c r="K149" s="37" t="str">
        <f aca="false">IFERROR(C149/F149,"")</f>
        <v/>
      </c>
      <c r="L149" s="42" t="str">
        <f aca="false">IF(COUNTIFS(日次入力!$A$4:$A$1500,"&gt;="&amp;DATE(2026,11,10),日次入力!$A$4:$A$1500,"&lt;="&amp;DATE(2026,11,16),日次入力!$C$4:$C$1500,"MetaClaude")=0,"",SUMIFS(日次入力!$H$4:$H$1500,日次入力!$A$4:$A$1500,"&gt;="&amp;DATE(2026,11,10),日次入力!$A$4:$A$1500,"&lt;="&amp;DATE(2026,11,16),日次入力!$C$4:$C$1500,"MetaClaude"))</f>
        <v/>
      </c>
      <c r="M149" s="15" t="str">
        <f aca="false">IF(L149="","",IFERROR(L149/F149,""))</f>
        <v/>
      </c>
      <c r="N149" s="42" t="str">
        <f aca="false">IF(COUNTIFS(日次入力!$A$4:$A$1500,"&gt;="&amp;DATE(2026,11,10),日次入力!$A$4:$A$1500,"&lt;="&amp;DATE(2026,11,16),日次入力!$C$4:$C$1500,"MetaClaude")=0,"",SUMIFS(日次入力!$I$4:$I$1500,日次入力!$A$4:$A$1500,"&gt;="&amp;DATE(2026,11,10),日次入力!$A$4:$A$1500,"&lt;="&amp;DATE(2026,11,16),日次入力!$C$4:$C$1500,"MetaClaude"))</f>
        <v/>
      </c>
      <c r="O149" s="15" t="str">
        <f aca="false">IF(N149="","",IFERROR(N149/L149,""))</f>
        <v/>
      </c>
      <c r="P149" s="37" t="str">
        <f aca="false">IF(N149=0,"",IFERROR(C149/N149,""))</f>
        <v/>
      </c>
      <c r="Q149" s="38" t="str">
        <f aca="false">IF(N149=0,"",IFERROR(IF(C149/N149&lt;=用語集!$B$22,"◎ 許容内","✗ 超過"),"—"))</f>
        <v>—</v>
      </c>
      <c r="R149" s="39" t="str">
        <f aca="false">IFERROR(用語集!$B$22/P149,"")</f>
        <v/>
      </c>
    </row>
    <row r="150" customFormat="false" ht="15" hidden="false" customHeight="false" outlineLevel="0" collapsed="false">
      <c r="A150" s="34" t="s">
        <v>124</v>
      </c>
      <c r="B150" s="35" t="s">
        <v>125</v>
      </c>
      <c r="C150" s="41" t="str">
        <f aca="false">IF(COUNTIFS(日次入力!$A$4:$A$1500,"&gt;="&amp;DATE(2026,11,17),日次入力!$A$4:$A$1500,"&lt;="&amp;DATE(2026,11,23),日次入力!$C$4:$C$1500,"MetaClaude")=0,"",SUMIFS(日次入力!$D$4:$D$1500,日次入力!$A$4:$A$1500,"&gt;="&amp;DATE(2026,11,17),日次入力!$A$4:$A$1500,"&lt;="&amp;DATE(2026,11,23),日次入力!$C$4:$C$1500,"MetaClaude"))</f>
        <v/>
      </c>
      <c r="D150" s="42" t="str">
        <f aca="false">IF(COUNTIFS(日次入力!$A$4:$A$1500,"&gt;="&amp;DATE(2026,11,17),日次入力!$A$4:$A$1500,"&lt;="&amp;DATE(2026,11,23),日次入力!$C$4:$C$1500,"MetaClaude")=0,"",SUMIFS(日次入力!$E$4:$E$1500,日次入力!$A$4:$A$1500,"&gt;="&amp;DATE(2026,11,17),日次入力!$A$4:$A$1500,"&lt;="&amp;DATE(2026,11,23),日次入力!$C$4:$C$1500,"MetaClaude"))</f>
        <v/>
      </c>
      <c r="E150" s="42" t="str">
        <f aca="false">IF(COUNTIFS(日次入力!$A$4:$A$1500,"&gt;="&amp;DATE(2026,11,17),日次入力!$A$4:$A$1500,"&lt;="&amp;DATE(2026,11,23),日次入力!$C$4:$C$1500,"MetaClaude")=0,"",SUMIFS(日次入力!$F$4:$F$1500,日次入力!$A$4:$A$1500,"&gt;="&amp;DATE(2026,11,17),日次入力!$A$4:$A$1500,"&lt;="&amp;DATE(2026,11,23),日次入力!$C$4:$C$1500,"MetaClaude"))</f>
        <v/>
      </c>
      <c r="F150" s="42" t="str">
        <f aca="false">IF(COUNTIFS(日次入力!$A$4:$A$1500,"&gt;="&amp;DATE(2026,11,17),日次入力!$A$4:$A$1500,"&lt;="&amp;DATE(2026,11,23),日次入力!$C$4:$C$1500,"MetaClaude")=0,"",SUMIFS(日次入力!$G$4:$G$1500,日次入力!$A$4:$A$1500,"&gt;="&amp;DATE(2026,11,17),日次入力!$A$4:$A$1500,"&lt;="&amp;DATE(2026,11,23),日次入力!$C$4:$C$1500,"MetaClaude"))</f>
        <v/>
      </c>
      <c r="G150" s="15" t="str">
        <f aca="false">IFERROR(E150/D150,"")</f>
        <v/>
      </c>
      <c r="H150" s="37" t="str">
        <f aca="false">IFERROR(C150/E150,"")</f>
        <v/>
      </c>
      <c r="I150" s="37" t="str">
        <f aca="false">IFERROR(C150/D150*1000,"")</f>
        <v/>
      </c>
      <c r="J150" s="15" t="str">
        <f aca="false">IFERROR(F150/E150,"")</f>
        <v/>
      </c>
      <c r="K150" s="37" t="str">
        <f aca="false">IFERROR(C150/F150,"")</f>
        <v/>
      </c>
      <c r="L150" s="42" t="str">
        <f aca="false">IF(COUNTIFS(日次入力!$A$4:$A$1500,"&gt;="&amp;DATE(2026,11,17),日次入力!$A$4:$A$1500,"&lt;="&amp;DATE(2026,11,23),日次入力!$C$4:$C$1500,"MetaClaude")=0,"",SUMIFS(日次入力!$H$4:$H$1500,日次入力!$A$4:$A$1500,"&gt;="&amp;DATE(2026,11,17),日次入力!$A$4:$A$1500,"&lt;="&amp;DATE(2026,11,23),日次入力!$C$4:$C$1500,"MetaClaude"))</f>
        <v/>
      </c>
      <c r="M150" s="15" t="str">
        <f aca="false">IF(L150="","",IFERROR(L150/F150,""))</f>
        <v/>
      </c>
      <c r="N150" s="42" t="str">
        <f aca="false">IF(COUNTIFS(日次入力!$A$4:$A$1500,"&gt;="&amp;DATE(2026,11,17),日次入力!$A$4:$A$1500,"&lt;="&amp;DATE(2026,11,23),日次入力!$C$4:$C$1500,"MetaClaude")=0,"",SUMIFS(日次入力!$I$4:$I$1500,日次入力!$A$4:$A$1500,"&gt;="&amp;DATE(2026,11,17),日次入力!$A$4:$A$1500,"&lt;="&amp;DATE(2026,11,23),日次入力!$C$4:$C$1500,"MetaClaude"))</f>
        <v/>
      </c>
      <c r="O150" s="15" t="str">
        <f aca="false">IF(N150="","",IFERROR(N150/L150,""))</f>
        <v/>
      </c>
      <c r="P150" s="37" t="str">
        <f aca="false">IF(N150=0,"",IFERROR(C150/N150,""))</f>
        <v/>
      </c>
      <c r="Q150" s="38" t="str">
        <f aca="false">IF(N150=0,"",IFERROR(IF(C150/N150&lt;=用語集!$B$22,"◎ 許容内","✗ 超過"),"—"))</f>
        <v>—</v>
      </c>
      <c r="R150" s="39" t="str">
        <f aca="false">IFERROR(用語集!$B$22/P150,"")</f>
        <v/>
      </c>
    </row>
    <row r="151" customFormat="false" ht="15" hidden="false" customHeight="false" outlineLevel="0" collapsed="false">
      <c r="A151" s="34" t="s">
        <v>126</v>
      </c>
      <c r="B151" s="35" t="s">
        <v>127</v>
      </c>
      <c r="C151" s="41" t="str">
        <f aca="false">IF(COUNTIFS(日次入力!$A$4:$A$1500,"&gt;="&amp;DATE(2026,11,24),日次入力!$A$4:$A$1500,"&lt;="&amp;DATE(2026,11,30),日次入力!$C$4:$C$1500,"MetaClaude")=0,"",SUMIFS(日次入力!$D$4:$D$1500,日次入力!$A$4:$A$1500,"&gt;="&amp;DATE(2026,11,24),日次入力!$A$4:$A$1500,"&lt;="&amp;DATE(2026,11,30),日次入力!$C$4:$C$1500,"MetaClaude"))</f>
        <v/>
      </c>
      <c r="D151" s="42" t="str">
        <f aca="false">IF(COUNTIFS(日次入力!$A$4:$A$1500,"&gt;="&amp;DATE(2026,11,24),日次入力!$A$4:$A$1500,"&lt;="&amp;DATE(2026,11,30),日次入力!$C$4:$C$1500,"MetaClaude")=0,"",SUMIFS(日次入力!$E$4:$E$1500,日次入力!$A$4:$A$1500,"&gt;="&amp;DATE(2026,11,24),日次入力!$A$4:$A$1500,"&lt;="&amp;DATE(2026,11,30),日次入力!$C$4:$C$1500,"MetaClaude"))</f>
        <v/>
      </c>
      <c r="E151" s="42" t="str">
        <f aca="false">IF(COUNTIFS(日次入力!$A$4:$A$1500,"&gt;="&amp;DATE(2026,11,24),日次入力!$A$4:$A$1500,"&lt;="&amp;DATE(2026,11,30),日次入力!$C$4:$C$1500,"MetaClaude")=0,"",SUMIFS(日次入力!$F$4:$F$1500,日次入力!$A$4:$A$1500,"&gt;="&amp;DATE(2026,11,24),日次入力!$A$4:$A$1500,"&lt;="&amp;DATE(2026,11,30),日次入力!$C$4:$C$1500,"MetaClaude"))</f>
        <v/>
      </c>
      <c r="F151" s="42" t="str">
        <f aca="false">IF(COUNTIFS(日次入力!$A$4:$A$1500,"&gt;="&amp;DATE(2026,11,24),日次入力!$A$4:$A$1500,"&lt;="&amp;DATE(2026,11,30),日次入力!$C$4:$C$1500,"MetaClaude")=0,"",SUMIFS(日次入力!$G$4:$G$1500,日次入力!$A$4:$A$1500,"&gt;="&amp;DATE(2026,11,24),日次入力!$A$4:$A$1500,"&lt;="&amp;DATE(2026,11,30),日次入力!$C$4:$C$1500,"MetaClaude"))</f>
        <v/>
      </c>
      <c r="G151" s="15" t="str">
        <f aca="false">IFERROR(E151/D151,"")</f>
        <v/>
      </c>
      <c r="H151" s="37" t="str">
        <f aca="false">IFERROR(C151/E151,"")</f>
        <v/>
      </c>
      <c r="I151" s="37" t="str">
        <f aca="false">IFERROR(C151/D151*1000,"")</f>
        <v/>
      </c>
      <c r="J151" s="15" t="str">
        <f aca="false">IFERROR(F151/E151,"")</f>
        <v/>
      </c>
      <c r="K151" s="37" t="str">
        <f aca="false">IFERROR(C151/F151,"")</f>
        <v/>
      </c>
      <c r="L151" s="42" t="str">
        <f aca="false">IF(COUNTIFS(日次入力!$A$4:$A$1500,"&gt;="&amp;DATE(2026,11,24),日次入力!$A$4:$A$1500,"&lt;="&amp;DATE(2026,11,30),日次入力!$C$4:$C$1500,"MetaClaude")=0,"",SUMIFS(日次入力!$H$4:$H$1500,日次入力!$A$4:$A$1500,"&gt;="&amp;DATE(2026,11,24),日次入力!$A$4:$A$1500,"&lt;="&amp;DATE(2026,11,30),日次入力!$C$4:$C$1500,"MetaClaude"))</f>
        <v/>
      </c>
      <c r="M151" s="15" t="str">
        <f aca="false">IF(L151="","",IFERROR(L151/F151,""))</f>
        <v/>
      </c>
      <c r="N151" s="42" t="str">
        <f aca="false">IF(COUNTIFS(日次入力!$A$4:$A$1500,"&gt;="&amp;DATE(2026,11,24),日次入力!$A$4:$A$1500,"&lt;="&amp;DATE(2026,11,30),日次入力!$C$4:$C$1500,"MetaClaude")=0,"",SUMIFS(日次入力!$I$4:$I$1500,日次入力!$A$4:$A$1500,"&gt;="&amp;DATE(2026,11,24),日次入力!$A$4:$A$1500,"&lt;="&amp;DATE(2026,11,30),日次入力!$C$4:$C$1500,"MetaClaude"))</f>
        <v/>
      </c>
      <c r="O151" s="15" t="str">
        <f aca="false">IF(N151="","",IFERROR(N151/L151,""))</f>
        <v/>
      </c>
      <c r="P151" s="37" t="str">
        <f aca="false">IF(N151=0,"",IFERROR(C151/N151,""))</f>
        <v/>
      </c>
      <c r="Q151" s="38" t="str">
        <f aca="false">IF(N151=0,"",IFERROR(IF(C151/N151&lt;=用語集!$B$22,"◎ 許容内","✗ 超過"),"—"))</f>
        <v>—</v>
      </c>
      <c r="R151" s="39" t="str">
        <f aca="false">IFERROR(用語集!$B$22/P151,"")</f>
        <v/>
      </c>
    </row>
    <row r="152" customFormat="false" ht="15" hidden="false" customHeight="false" outlineLevel="0" collapsed="false">
      <c r="A152" s="34" t="s">
        <v>128</v>
      </c>
      <c r="B152" s="35" t="s">
        <v>129</v>
      </c>
      <c r="C152" s="41" t="str">
        <f aca="false">IF(COUNTIFS(日次入力!$A$4:$A$1500,"&gt;="&amp;DATE(2026,12,1),日次入力!$A$4:$A$1500,"&lt;="&amp;DATE(2026,12,7),日次入力!$C$4:$C$1500,"MetaClaude")=0,"",SUMIFS(日次入力!$D$4:$D$1500,日次入力!$A$4:$A$1500,"&gt;="&amp;DATE(2026,12,1),日次入力!$A$4:$A$1500,"&lt;="&amp;DATE(2026,12,7),日次入力!$C$4:$C$1500,"MetaClaude"))</f>
        <v/>
      </c>
      <c r="D152" s="42" t="str">
        <f aca="false">IF(COUNTIFS(日次入力!$A$4:$A$1500,"&gt;="&amp;DATE(2026,12,1),日次入力!$A$4:$A$1500,"&lt;="&amp;DATE(2026,12,7),日次入力!$C$4:$C$1500,"MetaClaude")=0,"",SUMIFS(日次入力!$E$4:$E$1500,日次入力!$A$4:$A$1500,"&gt;="&amp;DATE(2026,12,1),日次入力!$A$4:$A$1500,"&lt;="&amp;DATE(2026,12,7),日次入力!$C$4:$C$1500,"MetaClaude"))</f>
        <v/>
      </c>
      <c r="E152" s="42" t="str">
        <f aca="false">IF(COUNTIFS(日次入力!$A$4:$A$1500,"&gt;="&amp;DATE(2026,12,1),日次入力!$A$4:$A$1500,"&lt;="&amp;DATE(2026,12,7),日次入力!$C$4:$C$1500,"MetaClaude")=0,"",SUMIFS(日次入力!$F$4:$F$1500,日次入力!$A$4:$A$1500,"&gt;="&amp;DATE(2026,12,1),日次入力!$A$4:$A$1500,"&lt;="&amp;DATE(2026,12,7),日次入力!$C$4:$C$1500,"MetaClaude"))</f>
        <v/>
      </c>
      <c r="F152" s="42" t="str">
        <f aca="false">IF(COUNTIFS(日次入力!$A$4:$A$1500,"&gt;="&amp;DATE(2026,12,1),日次入力!$A$4:$A$1500,"&lt;="&amp;DATE(2026,12,7),日次入力!$C$4:$C$1500,"MetaClaude")=0,"",SUMIFS(日次入力!$G$4:$G$1500,日次入力!$A$4:$A$1500,"&gt;="&amp;DATE(2026,12,1),日次入力!$A$4:$A$1500,"&lt;="&amp;DATE(2026,12,7),日次入力!$C$4:$C$1500,"MetaClaude"))</f>
        <v/>
      </c>
      <c r="G152" s="15" t="str">
        <f aca="false">IFERROR(E152/D152,"")</f>
        <v/>
      </c>
      <c r="H152" s="37" t="str">
        <f aca="false">IFERROR(C152/E152,"")</f>
        <v/>
      </c>
      <c r="I152" s="37" t="str">
        <f aca="false">IFERROR(C152/D152*1000,"")</f>
        <v/>
      </c>
      <c r="J152" s="15" t="str">
        <f aca="false">IFERROR(F152/E152,"")</f>
        <v/>
      </c>
      <c r="K152" s="37" t="str">
        <f aca="false">IFERROR(C152/F152,"")</f>
        <v/>
      </c>
      <c r="L152" s="42" t="str">
        <f aca="false">IF(COUNTIFS(日次入力!$A$4:$A$1500,"&gt;="&amp;DATE(2026,12,1),日次入力!$A$4:$A$1500,"&lt;="&amp;DATE(2026,12,7),日次入力!$C$4:$C$1500,"MetaClaude")=0,"",SUMIFS(日次入力!$H$4:$H$1500,日次入力!$A$4:$A$1500,"&gt;="&amp;DATE(2026,12,1),日次入力!$A$4:$A$1500,"&lt;="&amp;DATE(2026,12,7),日次入力!$C$4:$C$1500,"MetaClaude"))</f>
        <v/>
      </c>
      <c r="M152" s="15" t="str">
        <f aca="false">IF(L152="","",IFERROR(L152/F152,""))</f>
        <v/>
      </c>
      <c r="N152" s="42" t="str">
        <f aca="false">IF(COUNTIFS(日次入力!$A$4:$A$1500,"&gt;="&amp;DATE(2026,12,1),日次入力!$A$4:$A$1500,"&lt;="&amp;DATE(2026,12,7),日次入力!$C$4:$C$1500,"MetaClaude")=0,"",SUMIFS(日次入力!$I$4:$I$1500,日次入力!$A$4:$A$1500,"&gt;="&amp;DATE(2026,12,1),日次入力!$A$4:$A$1500,"&lt;="&amp;DATE(2026,12,7),日次入力!$C$4:$C$1500,"MetaClaude"))</f>
        <v/>
      </c>
      <c r="O152" s="15" t="str">
        <f aca="false">IF(N152="","",IFERROR(N152/L152,""))</f>
        <v/>
      </c>
      <c r="P152" s="37" t="str">
        <f aca="false">IF(N152=0,"",IFERROR(C152/N152,""))</f>
        <v/>
      </c>
      <c r="Q152" s="38" t="str">
        <f aca="false">IF(N152=0,"",IFERROR(IF(C152/N152&lt;=用語集!$B$22,"◎ 許容内","✗ 超過"),"—"))</f>
        <v>—</v>
      </c>
      <c r="R152" s="39" t="str">
        <f aca="false">IFERROR(用語集!$B$22/P152,"")</f>
        <v/>
      </c>
    </row>
    <row r="153" customFormat="false" ht="15" hidden="false" customHeight="false" outlineLevel="0" collapsed="false">
      <c r="A153" s="34" t="s">
        <v>130</v>
      </c>
      <c r="B153" s="35" t="s">
        <v>131</v>
      </c>
      <c r="C153" s="41" t="str">
        <f aca="false">IF(COUNTIFS(日次入力!$A$4:$A$1500,"&gt;="&amp;DATE(2026,12,8),日次入力!$A$4:$A$1500,"&lt;="&amp;DATE(2026,12,14),日次入力!$C$4:$C$1500,"MetaClaude")=0,"",SUMIFS(日次入力!$D$4:$D$1500,日次入力!$A$4:$A$1500,"&gt;="&amp;DATE(2026,12,8),日次入力!$A$4:$A$1500,"&lt;="&amp;DATE(2026,12,14),日次入力!$C$4:$C$1500,"MetaClaude"))</f>
        <v/>
      </c>
      <c r="D153" s="42" t="str">
        <f aca="false">IF(COUNTIFS(日次入力!$A$4:$A$1500,"&gt;="&amp;DATE(2026,12,8),日次入力!$A$4:$A$1500,"&lt;="&amp;DATE(2026,12,14),日次入力!$C$4:$C$1500,"MetaClaude")=0,"",SUMIFS(日次入力!$E$4:$E$1500,日次入力!$A$4:$A$1500,"&gt;="&amp;DATE(2026,12,8),日次入力!$A$4:$A$1500,"&lt;="&amp;DATE(2026,12,14),日次入力!$C$4:$C$1500,"MetaClaude"))</f>
        <v/>
      </c>
      <c r="E153" s="42" t="str">
        <f aca="false">IF(COUNTIFS(日次入力!$A$4:$A$1500,"&gt;="&amp;DATE(2026,12,8),日次入力!$A$4:$A$1500,"&lt;="&amp;DATE(2026,12,14),日次入力!$C$4:$C$1500,"MetaClaude")=0,"",SUMIFS(日次入力!$F$4:$F$1500,日次入力!$A$4:$A$1500,"&gt;="&amp;DATE(2026,12,8),日次入力!$A$4:$A$1500,"&lt;="&amp;DATE(2026,12,14),日次入力!$C$4:$C$1500,"MetaClaude"))</f>
        <v/>
      </c>
      <c r="F153" s="42" t="str">
        <f aca="false">IF(COUNTIFS(日次入力!$A$4:$A$1500,"&gt;="&amp;DATE(2026,12,8),日次入力!$A$4:$A$1500,"&lt;="&amp;DATE(2026,12,14),日次入力!$C$4:$C$1500,"MetaClaude")=0,"",SUMIFS(日次入力!$G$4:$G$1500,日次入力!$A$4:$A$1500,"&gt;="&amp;DATE(2026,12,8),日次入力!$A$4:$A$1500,"&lt;="&amp;DATE(2026,12,14),日次入力!$C$4:$C$1500,"MetaClaude"))</f>
        <v/>
      </c>
      <c r="G153" s="15" t="str">
        <f aca="false">IFERROR(E153/D153,"")</f>
        <v/>
      </c>
      <c r="H153" s="37" t="str">
        <f aca="false">IFERROR(C153/E153,"")</f>
        <v/>
      </c>
      <c r="I153" s="37" t="str">
        <f aca="false">IFERROR(C153/D153*1000,"")</f>
        <v/>
      </c>
      <c r="J153" s="15" t="str">
        <f aca="false">IFERROR(F153/E153,"")</f>
        <v/>
      </c>
      <c r="K153" s="37" t="str">
        <f aca="false">IFERROR(C153/F153,"")</f>
        <v/>
      </c>
      <c r="L153" s="42" t="str">
        <f aca="false">IF(COUNTIFS(日次入力!$A$4:$A$1500,"&gt;="&amp;DATE(2026,12,8),日次入力!$A$4:$A$1500,"&lt;="&amp;DATE(2026,12,14),日次入力!$C$4:$C$1500,"MetaClaude")=0,"",SUMIFS(日次入力!$H$4:$H$1500,日次入力!$A$4:$A$1500,"&gt;="&amp;DATE(2026,12,8),日次入力!$A$4:$A$1500,"&lt;="&amp;DATE(2026,12,14),日次入力!$C$4:$C$1500,"MetaClaude"))</f>
        <v/>
      </c>
      <c r="M153" s="15" t="str">
        <f aca="false">IF(L153="","",IFERROR(L153/F153,""))</f>
        <v/>
      </c>
      <c r="N153" s="42" t="str">
        <f aca="false">IF(COUNTIFS(日次入力!$A$4:$A$1500,"&gt;="&amp;DATE(2026,12,8),日次入力!$A$4:$A$1500,"&lt;="&amp;DATE(2026,12,14),日次入力!$C$4:$C$1500,"MetaClaude")=0,"",SUMIFS(日次入力!$I$4:$I$1500,日次入力!$A$4:$A$1500,"&gt;="&amp;DATE(2026,12,8),日次入力!$A$4:$A$1500,"&lt;="&amp;DATE(2026,12,14),日次入力!$C$4:$C$1500,"MetaClaude"))</f>
        <v/>
      </c>
      <c r="O153" s="15" t="str">
        <f aca="false">IF(N153="","",IFERROR(N153/L153,""))</f>
        <v/>
      </c>
      <c r="P153" s="37" t="str">
        <f aca="false">IF(N153=0,"",IFERROR(C153/N153,""))</f>
        <v/>
      </c>
      <c r="Q153" s="38" t="str">
        <f aca="false">IF(N153=0,"",IFERROR(IF(C153/N153&lt;=用語集!$B$22,"◎ 許容内","✗ 超過"),"—"))</f>
        <v>—</v>
      </c>
      <c r="R153" s="39" t="str">
        <f aca="false">IFERROR(用語集!$B$22/P153,"")</f>
        <v/>
      </c>
    </row>
    <row r="154" customFormat="false" ht="15" hidden="false" customHeight="false" outlineLevel="0" collapsed="false">
      <c r="A154" s="34" t="s">
        <v>132</v>
      </c>
      <c r="B154" s="35" t="s">
        <v>133</v>
      </c>
      <c r="C154" s="41" t="str">
        <f aca="false">IF(COUNTIFS(日次入力!$A$4:$A$1500,"&gt;="&amp;DATE(2026,12,15),日次入力!$A$4:$A$1500,"&lt;="&amp;DATE(2026,12,21),日次入力!$C$4:$C$1500,"MetaClaude")=0,"",SUMIFS(日次入力!$D$4:$D$1500,日次入力!$A$4:$A$1500,"&gt;="&amp;DATE(2026,12,15),日次入力!$A$4:$A$1500,"&lt;="&amp;DATE(2026,12,21),日次入力!$C$4:$C$1500,"MetaClaude"))</f>
        <v/>
      </c>
      <c r="D154" s="42" t="str">
        <f aca="false">IF(COUNTIFS(日次入力!$A$4:$A$1500,"&gt;="&amp;DATE(2026,12,15),日次入力!$A$4:$A$1500,"&lt;="&amp;DATE(2026,12,21),日次入力!$C$4:$C$1500,"MetaClaude")=0,"",SUMIFS(日次入力!$E$4:$E$1500,日次入力!$A$4:$A$1500,"&gt;="&amp;DATE(2026,12,15),日次入力!$A$4:$A$1500,"&lt;="&amp;DATE(2026,12,21),日次入力!$C$4:$C$1500,"MetaClaude"))</f>
        <v/>
      </c>
      <c r="E154" s="42" t="str">
        <f aca="false">IF(COUNTIFS(日次入力!$A$4:$A$1500,"&gt;="&amp;DATE(2026,12,15),日次入力!$A$4:$A$1500,"&lt;="&amp;DATE(2026,12,21),日次入力!$C$4:$C$1500,"MetaClaude")=0,"",SUMIFS(日次入力!$F$4:$F$1500,日次入力!$A$4:$A$1500,"&gt;="&amp;DATE(2026,12,15),日次入力!$A$4:$A$1500,"&lt;="&amp;DATE(2026,12,21),日次入力!$C$4:$C$1500,"MetaClaude"))</f>
        <v/>
      </c>
      <c r="F154" s="42" t="str">
        <f aca="false">IF(COUNTIFS(日次入力!$A$4:$A$1500,"&gt;="&amp;DATE(2026,12,15),日次入力!$A$4:$A$1500,"&lt;="&amp;DATE(2026,12,21),日次入力!$C$4:$C$1500,"MetaClaude")=0,"",SUMIFS(日次入力!$G$4:$G$1500,日次入力!$A$4:$A$1500,"&gt;="&amp;DATE(2026,12,15),日次入力!$A$4:$A$1500,"&lt;="&amp;DATE(2026,12,21),日次入力!$C$4:$C$1500,"MetaClaude"))</f>
        <v/>
      </c>
      <c r="G154" s="15" t="str">
        <f aca="false">IFERROR(E154/D154,"")</f>
        <v/>
      </c>
      <c r="H154" s="37" t="str">
        <f aca="false">IFERROR(C154/E154,"")</f>
        <v/>
      </c>
      <c r="I154" s="37" t="str">
        <f aca="false">IFERROR(C154/D154*1000,"")</f>
        <v/>
      </c>
      <c r="J154" s="15" t="str">
        <f aca="false">IFERROR(F154/E154,"")</f>
        <v/>
      </c>
      <c r="K154" s="37" t="str">
        <f aca="false">IFERROR(C154/F154,"")</f>
        <v/>
      </c>
      <c r="L154" s="42" t="str">
        <f aca="false">IF(COUNTIFS(日次入力!$A$4:$A$1500,"&gt;="&amp;DATE(2026,12,15),日次入力!$A$4:$A$1500,"&lt;="&amp;DATE(2026,12,21),日次入力!$C$4:$C$1500,"MetaClaude")=0,"",SUMIFS(日次入力!$H$4:$H$1500,日次入力!$A$4:$A$1500,"&gt;="&amp;DATE(2026,12,15),日次入力!$A$4:$A$1500,"&lt;="&amp;DATE(2026,12,21),日次入力!$C$4:$C$1500,"MetaClaude"))</f>
        <v/>
      </c>
      <c r="M154" s="15" t="str">
        <f aca="false">IF(L154="","",IFERROR(L154/F154,""))</f>
        <v/>
      </c>
      <c r="N154" s="42" t="str">
        <f aca="false">IF(COUNTIFS(日次入力!$A$4:$A$1500,"&gt;="&amp;DATE(2026,12,15),日次入力!$A$4:$A$1500,"&lt;="&amp;DATE(2026,12,21),日次入力!$C$4:$C$1500,"MetaClaude")=0,"",SUMIFS(日次入力!$I$4:$I$1500,日次入力!$A$4:$A$1500,"&gt;="&amp;DATE(2026,12,15),日次入力!$A$4:$A$1500,"&lt;="&amp;DATE(2026,12,21),日次入力!$C$4:$C$1500,"MetaClaude"))</f>
        <v/>
      </c>
      <c r="O154" s="15" t="str">
        <f aca="false">IF(N154="","",IFERROR(N154/L154,""))</f>
        <v/>
      </c>
      <c r="P154" s="37" t="str">
        <f aca="false">IF(N154=0,"",IFERROR(C154/N154,""))</f>
        <v/>
      </c>
      <c r="Q154" s="38" t="str">
        <f aca="false">IF(N154=0,"",IFERROR(IF(C154/N154&lt;=用語集!$B$22,"◎ 許容内","✗ 超過"),"—"))</f>
        <v>—</v>
      </c>
      <c r="R154" s="39" t="str">
        <f aca="false">IFERROR(用語集!$B$22/P154,"")</f>
        <v/>
      </c>
    </row>
    <row r="155" customFormat="false" ht="15" hidden="false" customHeight="false" outlineLevel="0" collapsed="false">
      <c r="A155" s="34" t="s">
        <v>134</v>
      </c>
      <c r="B155" s="35" t="s">
        <v>135</v>
      </c>
      <c r="C155" s="41" t="str">
        <f aca="false">IF(COUNTIFS(日次入力!$A$4:$A$1500,"&gt;="&amp;DATE(2026,12,22),日次入力!$A$4:$A$1500,"&lt;="&amp;DATE(2026,12,28),日次入力!$C$4:$C$1500,"MetaClaude")=0,"",SUMIFS(日次入力!$D$4:$D$1500,日次入力!$A$4:$A$1500,"&gt;="&amp;DATE(2026,12,22),日次入力!$A$4:$A$1500,"&lt;="&amp;DATE(2026,12,28),日次入力!$C$4:$C$1500,"MetaClaude"))</f>
        <v/>
      </c>
      <c r="D155" s="42" t="str">
        <f aca="false">IF(COUNTIFS(日次入力!$A$4:$A$1500,"&gt;="&amp;DATE(2026,12,22),日次入力!$A$4:$A$1500,"&lt;="&amp;DATE(2026,12,28),日次入力!$C$4:$C$1500,"MetaClaude")=0,"",SUMIFS(日次入力!$E$4:$E$1500,日次入力!$A$4:$A$1500,"&gt;="&amp;DATE(2026,12,22),日次入力!$A$4:$A$1500,"&lt;="&amp;DATE(2026,12,28),日次入力!$C$4:$C$1500,"MetaClaude"))</f>
        <v/>
      </c>
      <c r="E155" s="42" t="str">
        <f aca="false">IF(COUNTIFS(日次入力!$A$4:$A$1500,"&gt;="&amp;DATE(2026,12,22),日次入力!$A$4:$A$1500,"&lt;="&amp;DATE(2026,12,28),日次入力!$C$4:$C$1500,"MetaClaude")=0,"",SUMIFS(日次入力!$F$4:$F$1500,日次入力!$A$4:$A$1500,"&gt;="&amp;DATE(2026,12,22),日次入力!$A$4:$A$1500,"&lt;="&amp;DATE(2026,12,28),日次入力!$C$4:$C$1500,"MetaClaude"))</f>
        <v/>
      </c>
      <c r="F155" s="42" t="str">
        <f aca="false">IF(COUNTIFS(日次入力!$A$4:$A$1500,"&gt;="&amp;DATE(2026,12,22),日次入力!$A$4:$A$1500,"&lt;="&amp;DATE(2026,12,28),日次入力!$C$4:$C$1500,"MetaClaude")=0,"",SUMIFS(日次入力!$G$4:$G$1500,日次入力!$A$4:$A$1500,"&gt;="&amp;DATE(2026,12,22),日次入力!$A$4:$A$1500,"&lt;="&amp;DATE(2026,12,28),日次入力!$C$4:$C$1500,"MetaClaude"))</f>
        <v/>
      </c>
      <c r="G155" s="15" t="str">
        <f aca="false">IFERROR(E155/D155,"")</f>
        <v/>
      </c>
      <c r="H155" s="37" t="str">
        <f aca="false">IFERROR(C155/E155,"")</f>
        <v/>
      </c>
      <c r="I155" s="37" t="str">
        <f aca="false">IFERROR(C155/D155*1000,"")</f>
        <v/>
      </c>
      <c r="J155" s="15" t="str">
        <f aca="false">IFERROR(F155/E155,"")</f>
        <v/>
      </c>
      <c r="K155" s="37" t="str">
        <f aca="false">IFERROR(C155/F155,"")</f>
        <v/>
      </c>
      <c r="L155" s="42" t="str">
        <f aca="false">IF(COUNTIFS(日次入力!$A$4:$A$1500,"&gt;="&amp;DATE(2026,12,22),日次入力!$A$4:$A$1500,"&lt;="&amp;DATE(2026,12,28),日次入力!$C$4:$C$1500,"MetaClaude")=0,"",SUMIFS(日次入力!$H$4:$H$1500,日次入力!$A$4:$A$1500,"&gt;="&amp;DATE(2026,12,22),日次入力!$A$4:$A$1500,"&lt;="&amp;DATE(2026,12,28),日次入力!$C$4:$C$1500,"MetaClaude"))</f>
        <v/>
      </c>
      <c r="M155" s="15" t="str">
        <f aca="false">IF(L155="","",IFERROR(L155/F155,""))</f>
        <v/>
      </c>
      <c r="N155" s="42" t="str">
        <f aca="false">IF(COUNTIFS(日次入力!$A$4:$A$1500,"&gt;="&amp;DATE(2026,12,22),日次入力!$A$4:$A$1500,"&lt;="&amp;DATE(2026,12,28),日次入力!$C$4:$C$1500,"MetaClaude")=0,"",SUMIFS(日次入力!$I$4:$I$1500,日次入力!$A$4:$A$1500,"&gt;="&amp;DATE(2026,12,22),日次入力!$A$4:$A$1500,"&lt;="&amp;DATE(2026,12,28),日次入力!$C$4:$C$1500,"MetaClaude"))</f>
        <v/>
      </c>
      <c r="O155" s="15" t="str">
        <f aca="false">IF(N155="","",IFERROR(N155/L155,""))</f>
        <v/>
      </c>
      <c r="P155" s="37" t="str">
        <f aca="false">IF(N155=0,"",IFERROR(C155/N155,""))</f>
        <v/>
      </c>
      <c r="Q155" s="38" t="str">
        <f aca="false">IF(N155=0,"",IFERROR(IF(C155/N155&lt;=用語集!$B$22,"◎ 許容内","✗ 超過"),"—"))</f>
        <v>—</v>
      </c>
      <c r="R155" s="39" t="str">
        <f aca="false">IFERROR(用語集!$B$22/P155,"")</f>
        <v/>
      </c>
    </row>
    <row r="156" customFormat="false" ht="15" hidden="false" customHeight="false" outlineLevel="0" collapsed="false">
      <c r="A156" s="34" t="s">
        <v>136</v>
      </c>
      <c r="B156" s="35" t="s">
        <v>137</v>
      </c>
      <c r="C156" s="41" t="str">
        <f aca="false">IF(COUNTIFS(日次入力!$A$4:$A$1500,"&gt;="&amp;DATE(2026,12,29),日次入力!$A$4:$A$1500,"&lt;="&amp;DATE(2027,1,4),日次入力!$C$4:$C$1500,"MetaClaude")=0,"",SUMIFS(日次入力!$D$4:$D$1500,日次入力!$A$4:$A$1500,"&gt;="&amp;DATE(2026,12,29),日次入力!$A$4:$A$1500,"&lt;="&amp;DATE(2027,1,4),日次入力!$C$4:$C$1500,"MetaClaude"))</f>
        <v/>
      </c>
      <c r="D156" s="42" t="str">
        <f aca="false">IF(COUNTIFS(日次入力!$A$4:$A$1500,"&gt;="&amp;DATE(2026,12,29),日次入力!$A$4:$A$1500,"&lt;="&amp;DATE(2027,1,4),日次入力!$C$4:$C$1500,"MetaClaude")=0,"",SUMIFS(日次入力!$E$4:$E$1500,日次入力!$A$4:$A$1500,"&gt;="&amp;DATE(2026,12,29),日次入力!$A$4:$A$1500,"&lt;="&amp;DATE(2027,1,4),日次入力!$C$4:$C$1500,"MetaClaude"))</f>
        <v/>
      </c>
      <c r="E156" s="42" t="str">
        <f aca="false">IF(COUNTIFS(日次入力!$A$4:$A$1500,"&gt;="&amp;DATE(2026,12,29),日次入力!$A$4:$A$1500,"&lt;="&amp;DATE(2027,1,4),日次入力!$C$4:$C$1500,"MetaClaude")=0,"",SUMIFS(日次入力!$F$4:$F$1500,日次入力!$A$4:$A$1500,"&gt;="&amp;DATE(2026,12,29),日次入力!$A$4:$A$1500,"&lt;="&amp;DATE(2027,1,4),日次入力!$C$4:$C$1500,"MetaClaude"))</f>
        <v/>
      </c>
      <c r="F156" s="42" t="str">
        <f aca="false">IF(COUNTIFS(日次入力!$A$4:$A$1500,"&gt;="&amp;DATE(2026,12,29),日次入力!$A$4:$A$1500,"&lt;="&amp;DATE(2027,1,4),日次入力!$C$4:$C$1500,"MetaClaude")=0,"",SUMIFS(日次入力!$G$4:$G$1500,日次入力!$A$4:$A$1500,"&gt;="&amp;DATE(2026,12,29),日次入力!$A$4:$A$1500,"&lt;="&amp;DATE(2027,1,4),日次入力!$C$4:$C$1500,"MetaClaude"))</f>
        <v/>
      </c>
      <c r="G156" s="15" t="str">
        <f aca="false">IFERROR(E156/D156,"")</f>
        <v/>
      </c>
      <c r="H156" s="37" t="str">
        <f aca="false">IFERROR(C156/E156,"")</f>
        <v/>
      </c>
      <c r="I156" s="37" t="str">
        <f aca="false">IFERROR(C156/D156*1000,"")</f>
        <v/>
      </c>
      <c r="J156" s="15" t="str">
        <f aca="false">IFERROR(F156/E156,"")</f>
        <v/>
      </c>
      <c r="K156" s="37" t="str">
        <f aca="false">IFERROR(C156/F156,"")</f>
        <v/>
      </c>
      <c r="L156" s="42" t="str">
        <f aca="false">IF(COUNTIFS(日次入力!$A$4:$A$1500,"&gt;="&amp;DATE(2026,12,29),日次入力!$A$4:$A$1500,"&lt;="&amp;DATE(2027,1,4),日次入力!$C$4:$C$1500,"MetaClaude")=0,"",SUMIFS(日次入力!$H$4:$H$1500,日次入力!$A$4:$A$1500,"&gt;="&amp;DATE(2026,12,29),日次入力!$A$4:$A$1500,"&lt;="&amp;DATE(2027,1,4),日次入力!$C$4:$C$1500,"MetaClaude"))</f>
        <v/>
      </c>
      <c r="M156" s="15" t="str">
        <f aca="false">IF(L156="","",IFERROR(L156/F156,""))</f>
        <v/>
      </c>
      <c r="N156" s="42" t="str">
        <f aca="false">IF(COUNTIFS(日次入力!$A$4:$A$1500,"&gt;="&amp;DATE(2026,12,29),日次入力!$A$4:$A$1500,"&lt;="&amp;DATE(2027,1,4),日次入力!$C$4:$C$1500,"MetaClaude")=0,"",SUMIFS(日次入力!$I$4:$I$1500,日次入力!$A$4:$A$1500,"&gt;="&amp;DATE(2026,12,29),日次入力!$A$4:$A$1500,"&lt;="&amp;DATE(2027,1,4),日次入力!$C$4:$C$1500,"MetaClaude"))</f>
        <v/>
      </c>
      <c r="O156" s="15" t="str">
        <f aca="false">IF(N156="","",IFERROR(N156/L156,""))</f>
        <v/>
      </c>
      <c r="P156" s="37" t="str">
        <f aca="false">IF(N156=0,"",IFERROR(C156/N156,""))</f>
        <v/>
      </c>
      <c r="Q156" s="38" t="str">
        <f aca="false">IF(N156=0,"",IFERROR(IF(C156/N156&lt;=用語集!$B$22,"◎ 許容内","✗ 超過"),"—"))</f>
        <v>—</v>
      </c>
      <c r="R156" s="39" t="str">
        <f aca="false">IFERROR(用語集!$B$22/P156,"")</f>
        <v/>
      </c>
    </row>
    <row r="157" customFormat="false" ht="15" hidden="false" customHeight="false" outlineLevel="0" collapsed="false">
      <c r="A157" s="34" t="s">
        <v>138</v>
      </c>
      <c r="B157" s="35" t="s">
        <v>139</v>
      </c>
      <c r="C157" s="41" t="str">
        <f aca="false">IF(COUNTIFS(日次入力!$A$4:$A$1500,"&gt;="&amp;DATE(2027,1,5),日次入力!$A$4:$A$1500,"&lt;="&amp;DATE(2027,1,11),日次入力!$C$4:$C$1500,"MetaClaude")=0,"",SUMIFS(日次入力!$D$4:$D$1500,日次入力!$A$4:$A$1500,"&gt;="&amp;DATE(2027,1,5),日次入力!$A$4:$A$1500,"&lt;="&amp;DATE(2027,1,11),日次入力!$C$4:$C$1500,"MetaClaude"))</f>
        <v/>
      </c>
      <c r="D157" s="42" t="str">
        <f aca="false">IF(COUNTIFS(日次入力!$A$4:$A$1500,"&gt;="&amp;DATE(2027,1,5),日次入力!$A$4:$A$1500,"&lt;="&amp;DATE(2027,1,11),日次入力!$C$4:$C$1500,"MetaClaude")=0,"",SUMIFS(日次入力!$E$4:$E$1500,日次入力!$A$4:$A$1500,"&gt;="&amp;DATE(2027,1,5),日次入力!$A$4:$A$1500,"&lt;="&amp;DATE(2027,1,11),日次入力!$C$4:$C$1500,"MetaClaude"))</f>
        <v/>
      </c>
      <c r="E157" s="42" t="str">
        <f aca="false">IF(COUNTIFS(日次入力!$A$4:$A$1500,"&gt;="&amp;DATE(2027,1,5),日次入力!$A$4:$A$1500,"&lt;="&amp;DATE(2027,1,11),日次入力!$C$4:$C$1500,"MetaClaude")=0,"",SUMIFS(日次入力!$F$4:$F$1500,日次入力!$A$4:$A$1500,"&gt;="&amp;DATE(2027,1,5),日次入力!$A$4:$A$1500,"&lt;="&amp;DATE(2027,1,11),日次入力!$C$4:$C$1500,"MetaClaude"))</f>
        <v/>
      </c>
      <c r="F157" s="42" t="str">
        <f aca="false">IF(COUNTIFS(日次入力!$A$4:$A$1500,"&gt;="&amp;DATE(2027,1,5),日次入力!$A$4:$A$1500,"&lt;="&amp;DATE(2027,1,11),日次入力!$C$4:$C$1500,"MetaClaude")=0,"",SUMIFS(日次入力!$G$4:$G$1500,日次入力!$A$4:$A$1500,"&gt;="&amp;DATE(2027,1,5),日次入力!$A$4:$A$1500,"&lt;="&amp;DATE(2027,1,11),日次入力!$C$4:$C$1500,"MetaClaude"))</f>
        <v/>
      </c>
      <c r="G157" s="15" t="str">
        <f aca="false">IFERROR(E157/D157,"")</f>
        <v/>
      </c>
      <c r="H157" s="37" t="str">
        <f aca="false">IFERROR(C157/E157,"")</f>
        <v/>
      </c>
      <c r="I157" s="37" t="str">
        <f aca="false">IFERROR(C157/D157*1000,"")</f>
        <v/>
      </c>
      <c r="J157" s="15" t="str">
        <f aca="false">IFERROR(F157/E157,"")</f>
        <v/>
      </c>
      <c r="K157" s="37" t="str">
        <f aca="false">IFERROR(C157/F157,"")</f>
        <v/>
      </c>
      <c r="L157" s="42" t="str">
        <f aca="false">IF(COUNTIFS(日次入力!$A$4:$A$1500,"&gt;="&amp;DATE(2027,1,5),日次入力!$A$4:$A$1500,"&lt;="&amp;DATE(2027,1,11),日次入力!$C$4:$C$1500,"MetaClaude")=0,"",SUMIFS(日次入力!$H$4:$H$1500,日次入力!$A$4:$A$1500,"&gt;="&amp;DATE(2027,1,5),日次入力!$A$4:$A$1500,"&lt;="&amp;DATE(2027,1,11),日次入力!$C$4:$C$1500,"MetaClaude"))</f>
        <v/>
      </c>
      <c r="M157" s="15" t="str">
        <f aca="false">IF(L157="","",IFERROR(L157/F157,""))</f>
        <v/>
      </c>
      <c r="N157" s="42" t="str">
        <f aca="false">IF(COUNTIFS(日次入力!$A$4:$A$1500,"&gt;="&amp;DATE(2027,1,5),日次入力!$A$4:$A$1500,"&lt;="&amp;DATE(2027,1,11),日次入力!$C$4:$C$1500,"MetaClaude")=0,"",SUMIFS(日次入力!$I$4:$I$1500,日次入力!$A$4:$A$1500,"&gt;="&amp;DATE(2027,1,5),日次入力!$A$4:$A$1500,"&lt;="&amp;DATE(2027,1,11),日次入力!$C$4:$C$1500,"MetaClaude"))</f>
        <v/>
      </c>
      <c r="O157" s="15" t="str">
        <f aca="false">IF(N157="","",IFERROR(N157/L157,""))</f>
        <v/>
      </c>
      <c r="P157" s="37" t="str">
        <f aca="false">IF(N157=0,"",IFERROR(C157/N157,""))</f>
        <v/>
      </c>
      <c r="Q157" s="38" t="str">
        <f aca="false">IF(N157=0,"",IFERROR(IF(C157/N157&lt;=用語集!$B$22,"◎ 許容内","✗ 超過"),"—"))</f>
        <v>—</v>
      </c>
      <c r="R157" s="39" t="str">
        <f aca="false">IFERROR(用語集!$B$22/P157,"")</f>
        <v/>
      </c>
    </row>
    <row r="158" customFormat="false" ht="15" hidden="false" customHeight="false" outlineLevel="0" collapsed="false">
      <c r="A158" s="34" t="s">
        <v>140</v>
      </c>
      <c r="B158" s="35" t="s">
        <v>141</v>
      </c>
      <c r="C158" s="41" t="str">
        <f aca="false">IF(COUNTIFS(日次入力!$A$4:$A$1500,"&gt;="&amp;DATE(2027,1,12),日次入力!$A$4:$A$1500,"&lt;="&amp;DATE(2027,1,18),日次入力!$C$4:$C$1500,"MetaClaude")=0,"",SUMIFS(日次入力!$D$4:$D$1500,日次入力!$A$4:$A$1500,"&gt;="&amp;DATE(2027,1,12),日次入力!$A$4:$A$1500,"&lt;="&amp;DATE(2027,1,18),日次入力!$C$4:$C$1500,"MetaClaude"))</f>
        <v/>
      </c>
      <c r="D158" s="42" t="str">
        <f aca="false">IF(COUNTIFS(日次入力!$A$4:$A$1500,"&gt;="&amp;DATE(2027,1,12),日次入力!$A$4:$A$1500,"&lt;="&amp;DATE(2027,1,18),日次入力!$C$4:$C$1500,"MetaClaude")=0,"",SUMIFS(日次入力!$E$4:$E$1500,日次入力!$A$4:$A$1500,"&gt;="&amp;DATE(2027,1,12),日次入力!$A$4:$A$1500,"&lt;="&amp;DATE(2027,1,18),日次入力!$C$4:$C$1500,"MetaClaude"))</f>
        <v/>
      </c>
      <c r="E158" s="42" t="str">
        <f aca="false">IF(COUNTIFS(日次入力!$A$4:$A$1500,"&gt;="&amp;DATE(2027,1,12),日次入力!$A$4:$A$1500,"&lt;="&amp;DATE(2027,1,18),日次入力!$C$4:$C$1500,"MetaClaude")=0,"",SUMIFS(日次入力!$F$4:$F$1500,日次入力!$A$4:$A$1500,"&gt;="&amp;DATE(2027,1,12),日次入力!$A$4:$A$1500,"&lt;="&amp;DATE(2027,1,18),日次入力!$C$4:$C$1500,"MetaClaude"))</f>
        <v/>
      </c>
      <c r="F158" s="42" t="str">
        <f aca="false">IF(COUNTIFS(日次入力!$A$4:$A$1500,"&gt;="&amp;DATE(2027,1,12),日次入力!$A$4:$A$1500,"&lt;="&amp;DATE(2027,1,18),日次入力!$C$4:$C$1500,"MetaClaude")=0,"",SUMIFS(日次入力!$G$4:$G$1500,日次入力!$A$4:$A$1500,"&gt;="&amp;DATE(2027,1,12),日次入力!$A$4:$A$1500,"&lt;="&amp;DATE(2027,1,18),日次入力!$C$4:$C$1500,"MetaClaude"))</f>
        <v/>
      </c>
      <c r="G158" s="15" t="str">
        <f aca="false">IFERROR(E158/D158,"")</f>
        <v/>
      </c>
      <c r="H158" s="37" t="str">
        <f aca="false">IFERROR(C158/E158,"")</f>
        <v/>
      </c>
      <c r="I158" s="37" t="str">
        <f aca="false">IFERROR(C158/D158*1000,"")</f>
        <v/>
      </c>
      <c r="J158" s="15" t="str">
        <f aca="false">IFERROR(F158/E158,"")</f>
        <v/>
      </c>
      <c r="K158" s="37" t="str">
        <f aca="false">IFERROR(C158/F158,"")</f>
        <v/>
      </c>
      <c r="L158" s="42" t="str">
        <f aca="false">IF(COUNTIFS(日次入力!$A$4:$A$1500,"&gt;="&amp;DATE(2027,1,12),日次入力!$A$4:$A$1500,"&lt;="&amp;DATE(2027,1,18),日次入力!$C$4:$C$1500,"MetaClaude")=0,"",SUMIFS(日次入力!$H$4:$H$1500,日次入力!$A$4:$A$1500,"&gt;="&amp;DATE(2027,1,12),日次入力!$A$4:$A$1500,"&lt;="&amp;DATE(2027,1,18),日次入力!$C$4:$C$1500,"MetaClaude"))</f>
        <v/>
      </c>
      <c r="M158" s="15" t="str">
        <f aca="false">IF(L158="","",IFERROR(L158/F158,""))</f>
        <v/>
      </c>
      <c r="N158" s="42" t="str">
        <f aca="false">IF(COUNTIFS(日次入力!$A$4:$A$1500,"&gt;="&amp;DATE(2027,1,12),日次入力!$A$4:$A$1500,"&lt;="&amp;DATE(2027,1,18),日次入力!$C$4:$C$1500,"MetaClaude")=0,"",SUMIFS(日次入力!$I$4:$I$1500,日次入力!$A$4:$A$1500,"&gt;="&amp;DATE(2027,1,12),日次入力!$A$4:$A$1500,"&lt;="&amp;DATE(2027,1,18),日次入力!$C$4:$C$1500,"MetaClaude"))</f>
        <v/>
      </c>
      <c r="O158" s="15" t="str">
        <f aca="false">IF(N158="","",IFERROR(N158/L158,""))</f>
        <v/>
      </c>
      <c r="P158" s="37" t="str">
        <f aca="false">IF(N158=0,"",IFERROR(C158/N158,""))</f>
        <v/>
      </c>
      <c r="Q158" s="38" t="str">
        <f aca="false">IF(N158=0,"",IFERROR(IF(C158/N158&lt;=用語集!$B$22,"◎ 許容内","✗ 超過"),"—"))</f>
        <v>—</v>
      </c>
      <c r="R158" s="39" t="str">
        <f aca="false">IFERROR(用語集!$B$22/P158,"")</f>
        <v/>
      </c>
    </row>
    <row r="159" customFormat="false" ht="15" hidden="false" customHeight="false" outlineLevel="0" collapsed="false">
      <c r="A159" s="34" t="s">
        <v>142</v>
      </c>
      <c r="B159" s="35" t="s">
        <v>143</v>
      </c>
      <c r="C159" s="41" t="str">
        <f aca="false">IF(COUNTIFS(日次入力!$A$4:$A$1500,"&gt;="&amp;DATE(2027,1,19),日次入力!$A$4:$A$1500,"&lt;="&amp;DATE(2027,1,25),日次入力!$C$4:$C$1500,"MetaClaude")=0,"",SUMIFS(日次入力!$D$4:$D$1500,日次入力!$A$4:$A$1500,"&gt;="&amp;DATE(2027,1,19),日次入力!$A$4:$A$1500,"&lt;="&amp;DATE(2027,1,25),日次入力!$C$4:$C$1500,"MetaClaude"))</f>
        <v/>
      </c>
      <c r="D159" s="42" t="str">
        <f aca="false">IF(COUNTIFS(日次入力!$A$4:$A$1500,"&gt;="&amp;DATE(2027,1,19),日次入力!$A$4:$A$1500,"&lt;="&amp;DATE(2027,1,25),日次入力!$C$4:$C$1500,"MetaClaude")=0,"",SUMIFS(日次入力!$E$4:$E$1500,日次入力!$A$4:$A$1500,"&gt;="&amp;DATE(2027,1,19),日次入力!$A$4:$A$1500,"&lt;="&amp;DATE(2027,1,25),日次入力!$C$4:$C$1500,"MetaClaude"))</f>
        <v/>
      </c>
      <c r="E159" s="42" t="str">
        <f aca="false">IF(COUNTIFS(日次入力!$A$4:$A$1500,"&gt;="&amp;DATE(2027,1,19),日次入力!$A$4:$A$1500,"&lt;="&amp;DATE(2027,1,25),日次入力!$C$4:$C$1500,"MetaClaude")=0,"",SUMIFS(日次入力!$F$4:$F$1500,日次入力!$A$4:$A$1500,"&gt;="&amp;DATE(2027,1,19),日次入力!$A$4:$A$1500,"&lt;="&amp;DATE(2027,1,25),日次入力!$C$4:$C$1500,"MetaClaude"))</f>
        <v/>
      </c>
      <c r="F159" s="42" t="str">
        <f aca="false">IF(COUNTIFS(日次入力!$A$4:$A$1500,"&gt;="&amp;DATE(2027,1,19),日次入力!$A$4:$A$1500,"&lt;="&amp;DATE(2027,1,25),日次入力!$C$4:$C$1500,"MetaClaude")=0,"",SUMIFS(日次入力!$G$4:$G$1500,日次入力!$A$4:$A$1500,"&gt;="&amp;DATE(2027,1,19),日次入力!$A$4:$A$1500,"&lt;="&amp;DATE(2027,1,25),日次入力!$C$4:$C$1500,"MetaClaude"))</f>
        <v/>
      </c>
      <c r="G159" s="15" t="str">
        <f aca="false">IFERROR(E159/D159,"")</f>
        <v/>
      </c>
      <c r="H159" s="37" t="str">
        <f aca="false">IFERROR(C159/E159,"")</f>
        <v/>
      </c>
      <c r="I159" s="37" t="str">
        <f aca="false">IFERROR(C159/D159*1000,"")</f>
        <v/>
      </c>
      <c r="J159" s="15" t="str">
        <f aca="false">IFERROR(F159/E159,"")</f>
        <v/>
      </c>
      <c r="K159" s="37" t="str">
        <f aca="false">IFERROR(C159/F159,"")</f>
        <v/>
      </c>
      <c r="L159" s="42" t="str">
        <f aca="false">IF(COUNTIFS(日次入力!$A$4:$A$1500,"&gt;="&amp;DATE(2027,1,19),日次入力!$A$4:$A$1500,"&lt;="&amp;DATE(2027,1,25),日次入力!$C$4:$C$1500,"MetaClaude")=0,"",SUMIFS(日次入力!$H$4:$H$1500,日次入力!$A$4:$A$1500,"&gt;="&amp;DATE(2027,1,19),日次入力!$A$4:$A$1500,"&lt;="&amp;DATE(2027,1,25),日次入力!$C$4:$C$1500,"MetaClaude"))</f>
        <v/>
      </c>
      <c r="M159" s="15" t="str">
        <f aca="false">IF(L159="","",IFERROR(L159/F159,""))</f>
        <v/>
      </c>
      <c r="N159" s="42" t="str">
        <f aca="false">IF(COUNTIFS(日次入力!$A$4:$A$1500,"&gt;="&amp;DATE(2027,1,19),日次入力!$A$4:$A$1500,"&lt;="&amp;DATE(2027,1,25),日次入力!$C$4:$C$1500,"MetaClaude")=0,"",SUMIFS(日次入力!$I$4:$I$1500,日次入力!$A$4:$A$1500,"&gt;="&amp;DATE(2027,1,19),日次入力!$A$4:$A$1500,"&lt;="&amp;DATE(2027,1,25),日次入力!$C$4:$C$1500,"MetaClaude"))</f>
        <v/>
      </c>
      <c r="O159" s="15" t="str">
        <f aca="false">IF(N159="","",IFERROR(N159/L159,""))</f>
        <v/>
      </c>
      <c r="P159" s="37" t="str">
        <f aca="false">IF(N159=0,"",IFERROR(C159/N159,""))</f>
        <v/>
      </c>
      <c r="Q159" s="38" t="str">
        <f aca="false">IF(N159=0,"",IFERROR(IF(C159/N159&lt;=用語集!$B$22,"◎ 許容内","✗ 超過"),"—"))</f>
        <v>—</v>
      </c>
      <c r="R159" s="39" t="str">
        <f aca="false">IFERROR(用語集!$B$22/P159,"")</f>
        <v/>
      </c>
    </row>
    <row r="160" customFormat="false" ht="15" hidden="false" customHeight="false" outlineLevel="0" collapsed="false">
      <c r="A160" s="34" t="s">
        <v>144</v>
      </c>
      <c r="B160" s="35" t="s">
        <v>145</v>
      </c>
      <c r="C160" s="41" t="str">
        <f aca="false">IF(COUNTIFS(日次入力!$A$4:$A$1500,"&gt;="&amp;DATE(2027,1,26),日次入力!$A$4:$A$1500,"&lt;="&amp;DATE(2027,2,1),日次入力!$C$4:$C$1500,"MetaClaude")=0,"",SUMIFS(日次入力!$D$4:$D$1500,日次入力!$A$4:$A$1500,"&gt;="&amp;DATE(2027,1,26),日次入力!$A$4:$A$1500,"&lt;="&amp;DATE(2027,2,1),日次入力!$C$4:$C$1500,"MetaClaude"))</f>
        <v/>
      </c>
      <c r="D160" s="42" t="str">
        <f aca="false">IF(COUNTIFS(日次入力!$A$4:$A$1500,"&gt;="&amp;DATE(2027,1,26),日次入力!$A$4:$A$1500,"&lt;="&amp;DATE(2027,2,1),日次入力!$C$4:$C$1500,"MetaClaude")=0,"",SUMIFS(日次入力!$E$4:$E$1500,日次入力!$A$4:$A$1500,"&gt;="&amp;DATE(2027,1,26),日次入力!$A$4:$A$1500,"&lt;="&amp;DATE(2027,2,1),日次入力!$C$4:$C$1500,"MetaClaude"))</f>
        <v/>
      </c>
      <c r="E160" s="42" t="str">
        <f aca="false">IF(COUNTIFS(日次入力!$A$4:$A$1500,"&gt;="&amp;DATE(2027,1,26),日次入力!$A$4:$A$1500,"&lt;="&amp;DATE(2027,2,1),日次入力!$C$4:$C$1500,"MetaClaude")=0,"",SUMIFS(日次入力!$F$4:$F$1500,日次入力!$A$4:$A$1500,"&gt;="&amp;DATE(2027,1,26),日次入力!$A$4:$A$1500,"&lt;="&amp;DATE(2027,2,1),日次入力!$C$4:$C$1500,"MetaClaude"))</f>
        <v/>
      </c>
      <c r="F160" s="42" t="str">
        <f aca="false">IF(COUNTIFS(日次入力!$A$4:$A$1500,"&gt;="&amp;DATE(2027,1,26),日次入力!$A$4:$A$1500,"&lt;="&amp;DATE(2027,2,1),日次入力!$C$4:$C$1500,"MetaClaude")=0,"",SUMIFS(日次入力!$G$4:$G$1500,日次入力!$A$4:$A$1500,"&gt;="&amp;DATE(2027,1,26),日次入力!$A$4:$A$1500,"&lt;="&amp;DATE(2027,2,1),日次入力!$C$4:$C$1500,"MetaClaude"))</f>
        <v/>
      </c>
      <c r="G160" s="15" t="str">
        <f aca="false">IFERROR(E160/D160,"")</f>
        <v/>
      </c>
      <c r="H160" s="37" t="str">
        <f aca="false">IFERROR(C160/E160,"")</f>
        <v/>
      </c>
      <c r="I160" s="37" t="str">
        <f aca="false">IFERROR(C160/D160*1000,"")</f>
        <v/>
      </c>
      <c r="J160" s="15" t="str">
        <f aca="false">IFERROR(F160/E160,"")</f>
        <v/>
      </c>
      <c r="K160" s="37" t="str">
        <f aca="false">IFERROR(C160/F160,"")</f>
        <v/>
      </c>
      <c r="L160" s="42" t="str">
        <f aca="false">IF(COUNTIFS(日次入力!$A$4:$A$1500,"&gt;="&amp;DATE(2027,1,26),日次入力!$A$4:$A$1500,"&lt;="&amp;DATE(2027,2,1),日次入力!$C$4:$C$1500,"MetaClaude")=0,"",SUMIFS(日次入力!$H$4:$H$1500,日次入力!$A$4:$A$1500,"&gt;="&amp;DATE(2027,1,26),日次入力!$A$4:$A$1500,"&lt;="&amp;DATE(2027,2,1),日次入力!$C$4:$C$1500,"MetaClaude"))</f>
        <v/>
      </c>
      <c r="M160" s="15" t="str">
        <f aca="false">IF(L160="","",IFERROR(L160/F160,""))</f>
        <v/>
      </c>
      <c r="N160" s="42" t="str">
        <f aca="false">IF(COUNTIFS(日次入力!$A$4:$A$1500,"&gt;="&amp;DATE(2027,1,26),日次入力!$A$4:$A$1500,"&lt;="&amp;DATE(2027,2,1),日次入力!$C$4:$C$1500,"MetaClaude")=0,"",SUMIFS(日次入力!$I$4:$I$1500,日次入力!$A$4:$A$1500,"&gt;="&amp;DATE(2027,1,26),日次入力!$A$4:$A$1500,"&lt;="&amp;DATE(2027,2,1),日次入力!$C$4:$C$1500,"MetaClaude"))</f>
        <v/>
      </c>
      <c r="O160" s="15" t="str">
        <f aca="false">IF(N160="","",IFERROR(N160/L160,""))</f>
        <v/>
      </c>
      <c r="P160" s="37" t="str">
        <f aca="false">IF(N160=0,"",IFERROR(C160/N160,""))</f>
        <v/>
      </c>
      <c r="Q160" s="38" t="str">
        <f aca="false">IF(N160=0,"",IFERROR(IF(C160/N160&lt;=用語集!$B$22,"◎ 許容内","✗ 超過"),"—"))</f>
        <v>—</v>
      </c>
      <c r="R160" s="39" t="str">
        <f aca="false">IFERROR(用語集!$B$22/P160,"")</f>
        <v/>
      </c>
    </row>
    <row r="161" customFormat="false" ht="15" hidden="false" customHeight="false" outlineLevel="0" collapsed="false">
      <c r="A161" s="34" t="s">
        <v>146</v>
      </c>
      <c r="B161" s="35" t="s">
        <v>147</v>
      </c>
      <c r="C161" s="41" t="str">
        <f aca="false">IF(COUNTIFS(日次入力!$A$4:$A$1500,"&gt;="&amp;DATE(2027,2,2),日次入力!$A$4:$A$1500,"&lt;="&amp;DATE(2027,2,8),日次入力!$C$4:$C$1500,"MetaClaude")=0,"",SUMIFS(日次入力!$D$4:$D$1500,日次入力!$A$4:$A$1500,"&gt;="&amp;DATE(2027,2,2),日次入力!$A$4:$A$1500,"&lt;="&amp;DATE(2027,2,8),日次入力!$C$4:$C$1500,"MetaClaude"))</f>
        <v/>
      </c>
      <c r="D161" s="42" t="str">
        <f aca="false">IF(COUNTIFS(日次入力!$A$4:$A$1500,"&gt;="&amp;DATE(2027,2,2),日次入力!$A$4:$A$1500,"&lt;="&amp;DATE(2027,2,8),日次入力!$C$4:$C$1500,"MetaClaude")=0,"",SUMIFS(日次入力!$E$4:$E$1500,日次入力!$A$4:$A$1500,"&gt;="&amp;DATE(2027,2,2),日次入力!$A$4:$A$1500,"&lt;="&amp;DATE(2027,2,8),日次入力!$C$4:$C$1500,"MetaClaude"))</f>
        <v/>
      </c>
      <c r="E161" s="42" t="str">
        <f aca="false">IF(COUNTIFS(日次入力!$A$4:$A$1500,"&gt;="&amp;DATE(2027,2,2),日次入力!$A$4:$A$1500,"&lt;="&amp;DATE(2027,2,8),日次入力!$C$4:$C$1500,"MetaClaude")=0,"",SUMIFS(日次入力!$F$4:$F$1500,日次入力!$A$4:$A$1500,"&gt;="&amp;DATE(2027,2,2),日次入力!$A$4:$A$1500,"&lt;="&amp;DATE(2027,2,8),日次入力!$C$4:$C$1500,"MetaClaude"))</f>
        <v/>
      </c>
      <c r="F161" s="42" t="str">
        <f aca="false">IF(COUNTIFS(日次入力!$A$4:$A$1500,"&gt;="&amp;DATE(2027,2,2),日次入力!$A$4:$A$1500,"&lt;="&amp;DATE(2027,2,8),日次入力!$C$4:$C$1500,"MetaClaude")=0,"",SUMIFS(日次入力!$G$4:$G$1500,日次入力!$A$4:$A$1500,"&gt;="&amp;DATE(2027,2,2),日次入力!$A$4:$A$1500,"&lt;="&amp;DATE(2027,2,8),日次入力!$C$4:$C$1500,"MetaClaude"))</f>
        <v/>
      </c>
      <c r="G161" s="15" t="str">
        <f aca="false">IFERROR(E161/D161,"")</f>
        <v/>
      </c>
      <c r="H161" s="37" t="str">
        <f aca="false">IFERROR(C161/E161,"")</f>
        <v/>
      </c>
      <c r="I161" s="37" t="str">
        <f aca="false">IFERROR(C161/D161*1000,"")</f>
        <v/>
      </c>
      <c r="J161" s="15" t="str">
        <f aca="false">IFERROR(F161/E161,"")</f>
        <v/>
      </c>
      <c r="K161" s="37" t="str">
        <f aca="false">IFERROR(C161/F161,"")</f>
        <v/>
      </c>
      <c r="L161" s="42" t="str">
        <f aca="false">IF(COUNTIFS(日次入力!$A$4:$A$1500,"&gt;="&amp;DATE(2027,2,2),日次入力!$A$4:$A$1500,"&lt;="&amp;DATE(2027,2,8),日次入力!$C$4:$C$1500,"MetaClaude")=0,"",SUMIFS(日次入力!$H$4:$H$1500,日次入力!$A$4:$A$1500,"&gt;="&amp;DATE(2027,2,2),日次入力!$A$4:$A$1500,"&lt;="&amp;DATE(2027,2,8),日次入力!$C$4:$C$1500,"MetaClaude"))</f>
        <v/>
      </c>
      <c r="M161" s="15" t="str">
        <f aca="false">IF(L161="","",IFERROR(L161/F161,""))</f>
        <v/>
      </c>
      <c r="N161" s="42" t="str">
        <f aca="false">IF(COUNTIFS(日次入力!$A$4:$A$1500,"&gt;="&amp;DATE(2027,2,2),日次入力!$A$4:$A$1500,"&lt;="&amp;DATE(2027,2,8),日次入力!$C$4:$C$1500,"MetaClaude")=0,"",SUMIFS(日次入力!$I$4:$I$1500,日次入力!$A$4:$A$1500,"&gt;="&amp;DATE(2027,2,2),日次入力!$A$4:$A$1500,"&lt;="&amp;DATE(2027,2,8),日次入力!$C$4:$C$1500,"MetaClaude"))</f>
        <v/>
      </c>
      <c r="O161" s="15" t="str">
        <f aca="false">IF(N161="","",IFERROR(N161/L161,""))</f>
        <v/>
      </c>
      <c r="P161" s="37" t="str">
        <f aca="false">IF(N161=0,"",IFERROR(C161/N161,""))</f>
        <v/>
      </c>
      <c r="Q161" s="38" t="str">
        <f aca="false">IF(N161=0,"",IFERROR(IF(C161/N161&lt;=用語集!$B$22,"◎ 許容内","✗ 超過"),"—"))</f>
        <v>—</v>
      </c>
      <c r="R161" s="39" t="str">
        <f aca="false">IFERROR(用語集!$B$22/P161,"")</f>
        <v/>
      </c>
    </row>
    <row r="162" customFormat="false" ht="15" hidden="false" customHeight="false" outlineLevel="0" collapsed="false">
      <c r="A162" s="34" t="s">
        <v>148</v>
      </c>
      <c r="B162" s="35" t="s">
        <v>149</v>
      </c>
      <c r="C162" s="41" t="str">
        <f aca="false">IF(COUNTIFS(日次入力!$A$4:$A$1500,"&gt;="&amp;DATE(2027,2,9),日次入力!$A$4:$A$1500,"&lt;="&amp;DATE(2027,2,15),日次入力!$C$4:$C$1500,"MetaClaude")=0,"",SUMIFS(日次入力!$D$4:$D$1500,日次入力!$A$4:$A$1500,"&gt;="&amp;DATE(2027,2,9),日次入力!$A$4:$A$1500,"&lt;="&amp;DATE(2027,2,15),日次入力!$C$4:$C$1500,"MetaClaude"))</f>
        <v/>
      </c>
      <c r="D162" s="42" t="str">
        <f aca="false">IF(COUNTIFS(日次入力!$A$4:$A$1500,"&gt;="&amp;DATE(2027,2,9),日次入力!$A$4:$A$1500,"&lt;="&amp;DATE(2027,2,15),日次入力!$C$4:$C$1500,"MetaClaude")=0,"",SUMIFS(日次入力!$E$4:$E$1500,日次入力!$A$4:$A$1500,"&gt;="&amp;DATE(2027,2,9),日次入力!$A$4:$A$1500,"&lt;="&amp;DATE(2027,2,15),日次入力!$C$4:$C$1500,"MetaClaude"))</f>
        <v/>
      </c>
      <c r="E162" s="42" t="str">
        <f aca="false">IF(COUNTIFS(日次入力!$A$4:$A$1500,"&gt;="&amp;DATE(2027,2,9),日次入力!$A$4:$A$1500,"&lt;="&amp;DATE(2027,2,15),日次入力!$C$4:$C$1500,"MetaClaude")=0,"",SUMIFS(日次入力!$F$4:$F$1500,日次入力!$A$4:$A$1500,"&gt;="&amp;DATE(2027,2,9),日次入力!$A$4:$A$1500,"&lt;="&amp;DATE(2027,2,15),日次入力!$C$4:$C$1500,"MetaClaude"))</f>
        <v/>
      </c>
      <c r="F162" s="42" t="str">
        <f aca="false">IF(COUNTIFS(日次入力!$A$4:$A$1500,"&gt;="&amp;DATE(2027,2,9),日次入力!$A$4:$A$1500,"&lt;="&amp;DATE(2027,2,15),日次入力!$C$4:$C$1500,"MetaClaude")=0,"",SUMIFS(日次入力!$G$4:$G$1500,日次入力!$A$4:$A$1500,"&gt;="&amp;DATE(2027,2,9),日次入力!$A$4:$A$1500,"&lt;="&amp;DATE(2027,2,15),日次入力!$C$4:$C$1500,"MetaClaude"))</f>
        <v/>
      </c>
      <c r="G162" s="15" t="str">
        <f aca="false">IFERROR(E162/D162,"")</f>
        <v/>
      </c>
      <c r="H162" s="37" t="str">
        <f aca="false">IFERROR(C162/E162,"")</f>
        <v/>
      </c>
      <c r="I162" s="37" t="str">
        <f aca="false">IFERROR(C162/D162*1000,"")</f>
        <v/>
      </c>
      <c r="J162" s="15" t="str">
        <f aca="false">IFERROR(F162/E162,"")</f>
        <v/>
      </c>
      <c r="K162" s="37" t="str">
        <f aca="false">IFERROR(C162/F162,"")</f>
        <v/>
      </c>
      <c r="L162" s="42" t="str">
        <f aca="false">IF(COUNTIFS(日次入力!$A$4:$A$1500,"&gt;="&amp;DATE(2027,2,9),日次入力!$A$4:$A$1500,"&lt;="&amp;DATE(2027,2,15),日次入力!$C$4:$C$1500,"MetaClaude")=0,"",SUMIFS(日次入力!$H$4:$H$1500,日次入力!$A$4:$A$1500,"&gt;="&amp;DATE(2027,2,9),日次入力!$A$4:$A$1500,"&lt;="&amp;DATE(2027,2,15),日次入力!$C$4:$C$1500,"MetaClaude"))</f>
        <v/>
      </c>
      <c r="M162" s="15" t="str">
        <f aca="false">IF(L162="","",IFERROR(L162/F162,""))</f>
        <v/>
      </c>
      <c r="N162" s="42" t="str">
        <f aca="false">IF(COUNTIFS(日次入力!$A$4:$A$1500,"&gt;="&amp;DATE(2027,2,9),日次入力!$A$4:$A$1500,"&lt;="&amp;DATE(2027,2,15),日次入力!$C$4:$C$1500,"MetaClaude")=0,"",SUMIFS(日次入力!$I$4:$I$1500,日次入力!$A$4:$A$1500,"&gt;="&amp;DATE(2027,2,9),日次入力!$A$4:$A$1500,"&lt;="&amp;DATE(2027,2,15),日次入力!$C$4:$C$1500,"MetaClaude"))</f>
        <v/>
      </c>
      <c r="O162" s="15" t="str">
        <f aca="false">IF(N162="","",IFERROR(N162/L162,""))</f>
        <v/>
      </c>
      <c r="P162" s="37" t="str">
        <f aca="false">IF(N162=0,"",IFERROR(C162/N162,""))</f>
        <v/>
      </c>
      <c r="Q162" s="38" t="str">
        <f aca="false">IF(N162=0,"",IFERROR(IF(C162/N162&lt;=用語集!$B$22,"◎ 許容内","✗ 超過"),"—"))</f>
        <v>—</v>
      </c>
      <c r="R162" s="39" t="str">
        <f aca="false">IFERROR(用語集!$B$22/P162,"")</f>
        <v/>
      </c>
    </row>
    <row r="163" customFormat="false" ht="15" hidden="false" customHeight="false" outlineLevel="0" collapsed="false">
      <c r="A163" s="34" t="s">
        <v>150</v>
      </c>
      <c r="B163" s="35" t="s">
        <v>151</v>
      </c>
      <c r="C163" s="41" t="str">
        <f aca="false">IF(COUNTIFS(日次入力!$A$4:$A$1500,"&gt;="&amp;DATE(2027,2,16),日次入力!$A$4:$A$1500,"&lt;="&amp;DATE(2027,2,22),日次入力!$C$4:$C$1500,"MetaClaude")=0,"",SUMIFS(日次入力!$D$4:$D$1500,日次入力!$A$4:$A$1500,"&gt;="&amp;DATE(2027,2,16),日次入力!$A$4:$A$1500,"&lt;="&amp;DATE(2027,2,22),日次入力!$C$4:$C$1500,"MetaClaude"))</f>
        <v/>
      </c>
      <c r="D163" s="42" t="str">
        <f aca="false">IF(COUNTIFS(日次入力!$A$4:$A$1500,"&gt;="&amp;DATE(2027,2,16),日次入力!$A$4:$A$1500,"&lt;="&amp;DATE(2027,2,22),日次入力!$C$4:$C$1500,"MetaClaude")=0,"",SUMIFS(日次入力!$E$4:$E$1500,日次入力!$A$4:$A$1500,"&gt;="&amp;DATE(2027,2,16),日次入力!$A$4:$A$1500,"&lt;="&amp;DATE(2027,2,22),日次入力!$C$4:$C$1500,"MetaClaude"))</f>
        <v/>
      </c>
      <c r="E163" s="42" t="str">
        <f aca="false">IF(COUNTIFS(日次入力!$A$4:$A$1500,"&gt;="&amp;DATE(2027,2,16),日次入力!$A$4:$A$1500,"&lt;="&amp;DATE(2027,2,22),日次入力!$C$4:$C$1500,"MetaClaude")=0,"",SUMIFS(日次入力!$F$4:$F$1500,日次入力!$A$4:$A$1500,"&gt;="&amp;DATE(2027,2,16),日次入力!$A$4:$A$1500,"&lt;="&amp;DATE(2027,2,22),日次入力!$C$4:$C$1500,"MetaClaude"))</f>
        <v/>
      </c>
      <c r="F163" s="42" t="str">
        <f aca="false">IF(COUNTIFS(日次入力!$A$4:$A$1500,"&gt;="&amp;DATE(2027,2,16),日次入力!$A$4:$A$1500,"&lt;="&amp;DATE(2027,2,22),日次入力!$C$4:$C$1500,"MetaClaude")=0,"",SUMIFS(日次入力!$G$4:$G$1500,日次入力!$A$4:$A$1500,"&gt;="&amp;DATE(2027,2,16),日次入力!$A$4:$A$1500,"&lt;="&amp;DATE(2027,2,22),日次入力!$C$4:$C$1500,"MetaClaude"))</f>
        <v/>
      </c>
      <c r="G163" s="15" t="str">
        <f aca="false">IFERROR(E163/D163,"")</f>
        <v/>
      </c>
      <c r="H163" s="37" t="str">
        <f aca="false">IFERROR(C163/E163,"")</f>
        <v/>
      </c>
      <c r="I163" s="37" t="str">
        <f aca="false">IFERROR(C163/D163*1000,"")</f>
        <v/>
      </c>
      <c r="J163" s="15" t="str">
        <f aca="false">IFERROR(F163/E163,"")</f>
        <v/>
      </c>
      <c r="K163" s="37" t="str">
        <f aca="false">IFERROR(C163/F163,"")</f>
        <v/>
      </c>
      <c r="L163" s="42" t="str">
        <f aca="false">IF(COUNTIFS(日次入力!$A$4:$A$1500,"&gt;="&amp;DATE(2027,2,16),日次入力!$A$4:$A$1500,"&lt;="&amp;DATE(2027,2,22),日次入力!$C$4:$C$1500,"MetaClaude")=0,"",SUMIFS(日次入力!$H$4:$H$1500,日次入力!$A$4:$A$1500,"&gt;="&amp;DATE(2027,2,16),日次入力!$A$4:$A$1500,"&lt;="&amp;DATE(2027,2,22),日次入力!$C$4:$C$1500,"MetaClaude"))</f>
        <v/>
      </c>
      <c r="M163" s="15" t="str">
        <f aca="false">IF(L163="","",IFERROR(L163/F163,""))</f>
        <v/>
      </c>
      <c r="N163" s="42" t="str">
        <f aca="false">IF(COUNTIFS(日次入力!$A$4:$A$1500,"&gt;="&amp;DATE(2027,2,16),日次入力!$A$4:$A$1500,"&lt;="&amp;DATE(2027,2,22),日次入力!$C$4:$C$1500,"MetaClaude")=0,"",SUMIFS(日次入力!$I$4:$I$1500,日次入力!$A$4:$A$1500,"&gt;="&amp;DATE(2027,2,16),日次入力!$A$4:$A$1500,"&lt;="&amp;DATE(2027,2,22),日次入力!$C$4:$C$1500,"MetaClaude"))</f>
        <v/>
      </c>
      <c r="O163" s="15" t="str">
        <f aca="false">IF(N163="","",IFERROR(N163/L163,""))</f>
        <v/>
      </c>
      <c r="P163" s="37" t="str">
        <f aca="false">IF(N163=0,"",IFERROR(C163/N163,""))</f>
        <v/>
      </c>
      <c r="Q163" s="38" t="str">
        <f aca="false">IF(N163=0,"",IFERROR(IF(C163/N163&lt;=用語集!$B$22,"◎ 許容内","✗ 超過"),"—"))</f>
        <v>—</v>
      </c>
      <c r="R163" s="39" t="str">
        <f aca="false">IFERROR(用語集!$B$22/P163,"")</f>
        <v/>
      </c>
    </row>
    <row r="164" customFormat="false" ht="15" hidden="false" customHeight="false" outlineLevel="0" collapsed="false">
      <c r="A164" s="34" t="s">
        <v>152</v>
      </c>
      <c r="B164" s="35" t="s">
        <v>153</v>
      </c>
      <c r="C164" s="41" t="str">
        <f aca="false">IF(COUNTIFS(日次入力!$A$4:$A$1500,"&gt;="&amp;DATE(2027,2,23),日次入力!$A$4:$A$1500,"&lt;="&amp;DATE(2027,3,1),日次入力!$C$4:$C$1500,"MetaClaude")=0,"",SUMIFS(日次入力!$D$4:$D$1500,日次入力!$A$4:$A$1500,"&gt;="&amp;DATE(2027,2,23),日次入力!$A$4:$A$1500,"&lt;="&amp;DATE(2027,3,1),日次入力!$C$4:$C$1500,"MetaClaude"))</f>
        <v/>
      </c>
      <c r="D164" s="42" t="str">
        <f aca="false">IF(COUNTIFS(日次入力!$A$4:$A$1500,"&gt;="&amp;DATE(2027,2,23),日次入力!$A$4:$A$1500,"&lt;="&amp;DATE(2027,3,1),日次入力!$C$4:$C$1500,"MetaClaude")=0,"",SUMIFS(日次入力!$E$4:$E$1500,日次入力!$A$4:$A$1500,"&gt;="&amp;DATE(2027,2,23),日次入力!$A$4:$A$1500,"&lt;="&amp;DATE(2027,3,1),日次入力!$C$4:$C$1500,"MetaClaude"))</f>
        <v/>
      </c>
      <c r="E164" s="42" t="str">
        <f aca="false">IF(COUNTIFS(日次入力!$A$4:$A$1500,"&gt;="&amp;DATE(2027,2,23),日次入力!$A$4:$A$1500,"&lt;="&amp;DATE(2027,3,1),日次入力!$C$4:$C$1500,"MetaClaude")=0,"",SUMIFS(日次入力!$F$4:$F$1500,日次入力!$A$4:$A$1500,"&gt;="&amp;DATE(2027,2,23),日次入力!$A$4:$A$1500,"&lt;="&amp;DATE(2027,3,1),日次入力!$C$4:$C$1500,"MetaClaude"))</f>
        <v/>
      </c>
      <c r="F164" s="42" t="str">
        <f aca="false">IF(COUNTIFS(日次入力!$A$4:$A$1500,"&gt;="&amp;DATE(2027,2,23),日次入力!$A$4:$A$1500,"&lt;="&amp;DATE(2027,3,1),日次入力!$C$4:$C$1500,"MetaClaude")=0,"",SUMIFS(日次入力!$G$4:$G$1500,日次入力!$A$4:$A$1500,"&gt;="&amp;DATE(2027,2,23),日次入力!$A$4:$A$1500,"&lt;="&amp;DATE(2027,3,1),日次入力!$C$4:$C$1500,"MetaClaude"))</f>
        <v/>
      </c>
      <c r="G164" s="15" t="str">
        <f aca="false">IFERROR(E164/D164,"")</f>
        <v/>
      </c>
      <c r="H164" s="37" t="str">
        <f aca="false">IFERROR(C164/E164,"")</f>
        <v/>
      </c>
      <c r="I164" s="37" t="str">
        <f aca="false">IFERROR(C164/D164*1000,"")</f>
        <v/>
      </c>
      <c r="J164" s="15" t="str">
        <f aca="false">IFERROR(F164/E164,"")</f>
        <v/>
      </c>
      <c r="K164" s="37" t="str">
        <f aca="false">IFERROR(C164/F164,"")</f>
        <v/>
      </c>
      <c r="L164" s="42" t="str">
        <f aca="false">IF(COUNTIFS(日次入力!$A$4:$A$1500,"&gt;="&amp;DATE(2027,2,23),日次入力!$A$4:$A$1500,"&lt;="&amp;DATE(2027,3,1),日次入力!$C$4:$C$1500,"MetaClaude")=0,"",SUMIFS(日次入力!$H$4:$H$1500,日次入力!$A$4:$A$1500,"&gt;="&amp;DATE(2027,2,23),日次入力!$A$4:$A$1500,"&lt;="&amp;DATE(2027,3,1),日次入力!$C$4:$C$1500,"MetaClaude"))</f>
        <v/>
      </c>
      <c r="M164" s="15" t="str">
        <f aca="false">IF(L164="","",IFERROR(L164/F164,""))</f>
        <v/>
      </c>
      <c r="N164" s="42" t="str">
        <f aca="false">IF(COUNTIFS(日次入力!$A$4:$A$1500,"&gt;="&amp;DATE(2027,2,23),日次入力!$A$4:$A$1500,"&lt;="&amp;DATE(2027,3,1),日次入力!$C$4:$C$1500,"MetaClaude")=0,"",SUMIFS(日次入力!$I$4:$I$1500,日次入力!$A$4:$A$1500,"&gt;="&amp;DATE(2027,2,23),日次入力!$A$4:$A$1500,"&lt;="&amp;DATE(2027,3,1),日次入力!$C$4:$C$1500,"MetaClaude"))</f>
        <v/>
      </c>
      <c r="O164" s="15" t="str">
        <f aca="false">IF(N164="","",IFERROR(N164/L164,""))</f>
        <v/>
      </c>
      <c r="P164" s="37" t="str">
        <f aca="false">IF(N164=0,"",IFERROR(C164/N164,""))</f>
        <v/>
      </c>
      <c r="Q164" s="38" t="str">
        <f aca="false">IF(N164=0,"",IFERROR(IF(C164/N164&lt;=用語集!$B$22,"◎ 許容内","✗ 超過"),"—"))</f>
        <v>—</v>
      </c>
      <c r="R164" s="39" t="str">
        <f aca="false">IFERROR(用語集!$B$22/P164,"")</f>
        <v/>
      </c>
    </row>
    <row r="165" customFormat="false" ht="15" hidden="false" customHeight="false" outlineLevel="0" collapsed="false">
      <c r="A165" s="34" t="s">
        <v>154</v>
      </c>
      <c r="B165" s="35" t="s">
        <v>155</v>
      </c>
      <c r="C165" s="41" t="str">
        <f aca="false">IF(COUNTIFS(日次入力!$A$4:$A$1500,"&gt;="&amp;DATE(2027,3,2),日次入力!$A$4:$A$1500,"&lt;="&amp;DATE(2027,3,8),日次入力!$C$4:$C$1500,"MetaClaude")=0,"",SUMIFS(日次入力!$D$4:$D$1500,日次入力!$A$4:$A$1500,"&gt;="&amp;DATE(2027,3,2),日次入力!$A$4:$A$1500,"&lt;="&amp;DATE(2027,3,8),日次入力!$C$4:$C$1500,"MetaClaude"))</f>
        <v/>
      </c>
      <c r="D165" s="42" t="str">
        <f aca="false">IF(COUNTIFS(日次入力!$A$4:$A$1500,"&gt;="&amp;DATE(2027,3,2),日次入力!$A$4:$A$1500,"&lt;="&amp;DATE(2027,3,8),日次入力!$C$4:$C$1500,"MetaClaude")=0,"",SUMIFS(日次入力!$E$4:$E$1500,日次入力!$A$4:$A$1500,"&gt;="&amp;DATE(2027,3,2),日次入力!$A$4:$A$1500,"&lt;="&amp;DATE(2027,3,8),日次入力!$C$4:$C$1500,"MetaClaude"))</f>
        <v/>
      </c>
      <c r="E165" s="42" t="str">
        <f aca="false">IF(COUNTIFS(日次入力!$A$4:$A$1500,"&gt;="&amp;DATE(2027,3,2),日次入力!$A$4:$A$1500,"&lt;="&amp;DATE(2027,3,8),日次入力!$C$4:$C$1500,"MetaClaude")=0,"",SUMIFS(日次入力!$F$4:$F$1500,日次入力!$A$4:$A$1500,"&gt;="&amp;DATE(2027,3,2),日次入力!$A$4:$A$1500,"&lt;="&amp;DATE(2027,3,8),日次入力!$C$4:$C$1500,"MetaClaude"))</f>
        <v/>
      </c>
      <c r="F165" s="42" t="str">
        <f aca="false">IF(COUNTIFS(日次入力!$A$4:$A$1500,"&gt;="&amp;DATE(2027,3,2),日次入力!$A$4:$A$1500,"&lt;="&amp;DATE(2027,3,8),日次入力!$C$4:$C$1500,"MetaClaude")=0,"",SUMIFS(日次入力!$G$4:$G$1500,日次入力!$A$4:$A$1500,"&gt;="&amp;DATE(2027,3,2),日次入力!$A$4:$A$1500,"&lt;="&amp;DATE(2027,3,8),日次入力!$C$4:$C$1500,"MetaClaude"))</f>
        <v/>
      </c>
      <c r="G165" s="15" t="str">
        <f aca="false">IFERROR(E165/D165,"")</f>
        <v/>
      </c>
      <c r="H165" s="37" t="str">
        <f aca="false">IFERROR(C165/E165,"")</f>
        <v/>
      </c>
      <c r="I165" s="37" t="str">
        <f aca="false">IFERROR(C165/D165*1000,"")</f>
        <v/>
      </c>
      <c r="J165" s="15" t="str">
        <f aca="false">IFERROR(F165/E165,"")</f>
        <v/>
      </c>
      <c r="K165" s="37" t="str">
        <f aca="false">IFERROR(C165/F165,"")</f>
        <v/>
      </c>
      <c r="L165" s="42" t="str">
        <f aca="false">IF(COUNTIFS(日次入力!$A$4:$A$1500,"&gt;="&amp;DATE(2027,3,2),日次入力!$A$4:$A$1500,"&lt;="&amp;DATE(2027,3,8),日次入力!$C$4:$C$1500,"MetaClaude")=0,"",SUMIFS(日次入力!$H$4:$H$1500,日次入力!$A$4:$A$1500,"&gt;="&amp;DATE(2027,3,2),日次入力!$A$4:$A$1500,"&lt;="&amp;DATE(2027,3,8),日次入力!$C$4:$C$1500,"MetaClaude"))</f>
        <v/>
      </c>
      <c r="M165" s="15" t="str">
        <f aca="false">IF(L165="","",IFERROR(L165/F165,""))</f>
        <v/>
      </c>
      <c r="N165" s="42" t="str">
        <f aca="false">IF(COUNTIFS(日次入力!$A$4:$A$1500,"&gt;="&amp;DATE(2027,3,2),日次入力!$A$4:$A$1500,"&lt;="&amp;DATE(2027,3,8),日次入力!$C$4:$C$1500,"MetaClaude")=0,"",SUMIFS(日次入力!$I$4:$I$1500,日次入力!$A$4:$A$1500,"&gt;="&amp;DATE(2027,3,2),日次入力!$A$4:$A$1500,"&lt;="&amp;DATE(2027,3,8),日次入力!$C$4:$C$1500,"MetaClaude"))</f>
        <v/>
      </c>
      <c r="O165" s="15" t="str">
        <f aca="false">IF(N165="","",IFERROR(N165/L165,""))</f>
        <v/>
      </c>
      <c r="P165" s="37" t="str">
        <f aca="false">IF(N165=0,"",IFERROR(C165/N165,""))</f>
        <v/>
      </c>
      <c r="Q165" s="38" t="str">
        <f aca="false">IF(N165=0,"",IFERROR(IF(C165/N165&lt;=用語集!$B$22,"◎ 許容内","✗ 超過"),"—"))</f>
        <v>—</v>
      </c>
      <c r="R165" s="39" t="str">
        <f aca="false">IFERROR(用語集!$B$22/P165,"")</f>
        <v/>
      </c>
    </row>
    <row r="166" customFormat="false" ht="15" hidden="false" customHeight="false" outlineLevel="0" collapsed="false">
      <c r="A166" s="34" t="s">
        <v>156</v>
      </c>
      <c r="B166" s="35" t="s">
        <v>157</v>
      </c>
      <c r="C166" s="41" t="str">
        <f aca="false">IF(COUNTIFS(日次入力!$A$4:$A$1500,"&gt;="&amp;DATE(2027,3,9),日次入力!$A$4:$A$1500,"&lt;="&amp;DATE(2027,3,15),日次入力!$C$4:$C$1500,"MetaClaude")=0,"",SUMIFS(日次入力!$D$4:$D$1500,日次入力!$A$4:$A$1500,"&gt;="&amp;DATE(2027,3,9),日次入力!$A$4:$A$1500,"&lt;="&amp;DATE(2027,3,15),日次入力!$C$4:$C$1500,"MetaClaude"))</f>
        <v/>
      </c>
      <c r="D166" s="42" t="str">
        <f aca="false">IF(COUNTIFS(日次入力!$A$4:$A$1500,"&gt;="&amp;DATE(2027,3,9),日次入力!$A$4:$A$1500,"&lt;="&amp;DATE(2027,3,15),日次入力!$C$4:$C$1500,"MetaClaude")=0,"",SUMIFS(日次入力!$E$4:$E$1500,日次入力!$A$4:$A$1500,"&gt;="&amp;DATE(2027,3,9),日次入力!$A$4:$A$1500,"&lt;="&amp;DATE(2027,3,15),日次入力!$C$4:$C$1500,"MetaClaude"))</f>
        <v/>
      </c>
      <c r="E166" s="42" t="str">
        <f aca="false">IF(COUNTIFS(日次入力!$A$4:$A$1500,"&gt;="&amp;DATE(2027,3,9),日次入力!$A$4:$A$1500,"&lt;="&amp;DATE(2027,3,15),日次入力!$C$4:$C$1500,"MetaClaude")=0,"",SUMIFS(日次入力!$F$4:$F$1500,日次入力!$A$4:$A$1500,"&gt;="&amp;DATE(2027,3,9),日次入力!$A$4:$A$1500,"&lt;="&amp;DATE(2027,3,15),日次入力!$C$4:$C$1500,"MetaClaude"))</f>
        <v/>
      </c>
      <c r="F166" s="42" t="str">
        <f aca="false">IF(COUNTIFS(日次入力!$A$4:$A$1500,"&gt;="&amp;DATE(2027,3,9),日次入力!$A$4:$A$1500,"&lt;="&amp;DATE(2027,3,15),日次入力!$C$4:$C$1500,"MetaClaude")=0,"",SUMIFS(日次入力!$G$4:$G$1500,日次入力!$A$4:$A$1500,"&gt;="&amp;DATE(2027,3,9),日次入力!$A$4:$A$1500,"&lt;="&amp;DATE(2027,3,15),日次入力!$C$4:$C$1500,"MetaClaude"))</f>
        <v/>
      </c>
      <c r="G166" s="15" t="str">
        <f aca="false">IFERROR(E166/D166,"")</f>
        <v/>
      </c>
      <c r="H166" s="37" t="str">
        <f aca="false">IFERROR(C166/E166,"")</f>
        <v/>
      </c>
      <c r="I166" s="37" t="str">
        <f aca="false">IFERROR(C166/D166*1000,"")</f>
        <v/>
      </c>
      <c r="J166" s="15" t="str">
        <f aca="false">IFERROR(F166/E166,"")</f>
        <v/>
      </c>
      <c r="K166" s="37" t="str">
        <f aca="false">IFERROR(C166/F166,"")</f>
        <v/>
      </c>
      <c r="L166" s="42" t="str">
        <f aca="false">IF(COUNTIFS(日次入力!$A$4:$A$1500,"&gt;="&amp;DATE(2027,3,9),日次入力!$A$4:$A$1500,"&lt;="&amp;DATE(2027,3,15),日次入力!$C$4:$C$1500,"MetaClaude")=0,"",SUMIFS(日次入力!$H$4:$H$1500,日次入力!$A$4:$A$1500,"&gt;="&amp;DATE(2027,3,9),日次入力!$A$4:$A$1500,"&lt;="&amp;DATE(2027,3,15),日次入力!$C$4:$C$1500,"MetaClaude"))</f>
        <v/>
      </c>
      <c r="M166" s="15" t="str">
        <f aca="false">IF(L166="","",IFERROR(L166/F166,""))</f>
        <v/>
      </c>
      <c r="N166" s="42" t="str">
        <f aca="false">IF(COUNTIFS(日次入力!$A$4:$A$1500,"&gt;="&amp;DATE(2027,3,9),日次入力!$A$4:$A$1500,"&lt;="&amp;DATE(2027,3,15),日次入力!$C$4:$C$1500,"MetaClaude")=0,"",SUMIFS(日次入力!$I$4:$I$1500,日次入力!$A$4:$A$1500,"&gt;="&amp;DATE(2027,3,9),日次入力!$A$4:$A$1500,"&lt;="&amp;DATE(2027,3,15),日次入力!$C$4:$C$1500,"MetaClaude"))</f>
        <v/>
      </c>
      <c r="O166" s="15" t="str">
        <f aca="false">IF(N166="","",IFERROR(N166/L166,""))</f>
        <v/>
      </c>
      <c r="P166" s="37" t="str">
        <f aca="false">IF(N166=0,"",IFERROR(C166/N166,""))</f>
        <v/>
      </c>
      <c r="Q166" s="38" t="str">
        <f aca="false">IF(N166=0,"",IFERROR(IF(C166/N166&lt;=用語集!$B$22,"◎ 許容内","✗ 超過"),"—"))</f>
        <v>—</v>
      </c>
      <c r="R166" s="39" t="str">
        <f aca="false">IFERROR(用語集!$B$22/P166,"")</f>
        <v/>
      </c>
    </row>
    <row r="167" customFormat="false" ht="15" hidden="false" customHeight="false" outlineLevel="0" collapsed="false">
      <c r="A167" s="34" t="s">
        <v>158</v>
      </c>
      <c r="B167" s="35" t="s">
        <v>159</v>
      </c>
      <c r="C167" s="41" t="str">
        <f aca="false">IF(COUNTIFS(日次入力!$A$4:$A$1500,"&gt;="&amp;DATE(2027,3,16),日次入力!$A$4:$A$1500,"&lt;="&amp;DATE(2027,3,22),日次入力!$C$4:$C$1500,"MetaClaude")=0,"",SUMIFS(日次入力!$D$4:$D$1500,日次入力!$A$4:$A$1500,"&gt;="&amp;DATE(2027,3,16),日次入力!$A$4:$A$1500,"&lt;="&amp;DATE(2027,3,22),日次入力!$C$4:$C$1500,"MetaClaude"))</f>
        <v/>
      </c>
      <c r="D167" s="42" t="str">
        <f aca="false">IF(COUNTIFS(日次入力!$A$4:$A$1500,"&gt;="&amp;DATE(2027,3,16),日次入力!$A$4:$A$1500,"&lt;="&amp;DATE(2027,3,22),日次入力!$C$4:$C$1500,"MetaClaude")=0,"",SUMIFS(日次入力!$E$4:$E$1500,日次入力!$A$4:$A$1500,"&gt;="&amp;DATE(2027,3,16),日次入力!$A$4:$A$1500,"&lt;="&amp;DATE(2027,3,22),日次入力!$C$4:$C$1500,"MetaClaude"))</f>
        <v/>
      </c>
      <c r="E167" s="42" t="str">
        <f aca="false">IF(COUNTIFS(日次入力!$A$4:$A$1500,"&gt;="&amp;DATE(2027,3,16),日次入力!$A$4:$A$1500,"&lt;="&amp;DATE(2027,3,22),日次入力!$C$4:$C$1500,"MetaClaude")=0,"",SUMIFS(日次入力!$F$4:$F$1500,日次入力!$A$4:$A$1500,"&gt;="&amp;DATE(2027,3,16),日次入力!$A$4:$A$1500,"&lt;="&amp;DATE(2027,3,22),日次入力!$C$4:$C$1500,"MetaClaude"))</f>
        <v/>
      </c>
      <c r="F167" s="42" t="str">
        <f aca="false">IF(COUNTIFS(日次入力!$A$4:$A$1500,"&gt;="&amp;DATE(2027,3,16),日次入力!$A$4:$A$1500,"&lt;="&amp;DATE(2027,3,22),日次入力!$C$4:$C$1500,"MetaClaude")=0,"",SUMIFS(日次入力!$G$4:$G$1500,日次入力!$A$4:$A$1500,"&gt;="&amp;DATE(2027,3,16),日次入力!$A$4:$A$1500,"&lt;="&amp;DATE(2027,3,22),日次入力!$C$4:$C$1500,"MetaClaude"))</f>
        <v/>
      </c>
      <c r="G167" s="15" t="str">
        <f aca="false">IFERROR(E167/D167,"")</f>
        <v/>
      </c>
      <c r="H167" s="37" t="str">
        <f aca="false">IFERROR(C167/E167,"")</f>
        <v/>
      </c>
      <c r="I167" s="37" t="str">
        <f aca="false">IFERROR(C167/D167*1000,"")</f>
        <v/>
      </c>
      <c r="J167" s="15" t="str">
        <f aca="false">IFERROR(F167/E167,"")</f>
        <v/>
      </c>
      <c r="K167" s="37" t="str">
        <f aca="false">IFERROR(C167/F167,"")</f>
        <v/>
      </c>
      <c r="L167" s="42" t="str">
        <f aca="false">IF(COUNTIFS(日次入力!$A$4:$A$1500,"&gt;="&amp;DATE(2027,3,16),日次入力!$A$4:$A$1500,"&lt;="&amp;DATE(2027,3,22),日次入力!$C$4:$C$1500,"MetaClaude")=0,"",SUMIFS(日次入力!$H$4:$H$1500,日次入力!$A$4:$A$1500,"&gt;="&amp;DATE(2027,3,16),日次入力!$A$4:$A$1500,"&lt;="&amp;DATE(2027,3,22),日次入力!$C$4:$C$1500,"MetaClaude"))</f>
        <v/>
      </c>
      <c r="M167" s="15" t="str">
        <f aca="false">IF(L167="","",IFERROR(L167/F167,""))</f>
        <v/>
      </c>
      <c r="N167" s="42" t="str">
        <f aca="false">IF(COUNTIFS(日次入力!$A$4:$A$1500,"&gt;="&amp;DATE(2027,3,16),日次入力!$A$4:$A$1500,"&lt;="&amp;DATE(2027,3,22),日次入力!$C$4:$C$1500,"MetaClaude")=0,"",SUMIFS(日次入力!$I$4:$I$1500,日次入力!$A$4:$A$1500,"&gt;="&amp;DATE(2027,3,16),日次入力!$A$4:$A$1500,"&lt;="&amp;DATE(2027,3,22),日次入力!$C$4:$C$1500,"MetaClaude"))</f>
        <v/>
      </c>
      <c r="O167" s="15" t="str">
        <f aca="false">IF(N167="","",IFERROR(N167/L167,""))</f>
        <v/>
      </c>
      <c r="P167" s="37" t="str">
        <f aca="false">IF(N167=0,"",IFERROR(C167/N167,""))</f>
        <v/>
      </c>
      <c r="Q167" s="38" t="str">
        <f aca="false">IF(N167=0,"",IFERROR(IF(C167/N167&lt;=用語集!$B$22,"◎ 許容内","✗ 超過"),"—"))</f>
        <v>—</v>
      </c>
      <c r="R167" s="39" t="str">
        <f aca="false">IFERROR(用語集!$B$22/P167,"")</f>
        <v/>
      </c>
    </row>
    <row r="168" customFormat="false" ht="15" hidden="false" customHeight="false" outlineLevel="0" collapsed="false">
      <c r="A168" s="34" t="s">
        <v>160</v>
      </c>
      <c r="B168" s="35" t="s">
        <v>161</v>
      </c>
      <c r="C168" s="41" t="str">
        <f aca="false">IF(COUNTIFS(日次入力!$A$4:$A$1500,"&gt;="&amp;DATE(2027,3,23),日次入力!$A$4:$A$1500,"&lt;="&amp;DATE(2027,3,29),日次入力!$C$4:$C$1500,"MetaClaude")=0,"",SUMIFS(日次入力!$D$4:$D$1500,日次入力!$A$4:$A$1500,"&gt;="&amp;DATE(2027,3,23),日次入力!$A$4:$A$1500,"&lt;="&amp;DATE(2027,3,29),日次入力!$C$4:$C$1500,"MetaClaude"))</f>
        <v/>
      </c>
      <c r="D168" s="42" t="str">
        <f aca="false">IF(COUNTIFS(日次入力!$A$4:$A$1500,"&gt;="&amp;DATE(2027,3,23),日次入力!$A$4:$A$1500,"&lt;="&amp;DATE(2027,3,29),日次入力!$C$4:$C$1500,"MetaClaude")=0,"",SUMIFS(日次入力!$E$4:$E$1500,日次入力!$A$4:$A$1500,"&gt;="&amp;DATE(2027,3,23),日次入力!$A$4:$A$1500,"&lt;="&amp;DATE(2027,3,29),日次入力!$C$4:$C$1500,"MetaClaude"))</f>
        <v/>
      </c>
      <c r="E168" s="42" t="str">
        <f aca="false">IF(COUNTIFS(日次入力!$A$4:$A$1500,"&gt;="&amp;DATE(2027,3,23),日次入力!$A$4:$A$1500,"&lt;="&amp;DATE(2027,3,29),日次入力!$C$4:$C$1500,"MetaClaude")=0,"",SUMIFS(日次入力!$F$4:$F$1500,日次入力!$A$4:$A$1500,"&gt;="&amp;DATE(2027,3,23),日次入力!$A$4:$A$1500,"&lt;="&amp;DATE(2027,3,29),日次入力!$C$4:$C$1500,"MetaClaude"))</f>
        <v/>
      </c>
      <c r="F168" s="42" t="str">
        <f aca="false">IF(COUNTIFS(日次入力!$A$4:$A$1500,"&gt;="&amp;DATE(2027,3,23),日次入力!$A$4:$A$1500,"&lt;="&amp;DATE(2027,3,29),日次入力!$C$4:$C$1500,"MetaClaude")=0,"",SUMIFS(日次入力!$G$4:$G$1500,日次入力!$A$4:$A$1500,"&gt;="&amp;DATE(2027,3,23),日次入力!$A$4:$A$1500,"&lt;="&amp;DATE(2027,3,29),日次入力!$C$4:$C$1500,"MetaClaude"))</f>
        <v/>
      </c>
      <c r="G168" s="15" t="str">
        <f aca="false">IFERROR(E168/D168,"")</f>
        <v/>
      </c>
      <c r="H168" s="37" t="str">
        <f aca="false">IFERROR(C168/E168,"")</f>
        <v/>
      </c>
      <c r="I168" s="37" t="str">
        <f aca="false">IFERROR(C168/D168*1000,"")</f>
        <v/>
      </c>
      <c r="J168" s="15" t="str">
        <f aca="false">IFERROR(F168/E168,"")</f>
        <v/>
      </c>
      <c r="K168" s="37" t="str">
        <f aca="false">IFERROR(C168/F168,"")</f>
        <v/>
      </c>
      <c r="L168" s="42" t="str">
        <f aca="false">IF(COUNTIFS(日次入力!$A$4:$A$1500,"&gt;="&amp;DATE(2027,3,23),日次入力!$A$4:$A$1500,"&lt;="&amp;DATE(2027,3,29),日次入力!$C$4:$C$1500,"MetaClaude")=0,"",SUMIFS(日次入力!$H$4:$H$1500,日次入力!$A$4:$A$1500,"&gt;="&amp;DATE(2027,3,23),日次入力!$A$4:$A$1500,"&lt;="&amp;DATE(2027,3,29),日次入力!$C$4:$C$1500,"MetaClaude"))</f>
        <v/>
      </c>
      <c r="M168" s="15" t="str">
        <f aca="false">IF(L168="","",IFERROR(L168/F168,""))</f>
        <v/>
      </c>
      <c r="N168" s="42" t="str">
        <f aca="false">IF(COUNTIFS(日次入力!$A$4:$A$1500,"&gt;="&amp;DATE(2027,3,23),日次入力!$A$4:$A$1500,"&lt;="&amp;DATE(2027,3,29),日次入力!$C$4:$C$1500,"MetaClaude")=0,"",SUMIFS(日次入力!$I$4:$I$1500,日次入力!$A$4:$A$1500,"&gt;="&amp;DATE(2027,3,23),日次入力!$A$4:$A$1500,"&lt;="&amp;DATE(2027,3,29),日次入力!$C$4:$C$1500,"MetaClaude"))</f>
        <v/>
      </c>
      <c r="O168" s="15" t="str">
        <f aca="false">IF(N168="","",IFERROR(N168/L168,""))</f>
        <v/>
      </c>
      <c r="P168" s="37" t="str">
        <f aca="false">IF(N168=0,"",IFERROR(C168/N168,""))</f>
        <v/>
      </c>
      <c r="Q168" s="38" t="str">
        <f aca="false">IF(N168=0,"",IFERROR(IF(C168/N168&lt;=用語集!$B$22,"◎ 許容内","✗ 超過"),"—"))</f>
        <v>—</v>
      </c>
      <c r="R168" s="39" t="str">
        <f aca="false">IFERROR(用語集!$B$22/P168,"")</f>
        <v/>
      </c>
    </row>
    <row r="169" customFormat="false" ht="15" hidden="false" customHeight="false" outlineLevel="0" collapsed="false">
      <c r="A169" s="34" t="s">
        <v>162</v>
      </c>
      <c r="B169" s="35" t="s">
        <v>163</v>
      </c>
      <c r="C169" s="41" t="str">
        <f aca="false">IF(COUNTIFS(日次入力!$A$4:$A$1500,"&gt;="&amp;DATE(2027,3,30),日次入力!$A$4:$A$1500,"&lt;="&amp;DATE(2027,4,5),日次入力!$C$4:$C$1500,"MetaClaude")=0,"",SUMIFS(日次入力!$D$4:$D$1500,日次入力!$A$4:$A$1500,"&gt;="&amp;DATE(2027,3,30),日次入力!$A$4:$A$1500,"&lt;="&amp;DATE(2027,4,5),日次入力!$C$4:$C$1500,"MetaClaude"))</f>
        <v/>
      </c>
      <c r="D169" s="42" t="str">
        <f aca="false">IF(COUNTIFS(日次入力!$A$4:$A$1500,"&gt;="&amp;DATE(2027,3,30),日次入力!$A$4:$A$1500,"&lt;="&amp;DATE(2027,4,5),日次入力!$C$4:$C$1500,"MetaClaude")=0,"",SUMIFS(日次入力!$E$4:$E$1500,日次入力!$A$4:$A$1500,"&gt;="&amp;DATE(2027,3,30),日次入力!$A$4:$A$1500,"&lt;="&amp;DATE(2027,4,5),日次入力!$C$4:$C$1500,"MetaClaude"))</f>
        <v/>
      </c>
      <c r="E169" s="42" t="str">
        <f aca="false">IF(COUNTIFS(日次入力!$A$4:$A$1500,"&gt;="&amp;DATE(2027,3,30),日次入力!$A$4:$A$1500,"&lt;="&amp;DATE(2027,4,5),日次入力!$C$4:$C$1500,"MetaClaude")=0,"",SUMIFS(日次入力!$F$4:$F$1500,日次入力!$A$4:$A$1500,"&gt;="&amp;DATE(2027,3,30),日次入力!$A$4:$A$1500,"&lt;="&amp;DATE(2027,4,5),日次入力!$C$4:$C$1500,"MetaClaude"))</f>
        <v/>
      </c>
      <c r="F169" s="42" t="str">
        <f aca="false">IF(COUNTIFS(日次入力!$A$4:$A$1500,"&gt;="&amp;DATE(2027,3,30),日次入力!$A$4:$A$1500,"&lt;="&amp;DATE(2027,4,5),日次入力!$C$4:$C$1500,"MetaClaude")=0,"",SUMIFS(日次入力!$G$4:$G$1500,日次入力!$A$4:$A$1500,"&gt;="&amp;DATE(2027,3,30),日次入力!$A$4:$A$1500,"&lt;="&amp;DATE(2027,4,5),日次入力!$C$4:$C$1500,"MetaClaude"))</f>
        <v/>
      </c>
      <c r="G169" s="15" t="str">
        <f aca="false">IFERROR(E169/D169,"")</f>
        <v/>
      </c>
      <c r="H169" s="37" t="str">
        <f aca="false">IFERROR(C169/E169,"")</f>
        <v/>
      </c>
      <c r="I169" s="37" t="str">
        <f aca="false">IFERROR(C169/D169*1000,"")</f>
        <v/>
      </c>
      <c r="J169" s="15" t="str">
        <f aca="false">IFERROR(F169/E169,"")</f>
        <v/>
      </c>
      <c r="K169" s="37" t="str">
        <f aca="false">IFERROR(C169/F169,"")</f>
        <v/>
      </c>
      <c r="L169" s="42" t="str">
        <f aca="false">IF(COUNTIFS(日次入力!$A$4:$A$1500,"&gt;="&amp;DATE(2027,3,30),日次入力!$A$4:$A$1500,"&lt;="&amp;DATE(2027,4,5),日次入力!$C$4:$C$1500,"MetaClaude")=0,"",SUMIFS(日次入力!$H$4:$H$1500,日次入力!$A$4:$A$1500,"&gt;="&amp;DATE(2027,3,30),日次入力!$A$4:$A$1500,"&lt;="&amp;DATE(2027,4,5),日次入力!$C$4:$C$1500,"MetaClaude"))</f>
        <v/>
      </c>
      <c r="M169" s="15" t="str">
        <f aca="false">IF(L169="","",IFERROR(L169/F169,""))</f>
        <v/>
      </c>
      <c r="N169" s="42" t="str">
        <f aca="false">IF(COUNTIFS(日次入力!$A$4:$A$1500,"&gt;="&amp;DATE(2027,3,30),日次入力!$A$4:$A$1500,"&lt;="&amp;DATE(2027,4,5),日次入力!$C$4:$C$1500,"MetaClaude")=0,"",SUMIFS(日次入力!$I$4:$I$1500,日次入力!$A$4:$A$1500,"&gt;="&amp;DATE(2027,3,30),日次入力!$A$4:$A$1500,"&lt;="&amp;DATE(2027,4,5),日次入力!$C$4:$C$1500,"MetaClaude"))</f>
        <v/>
      </c>
      <c r="O169" s="15" t="str">
        <f aca="false">IF(N169="","",IFERROR(N169/L169,""))</f>
        <v/>
      </c>
      <c r="P169" s="37" t="str">
        <f aca="false">IF(N169=0,"",IFERROR(C169/N169,""))</f>
        <v/>
      </c>
      <c r="Q169" s="38" t="str">
        <f aca="false">IF(N169=0,"",IFERROR(IF(C169/N169&lt;=用語集!$B$22,"◎ 許容内","✗ 超過"),"—"))</f>
        <v>—</v>
      </c>
      <c r="R169" s="39" t="str">
        <f aca="false">IFERROR(用語集!$B$22/P169,"")</f>
        <v/>
      </c>
    </row>
    <row r="170" customFormat="false" ht="15" hidden="false" customHeight="false" outlineLevel="0" collapsed="false">
      <c r="A170" s="43" t="s">
        <v>164</v>
      </c>
      <c r="B170" s="44"/>
      <c r="C170" s="45" t="n">
        <f aca="false">SUM(C118:C169)</f>
        <v>190322</v>
      </c>
      <c r="D170" s="46" t="n">
        <f aca="false">SUM(D118:D169)</f>
        <v>74039</v>
      </c>
      <c r="E170" s="46" t="n">
        <f aca="false">SUM(E118:E169)</f>
        <v>2222</v>
      </c>
      <c r="F170" s="46" t="n">
        <f aca="false">SUM(F118:F169)</f>
        <v>124</v>
      </c>
      <c r="G170" s="47" t="n">
        <f aca="false">IFERROR(E170/D170,"")</f>
        <v>0.0300112103080809</v>
      </c>
      <c r="H170" s="45" t="n">
        <f aca="false">IFERROR(C170/E170,"")</f>
        <v>85.6534653465347</v>
      </c>
      <c r="I170" s="45" t="n">
        <f aca="false">IFERROR(C170/D170*1000,"")</f>
        <v>2570.56416213077</v>
      </c>
      <c r="J170" s="47" t="n">
        <f aca="false">IFERROR(F170/D170,"")</f>
        <v>0.00167479301449236</v>
      </c>
      <c r="K170" s="45" t="n">
        <f aca="false">IFERROR(C170/F170,"")</f>
        <v>1534.85483870968</v>
      </c>
      <c r="L170" s="46" t="n">
        <f aca="false">SUM(L118:L169)</f>
        <v>1</v>
      </c>
      <c r="M170" s="47" t="n">
        <f aca="false">IF(L170=0,"",IFERROR(L170/F170,""))</f>
        <v>0.00806451612903226</v>
      </c>
      <c r="N170" s="46" t="n">
        <f aca="false">SUM(N118:N169)</f>
        <v>0</v>
      </c>
      <c r="O170" s="47" t="n">
        <f aca="false">IF(L170=0,"",IFERROR(N170/L170,""))</f>
        <v>0</v>
      </c>
      <c r="P170" s="45" t="str">
        <f aca="false">IF(N170=0,"",IFERROR(C170/N170,""))</f>
        <v/>
      </c>
      <c r="Q170" s="43" t="str">
        <f aca="false">IF(N170=0,"",IFERROR(IF(C170/N170&lt;=用語集!$B$22,"◎ 許容内","✗ 超過"),"—"))</f>
        <v/>
      </c>
      <c r="R170" s="48" t="str">
        <f aca="false">IFERROR(用語集!$B$22/P170,"")</f>
        <v/>
      </c>
    </row>
    <row r="172" customFormat="false" ht="17.15" hidden="false" customHeight="false" outlineLevel="0" collapsed="false">
      <c r="A172" s="31" t="s">
        <v>167</v>
      </c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</row>
    <row r="173" customFormat="false" ht="25.5" hidden="false" customHeight="true" outlineLevel="0" collapsed="false">
      <c r="A173" s="32" t="s">
        <v>48</v>
      </c>
      <c r="B173" s="32" t="s">
        <v>49</v>
      </c>
      <c r="C173" s="32" t="s">
        <v>35</v>
      </c>
      <c r="D173" s="33" t="s">
        <v>36</v>
      </c>
      <c r="E173" s="32" t="s">
        <v>37</v>
      </c>
      <c r="F173" s="33" t="s">
        <v>38</v>
      </c>
      <c r="G173" s="33" t="s">
        <v>50</v>
      </c>
      <c r="H173" s="33" t="s">
        <v>51</v>
      </c>
      <c r="I173" s="33" t="s">
        <v>52</v>
      </c>
      <c r="J173" s="33" t="s">
        <v>53</v>
      </c>
      <c r="K173" s="33" t="s">
        <v>54</v>
      </c>
      <c r="L173" s="32" t="s">
        <v>39</v>
      </c>
      <c r="M173" s="32" t="s">
        <v>55</v>
      </c>
      <c r="N173" s="32" t="s">
        <v>40</v>
      </c>
      <c r="O173" s="32" t="s">
        <v>23</v>
      </c>
      <c r="P173" s="33" t="s">
        <v>56</v>
      </c>
      <c r="Q173" s="32" t="s">
        <v>57</v>
      </c>
      <c r="R173" s="32" t="s">
        <v>58</v>
      </c>
    </row>
    <row r="174" customFormat="false" ht="15" hidden="false" customHeight="false" outlineLevel="0" collapsed="false">
      <c r="A174" s="34" t="s">
        <v>59</v>
      </c>
      <c r="B174" s="35" t="s">
        <v>60</v>
      </c>
      <c r="C174" s="36" t="n">
        <v>13503</v>
      </c>
      <c r="D174" s="12" t="n">
        <v>901</v>
      </c>
      <c r="E174" s="12" t="n">
        <v>249</v>
      </c>
      <c r="F174" s="12" t="n">
        <v>0</v>
      </c>
      <c r="G174" s="15" t="n">
        <f aca="false">IFERROR(E174/D174,"")</f>
        <v>0.276359600443951</v>
      </c>
      <c r="H174" s="37" t="n">
        <f aca="false">IFERROR(C174/E174,"")</f>
        <v>54.2289156626506</v>
      </c>
      <c r="I174" s="37" t="n">
        <f aca="false">IFERROR(C174/D174*1000,"")</f>
        <v>14986.6814650388</v>
      </c>
      <c r="J174" s="15" t="n">
        <f aca="false">IFERROR(F174/E174,"")</f>
        <v>0</v>
      </c>
      <c r="K174" s="37" t="str">
        <f aca="false">IFERROR(C174/F174,"")</f>
        <v/>
      </c>
      <c r="L174" s="12"/>
      <c r="M174" s="15" t="str">
        <f aca="false">IF(L174="","",IFERROR(L174/F174,""))</f>
        <v/>
      </c>
      <c r="N174" s="12"/>
      <c r="O174" s="15" t="str">
        <f aca="false">IF(N174="","",IFERROR(N174/L174,""))</f>
        <v/>
      </c>
      <c r="P174" s="37" t="str">
        <f aca="false">IF(N174=0,"",IFERROR(C174/N174,""))</f>
        <v/>
      </c>
      <c r="Q174" s="38" t="str">
        <f aca="false">IF(N174=0,"",IFERROR(IF(C174/N174&lt;=用語集!$B$22,"◎ 許容内","✗ 超過"),"—"))</f>
        <v/>
      </c>
      <c r="R174" s="39" t="str">
        <f aca="false">IFERROR(用語集!$B$22/P174,"")</f>
        <v/>
      </c>
    </row>
    <row r="175" customFormat="false" ht="15" hidden="false" customHeight="false" outlineLevel="0" collapsed="false">
      <c r="A175" s="34" t="s">
        <v>61</v>
      </c>
      <c r="B175" s="35" t="s">
        <v>62</v>
      </c>
      <c r="C175" s="36" t="n">
        <v>10788</v>
      </c>
      <c r="D175" s="12" t="n">
        <v>1267</v>
      </c>
      <c r="E175" s="12" t="n">
        <v>118</v>
      </c>
      <c r="F175" s="12" t="n">
        <v>4</v>
      </c>
      <c r="G175" s="15" t="n">
        <f aca="false">IFERROR(E175/D175,"")</f>
        <v>0.0931333859510655</v>
      </c>
      <c r="H175" s="37" t="n">
        <f aca="false">IFERROR(C175/E175,"")</f>
        <v>91.4237288135593</v>
      </c>
      <c r="I175" s="37" t="n">
        <f aca="false">IFERROR(C175/D175*1000,"")</f>
        <v>8514.60142067877</v>
      </c>
      <c r="J175" s="15" t="n">
        <f aca="false">IFERROR(F175/E175,"")</f>
        <v>0.0338983050847458</v>
      </c>
      <c r="K175" s="37" t="n">
        <f aca="false">IFERROR(C175/F175,"")</f>
        <v>2697</v>
      </c>
      <c r="L175" s="12"/>
      <c r="M175" s="15" t="str">
        <f aca="false">IF(L175="","",IFERROR(L175/F175,""))</f>
        <v/>
      </c>
      <c r="N175" s="12"/>
      <c r="O175" s="15" t="str">
        <f aca="false">IF(N175="","",IFERROR(N175/L175,""))</f>
        <v/>
      </c>
      <c r="P175" s="37" t="str">
        <f aca="false">IF(N175=0,"",IFERROR(C175/N175,""))</f>
        <v/>
      </c>
      <c r="Q175" s="38" t="str">
        <f aca="false">IF(N175=0,"",IFERROR(IF(C175/N175&lt;=用語集!$B$22,"◎ 許容内","✗ 超過"),"—"))</f>
        <v/>
      </c>
      <c r="R175" s="39" t="str">
        <f aca="false">IFERROR(用語集!$B$22/P175,"")</f>
        <v/>
      </c>
    </row>
    <row r="176" customFormat="false" ht="15" hidden="false" customHeight="false" outlineLevel="0" collapsed="false">
      <c r="A176" s="34" t="s">
        <v>63</v>
      </c>
      <c r="B176" s="35" t="s">
        <v>64</v>
      </c>
      <c r="C176" s="36" t="n">
        <v>21214</v>
      </c>
      <c r="D176" s="12" t="n">
        <v>1086</v>
      </c>
      <c r="E176" s="12" t="n">
        <v>48</v>
      </c>
      <c r="F176" s="12" t="n">
        <v>2</v>
      </c>
      <c r="G176" s="15" t="n">
        <f aca="false">IFERROR(E176/D176,"")</f>
        <v>0.0441988950276243</v>
      </c>
      <c r="H176" s="37" t="n">
        <f aca="false">IFERROR(C176/E176,"")</f>
        <v>441.958333333333</v>
      </c>
      <c r="I176" s="37" t="n">
        <f aca="false">IFERROR(C176/D176*1000,"")</f>
        <v>19534.0699815838</v>
      </c>
      <c r="J176" s="15" t="n">
        <f aca="false">IFERROR(F176/E176,"")</f>
        <v>0.0416666666666667</v>
      </c>
      <c r="K176" s="37" t="n">
        <f aca="false">IFERROR(C176/F176,"")</f>
        <v>10607</v>
      </c>
      <c r="L176" s="12"/>
      <c r="M176" s="15" t="str">
        <f aca="false">IF(L176="","",IFERROR(L176/F176,""))</f>
        <v/>
      </c>
      <c r="N176" s="12"/>
      <c r="O176" s="15" t="str">
        <f aca="false">IF(N176="","",IFERROR(N176/L176,""))</f>
        <v/>
      </c>
      <c r="P176" s="37" t="str">
        <f aca="false">IF(N176=0,"",IFERROR(C176/N176,""))</f>
        <v/>
      </c>
      <c r="Q176" s="38" t="str">
        <f aca="false">IF(N176=0,"",IFERROR(IF(C176/N176&lt;=用語集!$B$22,"◎ 許容内","✗ 超過"),"—"))</f>
        <v/>
      </c>
      <c r="R176" s="39" t="str">
        <f aca="false">IFERROR(用語集!$B$22/P176,"")</f>
        <v/>
      </c>
    </row>
    <row r="177" customFormat="false" ht="15" hidden="false" customHeight="false" outlineLevel="0" collapsed="false">
      <c r="A177" s="34" t="s">
        <v>65</v>
      </c>
      <c r="B177" s="35" t="s">
        <v>66</v>
      </c>
      <c r="C177" s="40" t="s">
        <v>67</v>
      </c>
      <c r="D177" s="13"/>
      <c r="E177" s="13"/>
      <c r="F177" s="13"/>
      <c r="G177" s="15" t="str">
        <f aca="false">IFERROR(E177/D177,"")</f>
        <v/>
      </c>
      <c r="H177" s="37" t="str">
        <f aca="false">IFERROR(C177/E177,"")</f>
        <v/>
      </c>
      <c r="I177" s="37" t="str">
        <f aca="false">IFERROR(C177/D177*1000,"")</f>
        <v/>
      </c>
      <c r="J177" s="15" t="str">
        <f aca="false">IFERROR(F177/E177,"")</f>
        <v/>
      </c>
      <c r="K177" s="37" t="str">
        <f aca="false">IFERROR(C177/F177,"")</f>
        <v/>
      </c>
      <c r="L177" s="12"/>
      <c r="M177" s="15" t="str">
        <f aca="false">IF(L177="","",IFERROR(L177/F177,""))</f>
        <v/>
      </c>
      <c r="N177" s="12"/>
      <c r="O177" s="15" t="str">
        <f aca="false">IF(N177="","",IFERROR(N177/L177,""))</f>
        <v/>
      </c>
      <c r="P177" s="37" t="str">
        <f aca="false">IF(N177=0,"",IFERROR(C177/N177,""))</f>
        <v/>
      </c>
      <c r="Q177" s="38" t="str">
        <f aca="false">IF(N177=0,"",IFERROR(IF(C177/N177&lt;=用語集!$B$22,"◎ 許容内","✗ 超過"),"—"))</f>
        <v/>
      </c>
      <c r="R177" s="39" t="str">
        <f aca="false">IFERROR(用語集!$B$22/P177,"")</f>
        <v/>
      </c>
    </row>
    <row r="178" customFormat="false" ht="15" hidden="false" customHeight="false" outlineLevel="0" collapsed="false">
      <c r="A178" s="34" t="s">
        <v>68</v>
      </c>
      <c r="B178" s="35" t="s">
        <v>69</v>
      </c>
      <c r="C178" s="40" t="s">
        <v>67</v>
      </c>
      <c r="D178" s="13"/>
      <c r="E178" s="13"/>
      <c r="F178" s="13"/>
      <c r="G178" s="15" t="str">
        <f aca="false">IFERROR(E178/D178,"")</f>
        <v/>
      </c>
      <c r="H178" s="37" t="str">
        <f aca="false">IFERROR(C178/E178,"")</f>
        <v/>
      </c>
      <c r="I178" s="37" t="str">
        <f aca="false">IFERROR(C178/D178*1000,"")</f>
        <v/>
      </c>
      <c r="J178" s="15" t="str">
        <f aca="false">IFERROR(F178/E178,"")</f>
        <v/>
      </c>
      <c r="K178" s="37" t="str">
        <f aca="false">IFERROR(C178/F178,"")</f>
        <v/>
      </c>
      <c r="L178" s="12"/>
      <c r="M178" s="15" t="str">
        <f aca="false">IF(L178="","",IFERROR(L178/F178,""))</f>
        <v/>
      </c>
      <c r="N178" s="12"/>
      <c r="O178" s="15" t="str">
        <f aca="false">IF(N178="","",IFERROR(N178/L178,""))</f>
        <v/>
      </c>
      <c r="P178" s="37" t="str">
        <f aca="false">IF(N178=0,"",IFERROR(C178/N178,""))</f>
        <v/>
      </c>
      <c r="Q178" s="38" t="str">
        <f aca="false">IF(N178=0,"",IFERROR(IF(C178/N178&lt;=用語集!$B$22,"◎ 許容内","✗ 超過"),"—"))</f>
        <v/>
      </c>
      <c r="R178" s="39" t="str">
        <f aca="false">IFERROR(用語集!$B$22/P178,"")</f>
        <v/>
      </c>
    </row>
    <row r="179" customFormat="false" ht="15" hidden="false" customHeight="false" outlineLevel="0" collapsed="false">
      <c r="A179" s="34" t="s">
        <v>70</v>
      </c>
      <c r="B179" s="35" t="s">
        <v>71</v>
      </c>
      <c r="C179" s="40" t="s">
        <v>67</v>
      </c>
      <c r="D179" s="13"/>
      <c r="E179" s="13"/>
      <c r="F179" s="13"/>
      <c r="G179" s="15" t="str">
        <f aca="false">IFERROR(E179/D179,"")</f>
        <v/>
      </c>
      <c r="H179" s="37" t="str">
        <f aca="false">IFERROR(C179/E179,"")</f>
        <v/>
      </c>
      <c r="I179" s="37" t="str">
        <f aca="false">IFERROR(C179/D179*1000,"")</f>
        <v/>
      </c>
      <c r="J179" s="15" t="str">
        <f aca="false">IFERROR(F179/E179,"")</f>
        <v/>
      </c>
      <c r="K179" s="37" t="str">
        <f aca="false">IFERROR(C179/F179,"")</f>
        <v/>
      </c>
      <c r="L179" s="12"/>
      <c r="M179" s="15" t="str">
        <f aca="false">IF(L179="","",IFERROR(L179/F179,""))</f>
        <v/>
      </c>
      <c r="N179" s="12"/>
      <c r="O179" s="15" t="str">
        <f aca="false">IF(N179="","",IFERROR(N179/L179,""))</f>
        <v/>
      </c>
      <c r="P179" s="37" t="str">
        <f aca="false">IF(N179=0,"",IFERROR(C179/N179,""))</f>
        <v/>
      </c>
      <c r="Q179" s="38" t="str">
        <f aca="false">IF(N179=0,"",IFERROR(IF(C179/N179&lt;=用語集!$B$22,"◎ 許容内","✗ 超過"),"—"))</f>
        <v/>
      </c>
      <c r="R179" s="39" t="str">
        <f aca="false">IFERROR(用語集!$B$22/P179,"")</f>
        <v/>
      </c>
    </row>
    <row r="180" customFormat="false" ht="15" hidden="false" customHeight="false" outlineLevel="0" collapsed="false">
      <c r="A180" s="34" t="s">
        <v>72</v>
      </c>
      <c r="B180" s="35" t="s">
        <v>73</v>
      </c>
      <c r="C180" s="40" t="s">
        <v>67</v>
      </c>
      <c r="D180" s="13"/>
      <c r="E180" s="13"/>
      <c r="F180" s="13"/>
      <c r="G180" s="15" t="str">
        <f aca="false">IFERROR(E180/D180,"")</f>
        <v/>
      </c>
      <c r="H180" s="37" t="str">
        <f aca="false">IFERROR(C180/E180,"")</f>
        <v/>
      </c>
      <c r="I180" s="37" t="str">
        <f aca="false">IFERROR(C180/D180*1000,"")</f>
        <v/>
      </c>
      <c r="J180" s="15" t="str">
        <f aca="false">IFERROR(F180/E180,"")</f>
        <v/>
      </c>
      <c r="K180" s="37" t="str">
        <f aca="false">IFERROR(C180/F180,"")</f>
        <v/>
      </c>
      <c r="L180" s="12"/>
      <c r="M180" s="15" t="str">
        <f aca="false">IF(L180="","",IFERROR(L180/F180,""))</f>
        <v/>
      </c>
      <c r="N180" s="12"/>
      <c r="O180" s="15" t="str">
        <f aca="false">IF(N180="","",IFERROR(N180/L180,""))</f>
        <v/>
      </c>
      <c r="P180" s="37" t="str">
        <f aca="false">IF(N180=0,"",IFERROR(C180/N180,""))</f>
        <v/>
      </c>
      <c r="Q180" s="38" t="str">
        <f aca="false">IF(N180=0,"",IFERROR(IF(C180/N180&lt;=用語集!$B$22,"◎ 許容内","✗ 超過"),"—"))</f>
        <v/>
      </c>
      <c r="R180" s="39" t="str">
        <f aca="false">IFERROR(用語集!$B$22/P180,"")</f>
        <v/>
      </c>
    </row>
    <row r="181" customFormat="false" ht="15" hidden="false" customHeight="false" outlineLevel="0" collapsed="false">
      <c r="A181" s="34" t="s">
        <v>74</v>
      </c>
      <c r="B181" s="35" t="s">
        <v>75</v>
      </c>
      <c r="C181" s="40" t="s">
        <v>67</v>
      </c>
      <c r="D181" s="13"/>
      <c r="E181" s="13"/>
      <c r="F181" s="13"/>
      <c r="G181" s="15" t="str">
        <f aca="false">IFERROR(E181/D181,"")</f>
        <v/>
      </c>
      <c r="H181" s="37" t="str">
        <f aca="false">IFERROR(C181/E181,"")</f>
        <v/>
      </c>
      <c r="I181" s="37" t="str">
        <f aca="false">IFERROR(C181/D181*1000,"")</f>
        <v/>
      </c>
      <c r="J181" s="15" t="str">
        <f aca="false">IFERROR(F181/E181,"")</f>
        <v/>
      </c>
      <c r="K181" s="37" t="str">
        <f aca="false">IFERROR(C181/F181,"")</f>
        <v/>
      </c>
      <c r="L181" s="12"/>
      <c r="M181" s="15" t="str">
        <f aca="false">IF(L181="","",IFERROR(L181/F181,""))</f>
        <v/>
      </c>
      <c r="N181" s="12"/>
      <c r="O181" s="15" t="str">
        <f aca="false">IF(N181="","",IFERROR(N181/L181,""))</f>
        <v/>
      </c>
      <c r="P181" s="37" t="str">
        <f aca="false">IF(N181=0,"",IFERROR(C181/N181,""))</f>
        <v/>
      </c>
      <c r="Q181" s="38" t="str">
        <f aca="false">IF(N181=0,"",IFERROR(IF(C181/N181&lt;=用語集!$B$22,"◎ 許容内","✗ 超過"),"—"))</f>
        <v/>
      </c>
      <c r="R181" s="39" t="str">
        <f aca="false">IFERROR(用語集!$B$22/P181,"")</f>
        <v/>
      </c>
    </row>
    <row r="182" customFormat="false" ht="15" hidden="false" customHeight="false" outlineLevel="0" collapsed="false">
      <c r="A182" s="34" t="s">
        <v>76</v>
      </c>
      <c r="B182" s="35" t="s">
        <v>77</v>
      </c>
      <c r="C182" s="40" t="s">
        <v>67</v>
      </c>
      <c r="D182" s="13"/>
      <c r="E182" s="13"/>
      <c r="F182" s="13"/>
      <c r="G182" s="15" t="str">
        <f aca="false">IFERROR(E182/D182,"")</f>
        <v/>
      </c>
      <c r="H182" s="37" t="str">
        <f aca="false">IFERROR(C182/E182,"")</f>
        <v/>
      </c>
      <c r="I182" s="37" t="str">
        <f aca="false">IFERROR(C182/D182*1000,"")</f>
        <v/>
      </c>
      <c r="J182" s="15" t="str">
        <f aca="false">IFERROR(F182/E182,"")</f>
        <v/>
      </c>
      <c r="K182" s="37" t="str">
        <f aca="false">IFERROR(C182/F182,"")</f>
        <v/>
      </c>
      <c r="L182" s="12"/>
      <c r="M182" s="15" t="str">
        <f aca="false">IF(L182="","",IFERROR(L182/F182,""))</f>
        <v/>
      </c>
      <c r="N182" s="12"/>
      <c r="O182" s="15" t="str">
        <f aca="false">IF(N182="","",IFERROR(N182/L182,""))</f>
        <v/>
      </c>
      <c r="P182" s="37" t="str">
        <f aca="false">IF(N182=0,"",IFERROR(C182/N182,""))</f>
        <v/>
      </c>
      <c r="Q182" s="38" t="str">
        <f aca="false">IF(N182=0,"",IFERROR(IF(C182/N182&lt;=用語集!$B$22,"◎ 許容内","✗ 超過"),"—"))</f>
        <v/>
      </c>
      <c r="R182" s="39" t="str">
        <f aca="false">IFERROR(用語集!$B$22/P182,"")</f>
        <v/>
      </c>
    </row>
    <row r="183" customFormat="false" ht="15" hidden="false" customHeight="false" outlineLevel="0" collapsed="false">
      <c r="A183" s="34" t="s">
        <v>78</v>
      </c>
      <c r="B183" s="35" t="s">
        <v>79</v>
      </c>
      <c r="C183" s="41" t="str">
        <f aca="false">IF(COUNTIFS(日次入力!$A$4:$A$1500,"&gt;="&amp;DATE(2026,6,9),日次入力!$A$4:$A$1500,"&lt;="&amp;DATE(2026,6,15),日次入力!$C$4:$C$1500,"Googleウェビナー")=0,"",SUMIFS(日次入力!$D$4:$D$1500,日次入力!$A$4:$A$1500,"&gt;="&amp;DATE(2026,6,9),日次入力!$A$4:$A$1500,"&lt;="&amp;DATE(2026,6,15),日次入力!$C$4:$C$1500,"Googleウェビナー"))</f>
        <v/>
      </c>
      <c r="D183" s="42" t="str">
        <f aca="false">IF(COUNTIFS(日次入力!$A$4:$A$1500,"&gt;="&amp;DATE(2026,6,9),日次入力!$A$4:$A$1500,"&lt;="&amp;DATE(2026,6,15),日次入力!$C$4:$C$1500,"Googleウェビナー")=0,"",SUMIFS(日次入力!$E$4:$E$1500,日次入力!$A$4:$A$1500,"&gt;="&amp;DATE(2026,6,9),日次入力!$A$4:$A$1500,"&lt;="&amp;DATE(2026,6,15),日次入力!$C$4:$C$1500,"Googleウェビナー"))</f>
        <v/>
      </c>
      <c r="E183" s="42" t="str">
        <f aca="false">IF(COUNTIFS(日次入力!$A$4:$A$1500,"&gt;="&amp;DATE(2026,6,9),日次入力!$A$4:$A$1500,"&lt;="&amp;DATE(2026,6,15),日次入力!$C$4:$C$1500,"Googleウェビナー")=0,"",SUMIFS(日次入力!$F$4:$F$1500,日次入力!$A$4:$A$1500,"&gt;="&amp;DATE(2026,6,9),日次入力!$A$4:$A$1500,"&lt;="&amp;DATE(2026,6,15),日次入力!$C$4:$C$1500,"Googleウェビナー"))</f>
        <v/>
      </c>
      <c r="F183" s="42" t="str">
        <f aca="false">IF(COUNTIFS(日次入力!$A$4:$A$1500,"&gt;="&amp;DATE(2026,6,9),日次入力!$A$4:$A$1500,"&lt;="&amp;DATE(2026,6,15),日次入力!$C$4:$C$1500,"Googleウェビナー")=0,"",SUMIFS(日次入力!$G$4:$G$1500,日次入力!$A$4:$A$1500,"&gt;="&amp;DATE(2026,6,9),日次入力!$A$4:$A$1500,"&lt;="&amp;DATE(2026,6,15),日次入力!$C$4:$C$1500,"Googleウェビナー"))</f>
        <v/>
      </c>
      <c r="G183" s="15" t="str">
        <f aca="false">IFERROR(E183/D183,"")</f>
        <v/>
      </c>
      <c r="H183" s="37" t="str">
        <f aca="false">IFERROR(C183/E183,"")</f>
        <v/>
      </c>
      <c r="I183" s="37" t="str">
        <f aca="false">IFERROR(C183/D183*1000,"")</f>
        <v/>
      </c>
      <c r="J183" s="15" t="str">
        <f aca="false">IFERROR(F183/E183,"")</f>
        <v/>
      </c>
      <c r="K183" s="37" t="str">
        <f aca="false">IFERROR(C183/F183,"")</f>
        <v/>
      </c>
      <c r="L183" s="42" t="str">
        <f aca="false">IF(COUNTIFS(日次入力!$A$4:$A$1500,"&gt;="&amp;DATE(2026,6,9),日次入力!$A$4:$A$1500,"&lt;="&amp;DATE(2026,6,15),日次入力!$C$4:$C$1500,"Googleウェビナー")=0,"",SUMIFS(日次入力!$H$4:$H$1500,日次入力!$A$4:$A$1500,"&gt;="&amp;DATE(2026,6,9),日次入力!$A$4:$A$1500,"&lt;="&amp;DATE(2026,6,15),日次入力!$C$4:$C$1500,"Googleウェビナー"))</f>
        <v/>
      </c>
      <c r="M183" s="15" t="str">
        <f aca="false">IF(L183="","",IFERROR(L183/F183,""))</f>
        <v/>
      </c>
      <c r="N183" s="42" t="str">
        <f aca="false">IF(COUNTIFS(日次入力!$A$4:$A$1500,"&gt;="&amp;DATE(2026,6,9),日次入力!$A$4:$A$1500,"&lt;="&amp;DATE(2026,6,15),日次入力!$C$4:$C$1500,"Googleウェビナー")=0,"",SUMIFS(日次入力!$I$4:$I$1500,日次入力!$A$4:$A$1500,"&gt;="&amp;DATE(2026,6,9),日次入力!$A$4:$A$1500,"&lt;="&amp;DATE(2026,6,15),日次入力!$C$4:$C$1500,"Googleウェビナー"))</f>
        <v/>
      </c>
      <c r="O183" s="15" t="str">
        <f aca="false">IF(N183="","",IFERROR(N183/L183,""))</f>
        <v/>
      </c>
      <c r="P183" s="37" t="str">
        <f aca="false">IF(N183=0,"",IFERROR(C183/N183,""))</f>
        <v/>
      </c>
      <c r="Q183" s="38" t="str">
        <f aca="false">IF(N183=0,"",IFERROR(IF(C183/N183&lt;=用語集!$B$22,"◎ 許容内","✗ 超過"),"—"))</f>
        <v>—</v>
      </c>
      <c r="R183" s="39" t="str">
        <f aca="false">IFERROR(用語集!$B$22/P183,"")</f>
        <v/>
      </c>
    </row>
    <row r="184" customFormat="false" ht="15" hidden="false" customHeight="false" outlineLevel="0" collapsed="false">
      <c r="A184" s="34" t="s">
        <v>80</v>
      </c>
      <c r="B184" s="35" t="s">
        <v>81</v>
      </c>
      <c r="C184" s="41" t="str">
        <f aca="false">IF(COUNTIFS(日次入力!$A$4:$A$1500,"&gt;="&amp;DATE(2026,6,16),日次入力!$A$4:$A$1500,"&lt;="&amp;DATE(2026,6,22),日次入力!$C$4:$C$1500,"Googleウェビナー")=0,"",SUMIFS(日次入力!$D$4:$D$1500,日次入力!$A$4:$A$1500,"&gt;="&amp;DATE(2026,6,16),日次入力!$A$4:$A$1500,"&lt;="&amp;DATE(2026,6,22),日次入力!$C$4:$C$1500,"Googleウェビナー"))</f>
        <v/>
      </c>
      <c r="D184" s="42" t="str">
        <f aca="false">IF(COUNTIFS(日次入力!$A$4:$A$1500,"&gt;="&amp;DATE(2026,6,16),日次入力!$A$4:$A$1500,"&lt;="&amp;DATE(2026,6,22),日次入力!$C$4:$C$1500,"Googleウェビナー")=0,"",SUMIFS(日次入力!$E$4:$E$1500,日次入力!$A$4:$A$1500,"&gt;="&amp;DATE(2026,6,16),日次入力!$A$4:$A$1500,"&lt;="&amp;DATE(2026,6,22),日次入力!$C$4:$C$1500,"Googleウェビナー"))</f>
        <v/>
      </c>
      <c r="E184" s="42" t="str">
        <f aca="false">IF(COUNTIFS(日次入力!$A$4:$A$1500,"&gt;="&amp;DATE(2026,6,16),日次入力!$A$4:$A$1500,"&lt;="&amp;DATE(2026,6,22),日次入力!$C$4:$C$1500,"Googleウェビナー")=0,"",SUMIFS(日次入力!$F$4:$F$1500,日次入力!$A$4:$A$1500,"&gt;="&amp;DATE(2026,6,16),日次入力!$A$4:$A$1500,"&lt;="&amp;DATE(2026,6,22),日次入力!$C$4:$C$1500,"Googleウェビナー"))</f>
        <v/>
      </c>
      <c r="F184" s="42" t="str">
        <f aca="false">IF(COUNTIFS(日次入力!$A$4:$A$1500,"&gt;="&amp;DATE(2026,6,16),日次入力!$A$4:$A$1500,"&lt;="&amp;DATE(2026,6,22),日次入力!$C$4:$C$1500,"Googleウェビナー")=0,"",SUMIFS(日次入力!$G$4:$G$1500,日次入力!$A$4:$A$1500,"&gt;="&amp;DATE(2026,6,16),日次入力!$A$4:$A$1500,"&lt;="&amp;DATE(2026,6,22),日次入力!$C$4:$C$1500,"Googleウェビナー"))</f>
        <v/>
      </c>
      <c r="G184" s="15" t="str">
        <f aca="false">IFERROR(E184/D184,"")</f>
        <v/>
      </c>
      <c r="H184" s="37" t="str">
        <f aca="false">IFERROR(C184/E184,"")</f>
        <v/>
      </c>
      <c r="I184" s="37" t="str">
        <f aca="false">IFERROR(C184/D184*1000,"")</f>
        <v/>
      </c>
      <c r="J184" s="15" t="str">
        <f aca="false">IFERROR(F184/E184,"")</f>
        <v/>
      </c>
      <c r="K184" s="37" t="str">
        <f aca="false">IFERROR(C184/F184,"")</f>
        <v/>
      </c>
      <c r="L184" s="42" t="str">
        <f aca="false">IF(COUNTIFS(日次入力!$A$4:$A$1500,"&gt;="&amp;DATE(2026,6,16),日次入力!$A$4:$A$1500,"&lt;="&amp;DATE(2026,6,22),日次入力!$C$4:$C$1500,"Googleウェビナー")=0,"",SUMIFS(日次入力!$H$4:$H$1500,日次入力!$A$4:$A$1500,"&gt;="&amp;DATE(2026,6,16),日次入力!$A$4:$A$1500,"&lt;="&amp;DATE(2026,6,22),日次入力!$C$4:$C$1500,"Googleウェビナー"))</f>
        <v/>
      </c>
      <c r="M184" s="15" t="str">
        <f aca="false">IF(L184="","",IFERROR(L184/F184,""))</f>
        <v/>
      </c>
      <c r="N184" s="42" t="str">
        <f aca="false">IF(COUNTIFS(日次入力!$A$4:$A$1500,"&gt;="&amp;DATE(2026,6,16),日次入力!$A$4:$A$1500,"&lt;="&amp;DATE(2026,6,22),日次入力!$C$4:$C$1500,"Googleウェビナー")=0,"",SUMIFS(日次入力!$I$4:$I$1500,日次入力!$A$4:$A$1500,"&gt;="&amp;DATE(2026,6,16),日次入力!$A$4:$A$1500,"&lt;="&amp;DATE(2026,6,22),日次入力!$C$4:$C$1500,"Googleウェビナー"))</f>
        <v/>
      </c>
      <c r="O184" s="15" t="str">
        <f aca="false">IF(N184="","",IFERROR(N184/L184,""))</f>
        <v/>
      </c>
      <c r="P184" s="37" t="str">
        <f aca="false">IF(N184=0,"",IFERROR(C184/N184,""))</f>
        <v/>
      </c>
      <c r="Q184" s="38" t="str">
        <f aca="false">IF(N184=0,"",IFERROR(IF(C184/N184&lt;=用語集!$B$22,"◎ 許容内","✗ 超過"),"—"))</f>
        <v>—</v>
      </c>
      <c r="R184" s="39" t="str">
        <f aca="false">IFERROR(用語集!$B$22/P184,"")</f>
        <v/>
      </c>
    </row>
    <row r="185" customFormat="false" ht="15" hidden="false" customHeight="false" outlineLevel="0" collapsed="false">
      <c r="A185" s="34" t="s">
        <v>82</v>
      </c>
      <c r="B185" s="35" t="s">
        <v>83</v>
      </c>
      <c r="C185" s="41" t="str">
        <f aca="false">IF(COUNTIFS(日次入力!$A$4:$A$1500,"&gt;="&amp;DATE(2026,6,23),日次入力!$A$4:$A$1500,"&lt;="&amp;DATE(2026,6,29),日次入力!$C$4:$C$1500,"Googleウェビナー")=0,"",SUMIFS(日次入力!$D$4:$D$1500,日次入力!$A$4:$A$1500,"&gt;="&amp;DATE(2026,6,23),日次入力!$A$4:$A$1500,"&lt;="&amp;DATE(2026,6,29),日次入力!$C$4:$C$1500,"Googleウェビナー"))</f>
        <v/>
      </c>
      <c r="D185" s="42" t="str">
        <f aca="false">IF(COUNTIFS(日次入力!$A$4:$A$1500,"&gt;="&amp;DATE(2026,6,23),日次入力!$A$4:$A$1500,"&lt;="&amp;DATE(2026,6,29),日次入力!$C$4:$C$1500,"Googleウェビナー")=0,"",SUMIFS(日次入力!$E$4:$E$1500,日次入力!$A$4:$A$1500,"&gt;="&amp;DATE(2026,6,23),日次入力!$A$4:$A$1500,"&lt;="&amp;DATE(2026,6,29),日次入力!$C$4:$C$1500,"Googleウェビナー"))</f>
        <v/>
      </c>
      <c r="E185" s="42" t="str">
        <f aca="false">IF(COUNTIFS(日次入力!$A$4:$A$1500,"&gt;="&amp;DATE(2026,6,23),日次入力!$A$4:$A$1500,"&lt;="&amp;DATE(2026,6,29),日次入力!$C$4:$C$1500,"Googleウェビナー")=0,"",SUMIFS(日次入力!$F$4:$F$1500,日次入力!$A$4:$A$1500,"&gt;="&amp;DATE(2026,6,23),日次入力!$A$4:$A$1500,"&lt;="&amp;DATE(2026,6,29),日次入力!$C$4:$C$1500,"Googleウェビナー"))</f>
        <v/>
      </c>
      <c r="F185" s="42" t="str">
        <f aca="false">IF(COUNTIFS(日次入力!$A$4:$A$1500,"&gt;="&amp;DATE(2026,6,23),日次入力!$A$4:$A$1500,"&lt;="&amp;DATE(2026,6,29),日次入力!$C$4:$C$1500,"Googleウェビナー")=0,"",SUMIFS(日次入力!$G$4:$G$1500,日次入力!$A$4:$A$1500,"&gt;="&amp;DATE(2026,6,23),日次入力!$A$4:$A$1500,"&lt;="&amp;DATE(2026,6,29),日次入力!$C$4:$C$1500,"Googleウェビナー"))</f>
        <v/>
      </c>
      <c r="G185" s="15" t="str">
        <f aca="false">IFERROR(E185/D185,"")</f>
        <v/>
      </c>
      <c r="H185" s="37" t="str">
        <f aca="false">IFERROR(C185/E185,"")</f>
        <v/>
      </c>
      <c r="I185" s="37" t="str">
        <f aca="false">IFERROR(C185/D185*1000,"")</f>
        <v/>
      </c>
      <c r="J185" s="15" t="str">
        <f aca="false">IFERROR(F185/E185,"")</f>
        <v/>
      </c>
      <c r="K185" s="37" t="str">
        <f aca="false">IFERROR(C185/F185,"")</f>
        <v/>
      </c>
      <c r="L185" s="42" t="str">
        <f aca="false">IF(COUNTIFS(日次入力!$A$4:$A$1500,"&gt;="&amp;DATE(2026,6,23),日次入力!$A$4:$A$1500,"&lt;="&amp;DATE(2026,6,29),日次入力!$C$4:$C$1500,"Googleウェビナー")=0,"",SUMIFS(日次入力!$H$4:$H$1500,日次入力!$A$4:$A$1500,"&gt;="&amp;DATE(2026,6,23),日次入力!$A$4:$A$1500,"&lt;="&amp;DATE(2026,6,29),日次入力!$C$4:$C$1500,"Googleウェビナー"))</f>
        <v/>
      </c>
      <c r="M185" s="15" t="str">
        <f aca="false">IF(L185="","",IFERROR(L185/F185,""))</f>
        <v/>
      </c>
      <c r="N185" s="42" t="str">
        <f aca="false">IF(COUNTIFS(日次入力!$A$4:$A$1500,"&gt;="&amp;DATE(2026,6,23),日次入力!$A$4:$A$1500,"&lt;="&amp;DATE(2026,6,29),日次入力!$C$4:$C$1500,"Googleウェビナー")=0,"",SUMIFS(日次入力!$I$4:$I$1500,日次入力!$A$4:$A$1500,"&gt;="&amp;DATE(2026,6,23),日次入力!$A$4:$A$1500,"&lt;="&amp;DATE(2026,6,29),日次入力!$C$4:$C$1500,"Googleウェビナー"))</f>
        <v/>
      </c>
      <c r="O185" s="15" t="str">
        <f aca="false">IF(N185="","",IFERROR(N185/L185,""))</f>
        <v/>
      </c>
      <c r="P185" s="37" t="str">
        <f aca="false">IF(N185=0,"",IFERROR(C185/N185,""))</f>
        <v/>
      </c>
      <c r="Q185" s="38" t="str">
        <f aca="false">IF(N185=0,"",IFERROR(IF(C185/N185&lt;=用語集!$B$22,"◎ 許容内","✗ 超過"),"—"))</f>
        <v>—</v>
      </c>
      <c r="R185" s="39" t="str">
        <f aca="false">IFERROR(用語集!$B$22/P185,"")</f>
        <v/>
      </c>
    </row>
    <row r="186" customFormat="false" ht="15" hidden="false" customHeight="false" outlineLevel="0" collapsed="false">
      <c r="A186" s="34" t="s">
        <v>84</v>
      </c>
      <c r="B186" s="35" t="s">
        <v>85</v>
      </c>
      <c r="C186" s="41" t="str">
        <f aca="false">IF(COUNTIFS(日次入力!$A$4:$A$1500,"&gt;="&amp;DATE(2026,6,30),日次入力!$A$4:$A$1500,"&lt;="&amp;DATE(2026,7,6),日次入力!$C$4:$C$1500,"Googleウェビナー")=0,"",SUMIFS(日次入力!$D$4:$D$1500,日次入力!$A$4:$A$1500,"&gt;="&amp;DATE(2026,6,30),日次入力!$A$4:$A$1500,"&lt;="&amp;DATE(2026,7,6),日次入力!$C$4:$C$1500,"Googleウェビナー"))</f>
        <v/>
      </c>
      <c r="D186" s="42" t="str">
        <f aca="false">IF(COUNTIFS(日次入力!$A$4:$A$1500,"&gt;="&amp;DATE(2026,6,30),日次入力!$A$4:$A$1500,"&lt;="&amp;DATE(2026,7,6),日次入力!$C$4:$C$1500,"Googleウェビナー")=0,"",SUMIFS(日次入力!$E$4:$E$1500,日次入力!$A$4:$A$1500,"&gt;="&amp;DATE(2026,6,30),日次入力!$A$4:$A$1500,"&lt;="&amp;DATE(2026,7,6),日次入力!$C$4:$C$1500,"Googleウェビナー"))</f>
        <v/>
      </c>
      <c r="E186" s="42" t="str">
        <f aca="false">IF(COUNTIFS(日次入力!$A$4:$A$1500,"&gt;="&amp;DATE(2026,6,30),日次入力!$A$4:$A$1500,"&lt;="&amp;DATE(2026,7,6),日次入力!$C$4:$C$1500,"Googleウェビナー")=0,"",SUMIFS(日次入力!$F$4:$F$1500,日次入力!$A$4:$A$1500,"&gt;="&amp;DATE(2026,6,30),日次入力!$A$4:$A$1500,"&lt;="&amp;DATE(2026,7,6),日次入力!$C$4:$C$1500,"Googleウェビナー"))</f>
        <v/>
      </c>
      <c r="F186" s="42" t="str">
        <f aca="false">IF(COUNTIFS(日次入力!$A$4:$A$1500,"&gt;="&amp;DATE(2026,6,30),日次入力!$A$4:$A$1500,"&lt;="&amp;DATE(2026,7,6),日次入力!$C$4:$C$1500,"Googleウェビナー")=0,"",SUMIFS(日次入力!$G$4:$G$1500,日次入力!$A$4:$A$1500,"&gt;="&amp;DATE(2026,6,30),日次入力!$A$4:$A$1500,"&lt;="&amp;DATE(2026,7,6),日次入力!$C$4:$C$1500,"Googleウェビナー"))</f>
        <v/>
      </c>
      <c r="G186" s="15" t="str">
        <f aca="false">IFERROR(E186/D186,"")</f>
        <v/>
      </c>
      <c r="H186" s="37" t="str">
        <f aca="false">IFERROR(C186/E186,"")</f>
        <v/>
      </c>
      <c r="I186" s="37" t="str">
        <f aca="false">IFERROR(C186/D186*1000,"")</f>
        <v/>
      </c>
      <c r="J186" s="15" t="str">
        <f aca="false">IFERROR(F186/E186,"")</f>
        <v/>
      </c>
      <c r="K186" s="37" t="str">
        <f aca="false">IFERROR(C186/F186,"")</f>
        <v/>
      </c>
      <c r="L186" s="42" t="str">
        <f aca="false">IF(COUNTIFS(日次入力!$A$4:$A$1500,"&gt;="&amp;DATE(2026,6,30),日次入力!$A$4:$A$1500,"&lt;="&amp;DATE(2026,7,6),日次入力!$C$4:$C$1500,"Googleウェビナー")=0,"",SUMIFS(日次入力!$H$4:$H$1500,日次入力!$A$4:$A$1500,"&gt;="&amp;DATE(2026,6,30),日次入力!$A$4:$A$1500,"&lt;="&amp;DATE(2026,7,6),日次入力!$C$4:$C$1500,"Googleウェビナー"))</f>
        <v/>
      </c>
      <c r="M186" s="15" t="str">
        <f aca="false">IF(L186="","",IFERROR(L186/F186,""))</f>
        <v/>
      </c>
      <c r="N186" s="42" t="str">
        <f aca="false">IF(COUNTIFS(日次入力!$A$4:$A$1500,"&gt;="&amp;DATE(2026,6,30),日次入力!$A$4:$A$1500,"&lt;="&amp;DATE(2026,7,6),日次入力!$C$4:$C$1500,"Googleウェビナー")=0,"",SUMIFS(日次入力!$I$4:$I$1500,日次入力!$A$4:$A$1500,"&gt;="&amp;DATE(2026,6,30),日次入力!$A$4:$A$1500,"&lt;="&amp;DATE(2026,7,6),日次入力!$C$4:$C$1500,"Googleウェビナー"))</f>
        <v/>
      </c>
      <c r="O186" s="15" t="str">
        <f aca="false">IF(N186="","",IFERROR(N186/L186,""))</f>
        <v/>
      </c>
      <c r="P186" s="37" t="str">
        <f aca="false">IF(N186=0,"",IFERROR(C186/N186,""))</f>
        <v/>
      </c>
      <c r="Q186" s="38" t="str">
        <f aca="false">IF(N186=0,"",IFERROR(IF(C186/N186&lt;=用語集!$B$22,"◎ 許容内","✗ 超過"),"—"))</f>
        <v>—</v>
      </c>
      <c r="R186" s="39" t="str">
        <f aca="false">IFERROR(用語集!$B$22/P186,"")</f>
        <v/>
      </c>
    </row>
    <row r="187" customFormat="false" ht="15" hidden="false" customHeight="false" outlineLevel="0" collapsed="false">
      <c r="A187" s="34" t="s">
        <v>86</v>
      </c>
      <c r="B187" s="35" t="s">
        <v>87</v>
      </c>
      <c r="C187" s="41" t="str">
        <f aca="false">IF(COUNTIFS(日次入力!$A$4:$A$1500,"&gt;="&amp;DATE(2026,7,7),日次入力!$A$4:$A$1500,"&lt;="&amp;DATE(2026,7,13),日次入力!$C$4:$C$1500,"Googleウェビナー")=0,"",SUMIFS(日次入力!$D$4:$D$1500,日次入力!$A$4:$A$1500,"&gt;="&amp;DATE(2026,7,7),日次入力!$A$4:$A$1500,"&lt;="&amp;DATE(2026,7,13),日次入力!$C$4:$C$1500,"Googleウェビナー"))</f>
        <v/>
      </c>
      <c r="D187" s="42" t="str">
        <f aca="false">IF(COUNTIFS(日次入力!$A$4:$A$1500,"&gt;="&amp;DATE(2026,7,7),日次入力!$A$4:$A$1500,"&lt;="&amp;DATE(2026,7,13),日次入力!$C$4:$C$1500,"Googleウェビナー")=0,"",SUMIFS(日次入力!$E$4:$E$1500,日次入力!$A$4:$A$1500,"&gt;="&amp;DATE(2026,7,7),日次入力!$A$4:$A$1500,"&lt;="&amp;DATE(2026,7,13),日次入力!$C$4:$C$1500,"Googleウェビナー"))</f>
        <v/>
      </c>
      <c r="E187" s="42" t="str">
        <f aca="false">IF(COUNTIFS(日次入力!$A$4:$A$1500,"&gt;="&amp;DATE(2026,7,7),日次入力!$A$4:$A$1500,"&lt;="&amp;DATE(2026,7,13),日次入力!$C$4:$C$1500,"Googleウェビナー")=0,"",SUMIFS(日次入力!$F$4:$F$1500,日次入力!$A$4:$A$1500,"&gt;="&amp;DATE(2026,7,7),日次入力!$A$4:$A$1500,"&lt;="&amp;DATE(2026,7,13),日次入力!$C$4:$C$1500,"Googleウェビナー"))</f>
        <v/>
      </c>
      <c r="F187" s="42" t="str">
        <f aca="false">IF(COUNTIFS(日次入力!$A$4:$A$1500,"&gt;="&amp;DATE(2026,7,7),日次入力!$A$4:$A$1500,"&lt;="&amp;DATE(2026,7,13),日次入力!$C$4:$C$1500,"Googleウェビナー")=0,"",SUMIFS(日次入力!$G$4:$G$1500,日次入力!$A$4:$A$1500,"&gt;="&amp;DATE(2026,7,7),日次入力!$A$4:$A$1500,"&lt;="&amp;DATE(2026,7,13),日次入力!$C$4:$C$1500,"Googleウェビナー"))</f>
        <v/>
      </c>
      <c r="G187" s="15" t="str">
        <f aca="false">IFERROR(E187/D187,"")</f>
        <v/>
      </c>
      <c r="H187" s="37" t="str">
        <f aca="false">IFERROR(C187/E187,"")</f>
        <v/>
      </c>
      <c r="I187" s="37" t="str">
        <f aca="false">IFERROR(C187/D187*1000,"")</f>
        <v/>
      </c>
      <c r="J187" s="15" t="str">
        <f aca="false">IFERROR(F187/E187,"")</f>
        <v/>
      </c>
      <c r="K187" s="37" t="str">
        <f aca="false">IFERROR(C187/F187,"")</f>
        <v/>
      </c>
      <c r="L187" s="42" t="str">
        <f aca="false">IF(COUNTIFS(日次入力!$A$4:$A$1500,"&gt;="&amp;DATE(2026,7,7),日次入力!$A$4:$A$1500,"&lt;="&amp;DATE(2026,7,13),日次入力!$C$4:$C$1500,"Googleウェビナー")=0,"",SUMIFS(日次入力!$H$4:$H$1500,日次入力!$A$4:$A$1500,"&gt;="&amp;DATE(2026,7,7),日次入力!$A$4:$A$1500,"&lt;="&amp;DATE(2026,7,13),日次入力!$C$4:$C$1500,"Googleウェビナー"))</f>
        <v/>
      </c>
      <c r="M187" s="15" t="str">
        <f aca="false">IF(L187="","",IFERROR(L187/F187,""))</f>
        <v/>
      </c>
      <c r="N187" s="42" t="str">
        <f aca="false">IF(COUNTIFS(日次入力!$A$4:$A$1500,"&gt;="&amp;DATE(2026,7,7),日次入力!$A$4:$A$1500,"&lt;="&amp;DATE(2026,7,13),日次入力!$C$4:$C$1500,"Googleウェビナー")=0,"",SUMIFS(日次入力!$I$4:$I$1500,日次入力!$A$4:$A$1500,"&gt;="&amp;DATE(2026,7,7),日次入力!$A$4:$A$1500,"&lt;="&amp;DATE(2026,7,13),日次入力!$C$4:$C$1500,"Googleウェビナー"))</f>
        <v/>
      </c>
      <c r="O187" s="15" t="str">
        <f aca="false">IF(N187="","",IFERROR(N187/L187,""))</f>
        <v/>
      </c>
      <c r="P187" s="37" t="str">
        <f aca="false">IF(N187=0,"",IFERROR(C187/N187,""))</f>
        <v/>
      </c>
      <c r="Q187" s="38" t="str">
        <f aca="false">IF(N187=0,"",IFERROR(IF(C187/N187&lt;=用語集!$B$22,"◎ 許容内","✗ 超過"),"—"))</f>
        <v>—</v>
      </c>
      <c r="R187" s="39" t="str">
        <f aca="false">IFERROR(用語集!$B$22/P187,"")</f>
        <v/>
      </c>
    </row>
    <row r="188" customFormat="false" ht="15" hidden="false" customHeight="false" outlineLevel="0" collapsed="false">
      <c r="A188" s="34" t="s">
        <v>88</v>
      </c>
      <c r="B188" s="35" t="s">
        <v>89</v>
      </c>
      <c r="C188" s="41" t="str">
        <f aca="false">IF(COUNTIFS(日次入力!$A$4:$A$1500,"&gt;="&amp;DATE(2026,7,14),日次入力!$A$4:$A$1500,"&lt;="&amp;DATE(2026,7,20),日次入力!$C$4:$C$1500,"Googleウェビナー")=0,"",SUMIFS(日次入力!$D$4:$D$1500,日次入力!$A$4:$A$1500,"&gt;="&amp;DATE(2026,7,14),日次入力!$A$4:$A$1500,"&lt;="&amp;DATE(2026,7,20),日次入力!$C$4:$C$1500,"Googleウェビナー"))</f>
        <v/>
      </c>
      <c r="D188" s="42" t="str">
        <f aca="false">IF(COUNTIFS(日次入力!$A$4:$A$1500,"&gt;="&amp;DATE(2026,7,14),日次入力!$A$4:$A$1500,"&lt;="&amp;DATE(2026,7,20),日次入力!$C$4:$C$1500,"Googleウェビナー")=0,"",SUMIFS(日次入力!$E$4:$E$1500,日次入力!$A$4:$A$1500,"&gt;="&amp;DATE(2026,7,14),日次入力!$A$4:$A$1500,"&lt;="&amp;DATE(2026,7,20),日次入力!$C$4:$C$1500,"Googleウェビナー"))</f>
        <v/>
      </c>
      <c r="E188" s="42" t="str">
        <f aca="false">IF(COUNTIFS(日次入力!$A$4:$A$1500,"&gt;="&amp;DATE(2026,7,14),日次入力!$A$4:$A$1500,"&lt;="&amp;DATE(2026,7,20),日次入力!$C$4:$C$1500,"Googleウェビナー")=0,"",SUMIFS(日次入力!$F$4:$F$1500,日次入力!$A$4:$A$1500,"&gt;="&amp;DATE(2026,7,14),日次入力!$A$4:$A$1500,"&lt;="&amp;DATE(2026,7,20),日次入力!$C$4:$C$1500,"Googleウェビナー"))</f>
        <v/>
      </c>
      <c r="F188" s="42" t="str">
        <f aca="false">IF(COUNTIFS(日次入力!$A$4:$A$1500,"&gt;="&amp;DATE(2026,7,14),日次入力!$A$4:$A$1500,"&lt;="&amp;DATE(2026,7,20),日次入力!$C$4:$C$1500,"Googleウェビナー")=0,"",SUMIFS(日次入力!$G$4:$G$1500,日次入力!$A$4:$A$1500,"&gt;="&amp;DATE(2026,7,14),日次入力!$A$4:$A$1500,"&lt;="&amp;DATE(2026,7,20),日次入力!$C$4:$C$1500,"Googleウェビナー"))</f>
        <v/>
      </c>
      <c r="G188" s="15" t="str">
        <f aca="false">IFERROR(E188/D188,"")</f>
        <v/>
      </c>
      <c r="H188" s="37" t="str">
        <f aca="false">IFERROR(C188/E188,"")</f>
        <v/>
      </c>
      <c r="I188" s="37" t="str">
        <f aca="false">IFERROR(C188/D188*1000,"")</f>
        <v/>
      </c>
      <c r="J188" s="15" t="str">
        <f aca="false">IFERROR(F188/E188,"")</f>
        <v/>
      </c>
      <c r="K188" s="37" t="str">
        <f aca="false">IFERROR(C188/F188,"")</f>
        <v/>
      </c>
      <c r="L188" s="42" t="str">
        <f aca="false">IF(COUNTIFS(日次入力!$A$4:$A$1500,"&gt;="&amp;DATE(2026,7,14),日次入力!$A$4:$A$1500,"&lt;="&amp;DATE(2026,7,20),日次入力!$C$4:$C$1500,"Googleウェビナー")=0,"",SUMIFS(日次入力!$H$4:$H$1500,日次入力!$A$4:$A$1500,"&gt;="&amp;DATE(2026,7,14),日次入力!$A$4:$A$1500,"&lt;="&amp;DATE(2026,7,20),日次入力!$C$4:$C$1500,"Googleウェビナー"))</f>
        <v/>
      </c>
      <c r="M188" s="15" t="str">
        <f aca="false">IF(L188="","",IFERROR(L188/F188,""))</f>
        <v/>
      </c>
      <c r="N188" s="42" t="str">
        <f aca="false">IF(COUNTIFS(日次入力!$A$4:$A$1500,"&gt;="&amp;DATE(2026,7,14),日次入力!$A$4:$A$1500,"&lt;="&amp;DATE(2026,7,20),日次入力!$C$4:$C$1500,"Googleウェビナー")=0,"",SUMIFS(日次入力!$I$4:$I$1500,日次入力!$A$4:$A$1500,"&gt;="&amp;DATE(2026,7,14),日次入力!$A$4:$A$1500,"&lt;="&amp;DATE(2026,7,20),日次入力!$C$4:$C$1500,"Googleウェビナー"))</f>
        <v/>
      </c>
      <c r="O188" s="15" t="str">
        <f aca="false">IF(N188="","",IFERROR(N188/L188,""))</f>
        <v/>
      </c>
      <c r="P188" s="37" t="str">
        <f aca="false">IF(N188=0,"",IFERROR(C188/N188,""))</f>
        <v/>
      </c>
      <c r="Q188" s="38" t="str">
        <f aca="false">IF(N188=0,"",IFERROR(IF(C188/N188&lt;=用語集!$B$22,"◎ 許容内","✗ 超過"),"—"))</f>
        <v>—</v>
      </c>
      <c r="R188" s="39" t="str">
        <f aca="false">IFERROR(用語集!$B$22/P188,"")</f>
        <v/>
      </c>
    </row>
    <row r="189" customFormat="false" ht="15" hidden="false" customHeight="false" outlineLevel="0" collapsed="false">
      <c r="A189" s="34" t="s">
        <v>90</v>
      </c>
      <c r="B189" s="35" t="s">
        <v>91</v>
      </c>
      <c r="C189" s="41" t="str">
        <f aca="false">IF(COUNTIFS(日次入力!$A$4:$A$1500,"&gt;="&amp;DATE(2026,7,21),日次入力!$A$4:$A$1500,"&lt;="&amp;DATE(2026,7,27),日次入力!$C$4:$C$1500,"Googleウェビナー")=0,"",SUMIFS(日次入力!$D$4:$D$1500,日次入力!$A$4:$A$1500,"&gt;="&amp;DATE(2026,7,21),日次入力!$A$4:$A$1500,"&lt;="&amp;DATE(2026,7,27),日次入力!$C$4:$C$1500,"Googleウェビナー"))</f>
        <v/>
      </c>
      <c r="D189" s="42" t="str">
        <f aca="false">IF(COUNTIFS(日次入力!$A$4:$A$1500,"&gt;="&amp;DATE(2026,7,21),日次入力!$A$4:$A$1500,"&lt;="&amp;DATE(2026,7,27),日次入力!$C$4:$C$1500,"Googleウェビナー")=0,"",SUMIFS(日次入力!$E$4:$E$1500,日次入力!$A$4:$A$1500,"&gt;="&amp;DATE(2026,7,21),日次入力!$A$4:$A$1500,"&lt;="&amp;DATE(2026,7,27),日次入力!$C$4:$C$1500,"Googleウェビナー"))</f>
        <v/>
      </c>
      <c r="E189" s="42" t="str">
        <f aca="false">IF(COUNTIFS(日次入力!$A$4:$A$1500,"&gt;="&amp;DATE(2026,7,21),日次入力!$A$4:$A$1500,"&lt;="&amp;DATE(2026,7,27),日次入力!$C$4:$C$1500,"Googleウェビナー")=0,"",SUMIFS(日次入力!$F$4:$F$1500,日次入力!$A$4:$A$1500,"&gt;="&amp;DATE(2026,7,21),日次入力!$A$4:$A$1500,"&lt;="&amp;DATE(2026,7,27),日次入力!$C$4:$C$1500,"Googleウェビナー"))</f>
        <v/>
      </c>
      <c r="F189" s="42" t="str">
        <f aca="false">IF(COUNTIFS(日次入力!$A$4:$A$1500,"&gt;="&amp;DATE(2026,7,21),日次入力!$A$4:$A$1500,"&lt;="&amp;DATE(2026,7,27),日次入力!$C$4:$C$1500,"Googleウェビナー")=0,"",SUMIFS(日次入力!$G$4:$G$1500,日次入力!$A$4:$A$1500,"&gt;="&amp;DATE(2026,7,21),日次入力!$A$4:$A$1500,"&lt;="&amp;DATE(2026,7,27),日次入力!$C$4:$C$1500,"Googleウェビナー"))</f>
        <v/>
      </c>
      <c r="G189" s="15" t="str">
        <f aca="false">IFERROR(E189/D189,"")</f>
        <v/>
      </c>
      <c r="H189" s="37" t="str">
        <f aca="false">IFERROR(C189/E189,"")</f>
        <v/>
      </c>
      <c r="I189" s="37" t="str">
        <f aca="false">IFERROR(C189/D189*1000,"")</f>
        <v/>
      </c>
      <c r="J189" s="15" t="str">
        <f aca="false">IFERROR(F189/E189,"")</f>
        <v/>
      </c>
      <c r="K189" s="37" t="str">
        <f aca="false">IFERROR(C189/F189,"")</f>
        <v/>
      </c>
      <c r="L189" s="42" t="str">
        <f aca="false">IF(COUNTIFS(日次入力!$A$4:$A$1500,"&gt;="&amp;DATE(2026,7,21),日次入力!$A$4:$A$1500,"&lt;="&amp;DATE(2026,7,27),日次入力!$C$4:$C$1500,"Googleウェビナー")=0,"",SUMIFS(日次入力!$H$4:$H$1500,日次入力!$A$4:$A$1500,"&gt;="&amp;DATE(2026,7,21),日次入力!$A$4:$A$1500,"&lt;="&amp;DATE(2026,7,27),日次入力!$C$4:$C$1500,"Googleウェビナー"))</f>
        <v/>
      </c>
      <c r="M189" s="15" t="str">
        <f aca="false">IF(L189="","",IFERROR(L189/F189,""))</f>
        <v/>
      </c>
      <c r="N189" s="42" t="str">
        <f aca="false">IF(COUNTIFS(日次入力!$A$4:$A$1500,"&gt;="&amp;DATE(2026,7,21),日次入力!$A$4:$A$1500,"&lt;="&amp;DATE(2026,7,27),日次入力!$C$4:$C$1500,"Googleウェビナー")=0,"",SUMIFS(日次入力!$I$4:$I$1500,日次入力!$A$4:$A$1500,"&gt;="&amp;DATE(2026,7,21),日次入力!$A$4:$A$1500,"&lt;="&amp;DATE(2026,7,27),日次入力!$C$4:$C$1500,"Googleウェビナー"))</f>
        <v/>
      </c>
      <c r="O189" s="15" t="str">
        <f aca="false">IF(N189="","",IFERROR(N189/L189,""))</f>
        <v/>
      </c>
      <c r="P189" s="37" t="str">
        <f aca="false">IF(N189=0,"",IFERROR(C189/N189,""))</f>
        <v/>
      </c>
      <c r="Q189" s="38" t="str">
        <f aca="false">IF(N189=0,"",IFERROR(IF(C189/N189&lt;=用語集!$B$22,"◎ 許容内","✗ 超過"),"—"))</f>
        <v>—</v>
      </c>
      <c r="R189" s="39" t="str">
        <f aca="false">IFERROR(用語集!$B$22/P189,"")</f>
        <v/>
      </c>
    </row>
    <row r="190" customFormat="false" ht="15" hidden="false" customHeight="false" outlineLevel="0" collapsed="false">
      <c r="A190" s="34" t="s">
        <v>92</v>
      </c>
      <c r="B190" s="35" t="s">
        <v>93</v>
      </c>
      <c r="C190" s="41" t="str">
        <f aca="false">IF(COUNTIFS(日次入力!$A$4:$A$1500,"&gt;="&amp;DATE(2026,7,28),日次入力!$A$4:$A$1500,"&lt;="&amp;DATE(2026,8,3),日次入力!$C$4:$C$1500,"Googleウェビナー")=0,"",SUMIFS(日次入力!$D$4:$D$1500,日次入力!$A$4:$A$1500,"&gt;="&amp;DATE(2026,7,28),日次入力!$A$4:$A$1500,"&lt;="&amp;DATE(2026,8,3),日次入力!$C$4:$C$1500,"Googleウェビナー"))</f>
        <v/>
      </c>
      <c r="D190" s="42" t="str">
        <f aca="false">IF(COUNTIFS(日次入力!$A$4:$A$1500,"&gt;="&amp;DATE(2026,7,28),日次入力!$A$4:$A$1500,"&lt;="&amp;DATE(2026,8,3),日次入力!$C$4:$C$1500,"Googleウェビナー")=0,"",SUMIFS(日次入力!$E$4:$E$1500,日次入力!$A$4:$A$1500,"&gt;="&amp;DATE(2026,7,28),日次入力!$A$4:$A$1500,"&lt;="&amp;DATE(2026,8,3),日次入力!$C$4:$C$1500,"Googleウェビナー"))</f>
        <v/>
      </c>
      <c r="E190" s="42" t="str">
        <f aca="false">IF(COUNTIFS(日次入力!$A$4:$A$1500,"&gt;="&amp;DATE(2026,7,28),日次入力!$A$4:$A$1500,"&lt;="&amp;DATE(2026,8,3),日次入力!$C$4:$C$1500,"Googleウェビナー")=0,"",SUMIFS(日次入力!$F$4:$F$1500,日次入力!$A$4:$A$1500,"&gt;="&amp;DATE(2026,7,28),日次入力!$A$4:$A$1500,"&lt;="&amp;DATE(2026,8,3),日次入力!$C$4:$C$1500,"Googleウェビナー"))</f>
        <v/>
      </c>
      <c r="F190" s="42" t="str">
        <f aca="false">IF(COUNTIFS(日次入力!$A$4:$A$1500,"&gt;="&amp;DATE(2026,7,28),日次入力!$A$4:$A$1500,"&lt;="&amp;DATE(2026,8,3),日次入力!$C$4:$C$1500,"Googleウェビナー")=0,"",SUMIFS(日次入力!$G$4:$G$1500,日次入力!$A$4:$A$1500,"&gt;="&amp;DATE(2026,7,28),日次入力!$A$4:$A$1500,"&lt;="&amp;DATE(2026,8,3),日次入力!$C$4:$C$1500,"Googleウェビナー"))</f>
        <v/>
      </c>
      <c r="G190" s="15" t="str">
        <f aca="false">IFERROR(E190/D190,"")</f>
        <v/>
      </c>
      <c r="H190" s="37" t="str">
        <f aca="false">IFERROR(C190/E190,"")</f>
        <v/>
      </c>
      <c r="I190" s="37" t="str">
        <f aca="false">IFERROR(C190/D190*1000,"")</f>
        <v/>
      </c>
      <c r="J190" s="15" t="str">
        <f aca="false">IFERROR(F190/E190,"")</f>
        <v/>
      </c>
      <c r="K190" s="37" t="str">
        <f aca="false">IFERROR(C190/F190,"")</f>
        <v/>
      </c>
      <c r="L190" s="42" t="str">
        <f aca="false">IF(COUNTIFS(日次入力!$A$4:$A$1500,"&gt;="&amp;DATE(2026,7,28),日次入力!$A$4:$A$1500,"&lt;="&amp;DATE(2026,8,3),日次入力!$C$4:$C$1500,"Googleウェビナー")=0,"",SUMIFS(日次入力!$H$4:$H$1500,日次入力!$A$4:$A$1500,"&gt;="&amp;DATE(2026,7,28),日次入力!$A$4:$A$1500,"&lt;="&amp;DATE(2026,8,3),日次入力!$C$4:$C$1500,"Googleウェビナー"))</f>
        <v/>
      </c>
      <c r="M190" s="15" t="str">
        <f aca="false">IF(L190="","",IFERROR(L190/F190,""))</f>
        <v/>
      </c>
      <c r="N190" s="42" t="str">
        <f aca="false">IF(COUNTIFS(日次入力!$A$4:$A$1500,"&gt;="&amp;DATE(2026,7,28),日次入力!$A$4:$A$1500,"&lt;="&amp;DATE(2026,8,3),日次入力!$C$4:$C$1500,"Googleウェビナー")=0,"",SUMIFS(日次入力!$I$4:$I$1500,日次入力!$A$4:$A$1500,"&gt;="&amp;DATE(2026,7,28),日次入力!$A$4:$A$1500,"&lt;="&amp;DATE(2026,8,3),日次入力!$C$4:$C$1500,"Googleウェビナー"))</f>
        <v/>
      </c>
      <c r="O190" s="15" t="str">
        <f aca="false">IF(N190="","",IFERROR(N190/L190,""))</f>
        <v/>
      </c>
      <c r="P190" s="37" t="str">
        <f aca="false">IF(N190=0,"",IFERROR(C190/N190,""))</f>
        <v/>
      </c>
      <c r="Q190" s="38" t="str">
        <f aca="false">IF(N190=0,"",IFERROR(IF(C190/N190&lt;=用語集!$B$22,"◎ 許容内","✗ 超過"),"—"))</f>
        <v>—</v>
      </c>
      <c r="R190" s="39" t="str">
        <f aca="false">IFERROR(用語集!$B$22/P190,"")</f>
        <v/>
      </c>
    </row>
    <row r="191" customFormat="false" ht="15" hidden="false" customHeight="false" outlineLevel="0" collapsed="false">
      <c r="A191" s="34" t="s">
        <v>94</v>
      </c>
      <c r="B191" s="35" t="s">
        <v>95</v>
      </c>
      <c r="C191" s="41" t="str">
        <f aca="false">IF(COUNTIFS(日次入力!$A$4:$A$1500,"&gt;="&amp;DATE(2026,8,4),日次入力!$A$4:$A$1500,"&lt;="&amp;DATE(2026,8,10),日次入力!$C$4:$C$1500,"Googleウェビナー")=0,"",SUMIFS(日次入力!$D$4:$D$1500,日次入力!$A$4:$A$1500,"&gt;="&amp;DATE(2026,8,4),日次入力!$A$4:$A$1500,"&lt;="&amp;DATE(2026,8,10),日次入力!$C$4:$C$1500,"Googleウェビナー"))</f>
        <v/>
      </c>
      <c r="D191" s="42" t="str">
        <f aca="false">IF(COUNTIFS(日次入力!$A$4:$A$1500,"&gt;="&amp;DATE(2026,8,4),日次入力!$A$4:$A$1500,"&lt;="&amp;DATE(2026,8,10),日次入力!$C$4:$C$1500,"Googleウェビナー")=0,"",SUMIFS(日次入力!$E$4:$E$1500,日次入力!$A$4:$A$1500,"&gt;="&amp;DATE(2026,8,4),日次入力!$A$4:$A$1500,"&lt;="&amp;DATE(2026,8,10),日次入力!$C$4:$C$1500,"Googleウェビナー"))</f>
        <v/>
      </c>
      <c r="E191" s="42" t="str">
        <f aca="false">IF(COUNTIFS(日次入力!$A$4:$A$1500,"&gt;="&amp;DATE(2026,8,4),日次入力!$A$4:$A$1500,"&lt;="&amp;DATE(2026,8,10),日次入力!$C$4:$C$1500,"Googleウェビナー")=0,"",SUMIFS(日次入力!$F$4:$F$1500,日次入力!$A$4:$A$1500,"&gt;="&amp;DATE(2026,8,4),日次入力!$A$4:$A$1500,"&lt;="&amp;DATE(2026,8,10),日次入力!$C$4:$C$1500,"Googleウェビナー"))</f>
        <v/>
      </c>
      <c r="F191" s="42" t="str">
        <f aca="false">IF(COUNTIFS(日次入力!$A$4:$A$1500,"&gt;="&amp;DATE(2026,8,4),日次入力!$A$4:$A$1500,"&lt;="&amp;DATE(2026,8,10),日次入力!$C$4:$C$1500,"Googleウェビナー")=0,"",SUMIFS(日次入力!$G$4:$G$1500,日次入力!$A$4:$A$1500,"&gt;="&amp;DATE(2026,8,4),日次入力!$A$4:$A$1500,"&lt;="&amp;DATE(2026,8,10),日次入力!$C$4:$C$1500,"Googleウェビナー"))</f>
        <v/>
      </c>
      <c r="G191" s="15" t="str">
        <f aca="false">IFERROR(E191/D191,"")</f>
        <v/>
      </c>
      <c r="H191" s="37" t="str">
        <f aca="false">IFERROR(C191/E191,"")</f>
        <v/>
      </c>
      <c r="I191" s="37" t="str">
        <f aca="false">IFERROR(C191/D191*1000,"")</f>
        <v/>
      </c>
      <c r="J191" s="15" t="str">
        <f aca="false">IFERROR(F191/E191,"")</f>
        <v/>
      </c>
      <c r="K191" s="37" t="str">
        <f aca="false">IFERROR(C191/F191,"")</f>
        <v/>
      </c>
      <c r="L191" s="42" t="str">
        <f aca="false">IF(COUNTIFS(日次入力!$A$4:$A$1500,"&gt;="&amp;DATE(2026,8,4),日次入力!$A$4:$A$1500,"&lt;="&amp;DATE(2026,8,10),日次入力!$C$4:$C$1500,"Googleウェビナー")=0,"",SUMIFS(日次入力!$H$4:$H$1500,日次入力!$A$4:$A$1500,"&gt;="&amp;DATE(2026,8,4),日次入力!$A$4:$A$1500,"&lt;="&amp;DATE(2026,8,10),日次入力!$C$4:$C$1500,"Googleウェビナー"))</f>
        <v/>
      </c>
      <c r="M191" s="15" t="str">
        <f aca="false">IF(L191="","",IFERROR(L191/F191,""))</f>
        <v/>
      </c>
      <c r="N191" s="42" t="str">
        <f aca="false">IF(COUNTIFS(日次入力!$A$4:$A$1500,"&gt;="&amp;DATE(2026,8,4),日次入力!$A$4:$A$1500,"&lt;="&amp;DATE(2026,8,10),日次入力!$C$4:$C$1500,"Googleウェビナー")=0,"",SUMIFS(日次入力!$I$4:$I$1500,日次入力!$A$4:$A$1500,"&gt;="&amp;DATE(2026,8,4),日次入力!$A$4:$A$1500,"&lt;="&amp;DATE(2026,8,10),日次入力!$C$4:$C$1500,"Googleウェビナー"))</f>
        <v/>
      </c>
      <c r="O191" s="15" t="str">
        <f aca="false">IF(N191="","",IFERROR(N191/L191,""))</f>
        <v/>
      </c>
      <c r="P191" s="37" t="str">
        <f aca="false">IF(N191=0,"",IFERROR(C191/N191,""))</f>
        <v/>
      </c>
      <c r="Q191" s="38" t="str">
        <f aca="false">IF(N191=0,"",IFERROR(IF(C191/N191&lt;=用語集!$B$22,"◎ 許容内","✗ 超過"),"—"))</f>
        <v>—</v>
      </c>
      <c r="R191" s="39" t="str">
        <f aca="false">IFERROR(用語集!$B$22/P191,"")</f>
        <v/>
      </c>
    </row>
    <row r="192" customFormat="false" ht="15" hidden="false" customHeight="false" outlineLevel="0" collapsed="false">
      <c r="A192" s="34" t="s">
        <v>96</v>
      </c>
      <c r="B192" s="35" t="s">
        <v>97</v>
      </c>
      <c r="C192" s="41" t="str">
        <f aca="false">IF(COUNTIFS(日次入力!$A$4:$A$1500,"&gt;="&amp;DATE(2026,8,11),日次入力!$A$4:$A$1500,"&lt;="&amp;DATE(2026,8,17),日次入力!$C$4:$C$1500,"Googleウェビナー")=0,"",SUMIFS(日次入力!$D$4:$D$1500,日次入力!$A$4:$A$1500,"&gt;="&amp;DATE(2026,8,11),日次入力!$A$4:$A$1500,"&lt;="&amp;DATE(2026,8,17),日次入力!$C$4:$C$1500,"Googleウェビナー"))</f>
        <v/>
      </c>
      <c r="D192" s="42" t="str">
        <f aca="false">IF(COUNTIFS(日次入力!$A$4:$A$1500,"&gt;="&amp;DATE(2026,8,11),日次入力!$A$4:$A$1500,"&lt;="&amp;DATE(2026,8,17),日次入力!$C$4:$C$1500,"Googleウェビナー")=0,"",SUMIFS(日次入力!$E$4:$E$1500,日次入力!$A$4:$A$1500,"&gt;="&amp;DATE(2026,8,11),日次入力!$A$4:$A$1500,"&lt;="&amp;DATE(2026,8,17),日次入力!$C$4:$C$1500,"Googleウェビナー"))</f>
        <v/>
      </c>
      <c r="E192" s="42" t="str">
        <f aca="false">IF(COUNTIFS(日次入力!$A$4:$A$1500,"&gt;="&amp;DATE(2026,8,11),日次入力!$A$4:$A$1500,"&lt;="&amp;DATE(2026,8,17),日次入力!$C$4:$C$1500,"Googleウェビナー")=0,"",SUMIFS(日次入力!$F$4:$F$1500,日次入力!$A$4:$A$1500,"&gt;="&amp;DATE(2026,8,11),日次入力!$A$4:$A$1500,"&lt;="&amp;DATE(2026,8,17),日次入力!$C$4:$C$1500,"Googleウェビナー"))</f>
        <v/>
      </c>
      <c r="F192" s="42" t="str">
        <f aca="false">IF(COUNTIFS(日次入力!$A$4:$A$1500,"&gt;="&amp;DATE(2026,8,11),日次入力!$A$4:$A$1500,"&lt;="&amp;DATE(2026,8,17),日次入力!$C$4:$C$1500,"Googleウェビナー")=0,"",SUMIFS(日次入力!$G$4:$G$1500,日次入力!$A$4:$A$1500,"&gt;="&amp;DATE(2026,8,11),日次入力!$A$4:$A$1500,"&lt;="&amp;DATE(2026,8,17),日次入力!$C$4:$C$1500,"Googleウェビナー"))</f>
        <v/>
      </c>
      <c r="G192" s="15" t="str">
        <f aca="false">IFERROR(E192/D192,"")</f>
        <v/>
      </c>
      <c r="H192" s="37" t="str">
        <f aca="false">IFERROR(C192/E192,"")</f>
        <v/>
      </c>
      <c r="I192" s="37" t="str">
        <f aca="false">IFERROR(C192/D192*1000,"")</f>
        <v/>
      </c>
      <c r="J192" s="15" t="str">
        <f aca="false">IFERROR(F192/E192,"")</f>
        <v/>
      </c>
      <c r="K192" s="37" t="str">
        <f aca="false">IFERROR(C192/F192,"")</f>
        <v/>
      </c>
      <c r="L192" s="42" t="str">
        <f aca="false">IF(COUNTIFS(日次入力!$A$4:$A$1500,"&gt;="&amp;DATE(2026,8,11),日次入力!$A$4:$A$1500,"&lt;="&amp;DATE(2026,8,17),日次入力!$C$4:$C$1500,"Googleウェビナー")=0,"",SUMIFS(日次入力!$H$4:$H$1500,日次入力!$A$4:$A$1500,"&gt;="&amp;DATE(2026,8,11),日次入力!$A$4:$A$1500,"&lt;="&amp;DATE(2026,8,17),日次入力!$C$4:$C$1500,"Googleウェビナー"))</f>
        <v/>
      </c>
      <c r="M192" s="15" t="str">
        <f aca="false">IF(L192="","",IFERROR(L192/F192,""))</f>
        <v/>
      </c>
      <c r="N192" s="42" t="str">
        <f aca="false">IF(COUNTIFS(日次入力!$A$4:$A$1500,"&gt;="&amp;DATE(2026,8,11),日次入力!$A$4:$A$1500,"&lt;="&amp;DATE(2026,8,17),日次入力!$C$4:$C$1500,"Googleウェビナー")=0,"",SUMIFS(日次入力!$I$4:$I$1500,日次入力!$A$4:$A$1500,"&gt;="&amp;DATE(2026,8,11),日次入力!$A$4:$A$1500,"&lt;="&amp;DATE(2026,8,17),日次入力!$C$4:$C$1500,"Googleウェビナー"))</f>
        <v/>
      </c>
      <c r="O192" s="15" t="str">
        <f aca="false">IF(N192="","",IFERROR(N192/L192,""))</f>
        <v/>
      </c>
      <c r="P192" s="37" t="str">
        <f aca="false">IF(N192=0,"",IFERROR(C192/N192,""))</f>
        <v/>
      </c>
      <c r="Q192" s="38" t="str">
        <f aca="false">IF(N192=0,"",IFERROR(IF(C192/N192&lt;=用語集!$B$22,"◎ 許容内","✗ 超過"),"—"))</f>
        <v>—</v>
      </c>
      <c r="R192" s="39" t="str">
        <f aca="false">IFERROR(用語集!$B$22/P192,"")</f>
        <v/>
      </c>
    </row>
    <row r="193" customFormat="false" ht="15" hidden="false" customHeight="false" outlineLevel="0" collapsed="false">
      <c r="A193" s="34" t="s">
        <v>98</v>
      </c>
      <c r="B193" s="35" t="s">
        <v>99</v>
      </c>
      <c r="C193" s="41" t="str">
        <f aca="false">IF(COUNTIFS(日次入力!$A$4:$A$1500,"&gt;="&amp;DATE(2026,8,18),日次入力!$A$4:$A$1500,"&lt;="&amp;DATE(2026,8,24),日次入力!$C$4:$C$1500,"Googleウェビナー")=0,"",SUMIFS(日次入力!$D$4:$D$1500,日次入力!$A$4:$A$1500,"&gt;="&amp;DATE(2026,8,18),日次入力!$A$4:$A$1500,"&lt;="&amp;DATE(2026,8,24),日次入力!$C$4:$C$1500,"Googleウェビナー"))</f>
        <v/>
      </c>
      <c r="D193" s="42" t="str">
        <f aca="false">IF(COUNTIFS(日次入力!$A$4:$A$1500,"&gt;="&amp;DATE(2026,8,18),日次入力!$A$4:$A$1500,"&lt;="&amp;DATE(2026,8,24),日次入力!$C$4:$C$1500,"Googleウェビナー")=0,"",SUMIFS(日次入力!$E$4:$E$1500,日次入力!$A$4:$A$1500,"&gt;="&amp;DATE(2026,8,18),日次入力!$A$4:$A$1500,"&lt;="&amp;DATE(2026,8,24),日次入力!$C$4:$C$1500,"Googleウェビナー"))</f>
        <v/>
      </c>
      <c r="E193" s="42" t="str">
        <f aca="false">IF(COUNTIFS(日次入力!$A$4:$A$1500,"&gt;="&amp;DATE(2026,8,18),日次入力!$A$4:$A$1500,"&lt;="&amp;DATE(2026,8,24),日次入力!$C$4:$C$1500,"Googleウェビナー")=0,"",SUMIFS(日次入力!$F$4:$F$1500,日次入力!$A$4:$A$1500,"&gt;="&amp;DATE(2026,8,18),日次入力!$A$4:$A$1500,"&lt;="&amp;DATE(2026,8,24),日次入力!$C$4:$C$1500,"Googleウェビナー"))</f>
        <v/>
      </c>
      <c r="F193" s="42" t="str">
        <f aca="false">IF(COUNTIFS(日次入力!$A$4:$A$1500,"&gt;="&amp;DATE(2026,8,18),日次入力!$A$4:$A$1500,"&lt;="&amp;DATE(2026,8,24),日次入力!$C$4:$C$1500,"Googleウェビナー")=0,"",SUMIFS(日次入力!$G$4:$G$1500,日次入力!$A$4:$A$1500,"&gt;="&amp;DATE(2026,8,18),日次入力!$A$4:$A$1500,"&lt;="&amp;DATE(2026,8,24),日次入力!$C$4:$C$1500,"Googleウェビナー"))</f>
        <v/>
      </c>
      <c r="G193" s="15" t="str">
        <f aca="false">IFERROR(E193/D193,"")</f>
        <v/>
      </c>
      <c r="H193" s="37" t="str">
        <f aca="false">IFERROR(C193/E193,"")</f>
        <v/>
      </c>
      <c r="I193" s="37" t="str">
        <f aca="false">IFERROR(C193/D193*1000,"")</f>
        <v/>
      </c>
      <c r="J193" s="15" t="str">
        <f aca="false">IFERROR(F193/E193,"")</f>
        <v/>
      </c>
      <c r="K193" s="37" t="str">
        <f aca="false">IFERROR(C193/F193,"")</f>
        <v/>
      </c>
      <c r="L193" s="42" t="str">
        <f aca="false">IF(COUNTIFS(日次入力!$A$4:$A$1500,"&gt;="&amp;DATE(2026,8,18),日次入力!$A$4:$A$1500,"&lt;="&amp;DATE(2026,8,24),日次入力!$C$4:$C$1500,"Googleウェビナー")=0,"",SUMIFS(日次入力!$H$4:$H$1500,日次入力!$A$4:$A$1500,"&gt;="&amp;DATE(2026,8,18),日次入力!$A$4:$A$1500,"&lt;="&amp;DATE(2026,8,24),日次入力!$C$4:$C$1500,"Googleウェビナー"))</f>
        <v/>
      </c>
      <c r="M193" s="15" t="str">
        <f aca="false">IF(L193="","",IFERROR(L193/F193,""))</f>
        <v/>
      </c>
      <c r="N193" s="42" t="str">
        <f aca="false">IF(COUNTIFS(日次入力!$A$4:$A$1500,"&gt;="&amp;DATE(2026,8,18),日次入力!$A$4:$A$1500,"&lt;="&amp;DATE(2026,8,24),日次入力!$C$4:$C$1500,"Googleウェビナー")=0,"",SUMIFS(日次入力!$I$4:$I$1500,日次入力!$A$4:$A$1500,"&gt;="&amp;DATE(2026,8,18),日次入力!$A$4:$A$1500,"&lt;="&amp;DATE(2026,8,24),日次入力!$C$4:$C$1500,"Googleウェビナー"))</f>
        <v/>
      </c>
      <c r="O193" s="15" t="str">
        <f aca="false">IF(N193="","",IFERROR(N193/L193,""))</f>
        <v/>
      </c>
      <c r="P193" s="37" t="str">
        <f aca="false">IF(N193=0,"",IFERROR(C193/N193,""))</f>
        <v/>
      </c>
      <c r="Q193" s="38" t="str">
        <f aca="false">IF(N193=0,"",IFERROR(IF(C193/N193&lt;=用語集!$B$22,"◎ 許容内","✗ 超過"),"—"))</f>
        <v>—</v>
      </c>
      <c r="R193" s="39" t="str">
        <f aca="false">IFERROR(用語集!$B$22/P193,"")</f>
        <v/>
      </c>
    </row>
    <row r="194" customFormat="false" ht="15" hidden="false" customHeight="false" outlineLevel="0" collapsed="false">
      <c r="A194" s="34" t="s">
        <v>100</v>
      </c>
      <c r="B194" s="35" t="s">
        <v>101</v>
      </c>
      <c r="C194" s="41" t="str">
        <f aca="false">IF(COUNTIFS(日次入力!$A$4:$A$1500,"&gt;="&amp;DATE(2026,8,25),日次入力!$A$4:$A$1500,"&lt;="&amp;DATE(2026,8,31),日次入力!$C$4:$C$1500,"Googleウェビナー")=0,"",SUMIFS(日次入力!$D$4:$D$1500,日次入力!$A$4:$A$1500,"&gt;="&amp;DATE(2026,8,25),日次入力!$A$4:$A$1500,"&lt;="&amp;DATE(2026,8,31),日次入力!$C$4:$C$1500,"Googleウェビナー"))</f>
        <v/>
      </c>
      <c r="D194" s="42" t="str">
        <f aca="false">IF(COUNTIFS(日次入力!$A$4:$A$1500,"&gt;="&amp;DATE(2026,8,25),日次入力!$A$4:$A$1500,"&lt;="&amp;DATE(2026,8,31),日次入力!$C$4:$C$1500,"Googleウェビナー")=0,"",SUMIFS(日次入力!$E$4:$E$1500,日次入力!$A$4:$A$1500,"&gt;="&amp;DATE(2026,8,25),日次入力!$A$4:$A$1500,"&lt;="&amp;DATE(2026,8,31),日次入力!$C$4:$C$1500,"Googleウェビナー"))</f>
        <v/>
      </c>
      <c r="E194" s="42" t="str">
        <f aca="false">IF(COUNTIFS(日次入力!$A$4:$A$1500,"&gt;="&amp;DATE(2026,8,25),日次入力!$A$4:$A$1500,"&lt;="&amp;DATE(2026,8,31),日次入力!$C$4:$C$1500,"Googleウェビナー")=0,"",SUMIFS(日次入力!$F$4:$F$1500,日次入力!$A$4:$A$1500,"&gt;="&amp;DATE(2026,8,25),日次入力!$A$4:$A$1500,"&lt;="&amp;DATE(2026,8,31),日次入力!$C$4:$C$1500,"Googleウェビナー"))</f>
        <v/>
      </c>
      <c r="F194" s="42" t="str">
        <f aca="false">IF(COUNTIFS(日次入力!$A$4:$A$1500,"&gt;="&amp;DATE(2026,8,25),日次入力!$A$4:$A$1500,"&lt;="&amp;DATE(2026,8,31),日次入力!$C$4:$C$1500,"Googleウェビナー")=0,"",SUMIFS(日次入力!$G$4:$G$1500,日次入力!$A$4:$A$1500,"&gt;="&amp;DATE(2026,8,25),日次入力!$A$4:$A$1500,"&lt;="&amp;DATE(2026,8,31),日次入力!$C$4:$C$1500,"Googleウェビナー"))</f>
        <v/>
      </c>
      <c r="G194" s="15" t="str">
        <f aca="false">IFERROR(E194/D194,"")</f>
        <v/>
      </c>
      <c r="H194" s="37" t="str">
        <f aca="false">IFERROR(C194/E194,"")</f>
        <v/>
      </c>
      <c r="I194" s="37" t="str">
        <f aca="false">IFERROR(C194/D194*1000,"")</f>
        <v/>
      </c>
      <c r="J194" s="15" t="str">
        <f aca="false">IFERROR(F194/E194,"")</f>
        <v/>
      </c>
      <c r="K194" s="37" t="str">
        <f aca="false">IFERROR(C194/F194,"")</f>
        <v/>
      </c>
      <c r="L194" s="42" t="str">
        <f aca="false">IF(COUNTIFS(日次入力!$A$4:$A$1500,"&gt;="&amp;DATE(2026,8,25),日次入力!$A$4:$A$1500,"&lt;="&amp;DATE(2026,8,31),日次入力!$C$4:$C$1500,"Googleウェビナー")=0,"",SUMIFS(日次入力!$H$4:$H$1500,日次入力!$A$4:$A$1500,"&gt;="&amp;DATE(2026,8,25),日次入力!$A$4:$A$1500,"&lt;="&amp;DATE(2026,8,31),日次入力!$C$4:$C$1500,"Googleウェビナー"))</f>
        <v/>
      </c>
      <c r="M194" s="15" t="str">
        <f aca="false">IF(L194="","",IFERROR(L194/F194,""))</f>
        <v/>
      </c>
      <c r="N194" s="42" t="str">
        <f aca="false">IF(COUNTIFS(日次入力!$A$4:$A$1500,"&gt;="&amp;DATE(2026,8,25),日次入力!$A$4:$A$1500,"&lt;="&amp;DATE(2026,8,31),日次入力!$C$4:$C$1500,"Googleウェビナー")=0,"",SUMIFS(日次入力!$I$4:$I$1500,日次入力!$A$4:$A$1500,"&gt;="&amp;DATE(2026,8,25),日次入力!$A$4:$A$1500,"&lt;="&amp;DATE(2026,8,31),日次入力!$C$4:$C$1500,"Googleウェビナー"))</f>
        <v/>
      </c>
      <c r="O194" s="15" t="str">
        <f aca="false">IF(N194="","",IFERROR(N194/L194,""))</f>
        <v/>
      </c>
      <c r="P194" s="37" t="str">
        <f aca="false">IF(N194=0,"",IFERROR(C194/N194,""))</f>
        <v/>
      </c>
      <c r="Q194" s="38" t="str">
        <f aca="false">IF(N194=0,"",IFERROR(IF(C194/N194&lt;=用語集!$B$22,"◎ 許容内","✗ 超過"),"—"))</f>
        <v>—</v>
      </c>
      <c r="R194" s="39" t="str">
        <f aca="false">IFERROR(用語集!$B$22/P194,"")</f>
        <v/>
      </c>
    </row>
    <row r="195" customFormat="false" ht="15" hidden="false" customHeight="false" outlineLevel="0" collapsed="false">
      <c r="A195" s="34" t="s">
        <v>102</v>
      </c>
      <c r="B195" s="35" t="s">
        <v>103</v>
      </c>
      <c r="C195" s="41" t="str">
        <f aca="false">IF(COUNTIFS(日次入力!$A$4:$A$1500,"&gt;="&amp;DATE(2026,9,1),日次入力!$A$4:$A$1500,"&lt;="&amp;DATE(2026,9,7),日次入力!$C$4:$C$1500,"Googleウェビナー")=0,"",SUMIFS(日次入力!$D$4:$D$1500,日次入力!$A$4:$A$1500,"&gt;="&amp;DATE(2026,9,1),日次入力!$A$4:$A$1500,"&lt;="&amp;DATE(2026,9,7),日次入力!$C$4:$C$1500,"Googleウェビナー"))</f>
        <v/>
      </c>
      <c r="D195" s="42" t="str">
        <f aca="false">IF(COUNTIFS(日次入力!$A$4:$A$1500,"&gt;="&amp;DATE(2026,9,1),日次入力!$A$4:$A$1500,"&lt;="&amp;DATE(2026,9,7),日次入力!$C$4:$C$1500,"Googleウェビナー")=0,"",SUMIFS(日次入力!$E$4:$E$1500,日次入力!$A$4:$A$1500,"&gt;="&amp;DATE(2026,9,1),日次入力!$A$4:$A$1500,"&lt;="&amp;DATE(2026,9,7),日次入力!$C$4:$C$1500,"Googleウェビナー"))</f>
        <v/>
      </c>
      <c r="E195" s="42" t="str">
        <f aca="false">IF(COUNTIFS(日次入力!$A$4:$A$1500,"&gt;="&amp;DATE(2026,9,1),日次入力!$A$4:$A$1500,"&lt;="&amp;DATE(2026,9,7),日次入力!$C$4:$C$1500,"Googleウェビナー")=0,"",SUMIFS(日次入力!$F$4:$F$1500,日次入力!$A$4:$A$1500,"&gt;="&amp;DATE(2026,9,1),日次入力!$A$4:$A$1500,"&lt;="&amp;DATE(2026,9,7),日次入力!$C$4:$C$1500,"Googleウェビナー"))</f>
        <v/>
      </c>
      <c r="F195" s="42" t="str">
        <f aca="false">IF(COUNTIFS(日次入力!$A$4:$A$1500,"&gt;="&amp;DATE(2026,9,1),日次入力!$A$4:$A$1500,"&lt;="&amp;DATE(2026,9,7),日次入力!$C$4:$C$1500,"Googleウェビナー")=0,"",SUMIFS(日次入力!$G$4:$G$1500,日次入力!$A$4:$A$1500,"&gt;="&amp;DATE(2026,9,1),日次入力!$A$4:$A$1500,"&lt;="&amp;DATE(2026,9,7),日次入力!$C$4:$C$1500,"Googleウェビナー"))</f>
        <v/>
      </c>
      <c r="G195" s="15" t="str">
        <f aca="false">IFERROR(E195/D195,"")</f>
        <v/>
      </c>
      <c r="H195" s="37" t="str">
        <f aca="false">IFERROR(C195/E195,"")</f>
        <v/>
      </c>
      <c r="I195" s="37" t="str">
        <f aca="false">IFERROR(C195/D195*1000,"")</f>
        <v/>
      </c>
      <c r="J195" s="15" t="str">
        <f aca="false">IFERROR(F195/E195,"")</f>
        <v/>
      </c>
      <c r="K195" s="37" t="str">
        <f aca="false">IFERROR(C195/F195,"")</f>
        <v/>
      </c>
      <c r="L195" s="42" t="str">
        <f aca="false">IF(COUNTIFS(日次入力!$A$4:$A$1500,"&gt;="&amp;DATE(2026,9,1),日次入力!$A$4:$A$1500,"&lt;="&amp;DATE(2026,9,7),日次入力!$C$4:$C$1500,"Googleウェビナー")=0,"",SUMIFS(日次入力!$H$4:$H$1500,日次入力!$A$4:$A$1500,"&gt;="&amp;DATE(2026,9,1),日次入力!$A$4:$A$1500,"&lt;="&amp;DATE(2026,9,7),日次入力!$C$4:$C$1500,"Googleウェビナー"))</f>
        <v/>
      </c>
      <c r="M195" s="15" t="str">
        <f aca="false">IF(L195="","",IFERROR(L195/F195,""))</f>
        <v/>
      </c>
      <c r="N195" s="42" t="str">
        <f aca="false">IF(COUNTIFS(日次入力!$A$4:$A$1500,"&gt;="&amp;DATE(2026,9,1),日次入力!$A$4:$A$1500,"&lt;="&amp;DATE(2026,9,7),日次入力!$C$4:$C$1500,"Googleウェビナー")=0,"",SUMIFS(日次入力!$I$4:$I$1500,日次入力!$A$4:$A$1500,"&gt;="&amp;DATE(2026,9,1),日次入力!$A$4:$A$1500,"&lt;="&amp;DATE(2026,9,7),日次入力!$C$4:$C$1500,"Googleウェビナー"))</f>
        <v/>
      </c>
      <c r="O195" s="15" t="str">
        <f aca="false">IF(N195="","",IFERROR(N195/L195,""))</f>
        <v/>
      </c>
      <c r="P195" s="37" t="str">
        <f aca="false">IF(N195=0,"",IFERROR(C195/N195,""))</f>
        <v/>
      </c>
      <c r="Q195" s="38" t="str">
        <f aca="false">IF(N195=0,"",IFERROR(IF(C195/N195&lt;=用語集!$B$22,"◎ 許容内","✗ 超過"),"—"))</f>
        <v>—</v>
      </c>
      <c r="R195" s="39" t="str">
        <f aca="false">IFERROR(用語集!$B$22/P195,"")</f>
        <v/>
      </c>
    </row>
    <row r="196" customFormat="false" ht="15" hidden="false" customHeight="false" outlineLevel="0" collapsed="false">
      <c r="A196" s="34" t="s">
        <v>104</v>
      </c>
      <c r="B196" s="35" t="s">
        <v>105</v>
      </c>
      <c r="C196" s="41" t="str">
        <f aca="false">IF(COUNTIFS(日次入力!$A$4:$A$1500,"&gt;="&amp;DATE(2026,9,8),日次入力!$A$4:$A$1500,"&lt;="&amp;DATE(2026,9,14),日次入力!$C$4:$C$1500,"Googleウェビナー")=0,"",SUMIFS(日次入力!$D$4:$D$1500,日次入力!$A$4:$A$1500,"&gt;="&amp;DATE(2026,9,8),日次入力!$A$4:$A$1500,"&lt;="&amp;DATE(2026,9,14),日次入力!$C$4:$C$1500,"Googleウェビナー"))</f>
        <v/>
      </c>
      <c r="D196" s="42" t="str">
        <f aca="false">IF(COUNTIFS(日次入力!$A$4:$A$1500,"&gt;="&amp;DATE(2026,9,8),日次入力!$A$4:$A$1500,"&lt;="&amp;DATE(2026,9,14),日次入力!$C$4:$C$1500,"Googleウェビナー")=0,"",SUMIFS(日次入力!$E$4:$E$1500,日次入力!$A$4:$A$1500,"&gt;="&amp;DATE(2026,9,8),日次入力!$A$4:$A$1500,"&lt;="&amp;DATE(2026,9,14),日次入力!$C$4:$C$1500,"Googleウェビナー"))</f>
        <v/>
      </c>
      <c r="E196" s="42" t="str">
        <f aca="false">IF(COUNTIFS(日次入力!$A$4:$A$1500,"&gt;="&amp;DATE(2026,9,8),日次入力!$A$4:$A$1500,"&lt;="&amp;DATE(2026,9,14),日次入力!$C$4:$C$1500,"Googleウェビナー")=0,"",SUMIFS(日次入力!$F$4:$F$1500,日次入力!$A$4:$A$1500,"&gt;="&amp;DATE(2026,9,8),日次入力!$A$4:$A$1500,"&lt;="&amp;DATE(2026,9,14),日次入力!$C$4:$C$1500,"Googleウェビナー"))</f>
        <v/>
      </c>
      <c r="F196" s="42" t="str">
        <f aca="false">IF(COUNTIFS(日次入力!$A$4:$A$1500,"&gt;="&amp;DATE(2026,9,8),日次入力!$A$4:$A$1500,"&lt;="&amp;DATE(2026,9,14),日次入力!$C$4:$C$1500,"Googleウェビナー")=0,"",SUMIFS(日次入力!$G$4:$G$1500,日次入力!$A$4:$A$1500,"&gt;="&amp;DATE(2026,9,8),日次入力!$A$4:$A$1500,"&lt;="&amp;DATE(2026,9,14),日次入力!$C$4:$C$1500,"Googleウェビナー"))</f>
        <v/>
      </c>
      <c r="G196" s="15" t="str">
        <f aca="false">IFERROR(E196/D196,"")</f>
        <v/>
      </c>
      <c r="H196" s="37" t="str">
        <f aca="false">IFERROR(C196/E196,"")</f>
        <v/>
      </c>
      <c r="I196" s="37" t="str">
        <f aca="false">IFERROR(C196/D196*1000,"")</f>
        <v/>
      </c>
      <c r="J196" s="15" t="str">
        <f aca="false">IFERROR(F196/E196,"")</f>
        <v/>
      </c>
      <c r="K196" s="37" t="str">
        <f aca="false">IFERROR(C196/F196,"")</f>
        <v/>
      </c>
      <c r="L196" s="42" t="str">
        <f aca="false">IF(COUNTIFS(日次入力!$A$4:$A$1500,"&gt;="&amp;DATE(2026,9,8),日次入力!$A$4:$A$1500,"&lt;="&amp;DATE(2026,9,14),日次入力!$C$4:$C$1500,"Googleウェビナー")=0,"",SUMIFS(日次入力!$H$4:$H$1500,日次入力!$A$4:$A$1500,"&gt;="&amp;DATE(2026,9,8),日次入力!$A$4:$A$1500,"&lt;="&amp;DATE(2026,9,14),日次入力!$C$4:$C$1500,"Googleウェビナー"))</f>
        <v/>
      </c>
      <c r="M196" s="15" t="str">
        <f aca="false">IF(L196="","",IFERROR(L196/F196,""))</f>
        <v/>
      </c>
      <c r="N196" s="42" t="str">
        <f aca="false">IF(COUNTIFS(日次入力!$A$4:$A$1500,"&gt;="&amp;DATE(2026,9,8),日次入力!$A$4:$A$1500,"&lt;="&amp;DATE(2026,9,14),日次入力!$C$4:$C$1500,"Googleウェビナー")=0,"",SUMIFS(日次入力!$I$4:$I$1500,日次入力!$A$4:$A$1500,"&gt;="&amp;DATE(2026,9,8),日次入力!$A$4:$A$1500,"&lt;="&amp;DATE(2026,9,14),日次入力!$C$4:$C$1500,"Googleウェビナー"))</f>
        <v/>
      </c>
      <c r="O196" s="15" t="str">
        <f aca="false">IF(N196="","",IFERROR(N196/L196,""))</f>
        <v/>
      </c>
      <c r="P196" s="37" t="str">
        <f aca="false">IF(N196=0,"",IFERROR(C196/N196,""))</f>
        <v/>
      </c>
      <c r="Q196" s="38" t="str">
        <f aca="false">IF(N196=0,"",IFERROR(IF(C196/N196&lt;=用語集!$B$22,"◎ 許容内","✗ 超過"),"—"))</f>
        <v>—</v>
      </c>
      <c r="R196" s="39" t="str">
        <f aca="false">IFERROR(用語集!$B$22/P196,"")</f>
        <v/>
      </c>
    </row>
    <row r="197" customFormat="false" ht="15" hidden="false" customHeight="false" outlineLevel="0" collapsed="false">
      <c r="A197" s="34" t="s">
        <v>106</v>
      </c>
      <c r="B197" s="35" t="s">
        <v>107</v>
      </c>
      <c r="C197" s="41" t="str">
        <f aca="false">IF(COUNTIFS(日次入力!$A$4:$A$1500,"&gt;="&amp;DATE(2026,9,15),日次入力!$A$4:$A$1500,"&lt;="&amp;DATE(2026,9,21),日次入力!$C$4:$C$1500,"Googleウェビナー")=0,"",SUMIFS(日次入力!$D$4:$D$1500,日次入力!$A$4:$A$1500,"&gt;="&amp;DATE(2026,9,15),日次入力!$A$4:$A$1500,"&lt;="&amp;DATE(2026,9,21),日次入力!$C$4:$C$1500,"Googleウェビナー"))</f>
        <v/>
      </c>
      <c r="D197" s="42" t="str">
        <f aca="false">IF(COUNTIFS(日次入力!$A$4:$A$1500,"&gt;="&amp;DATE(2026,9,15),日次入力!$A$4:$A$1500,"&lt;="&amp;DATE(2026,9,21),日次入力!$C$4:$C$1500,"Googleウェビナー")=0,"",SUMIFS(日次入力!$E$4:$E$1500,日次入力!$A$4:$A$1500,"&gt;="&amp;DATE(2026,9,15),日次入力!$A$4:$A$1500,"&lt;="&amp;DATE(2026,9,21),日次入力!$C$4:$C$1500,"Googleウェビナー"))</f>
        <v/>
      </c>
      <c r="E197" s="42" t="str">
        <f aca="false">IF(COUNTIFS(日次入力!$A$4:$A$1500,"&gt;="&amp;DATE(2026,9,15),日次入力!$A$4:$A$1500,"&lt;="&amp;DATE(2026,9,21),日次入力!$C$4:$C$1500,"Googleウェビナー")=0,"",SUMIFS(日次入力!$F$4:$F$1500,日次入力!$A$4:$A$1500,"&gt;="&amp;DATE(2026,9,15),日次入力!$A$4:$A$1500,"&lt;="&amp;DATE(2026,9,21),日次入力!$C$4:$C$1500,"Googleウェビナー"))</f>
        <v/>
      </c>
      <c r="F197" s="42" t="str">
        <f aca="false">IF(COUNTIFS(日次入力!$A$4:$A$1500,"&gt;="&amp;DATE(2026,9,15),日次入力!$A$4:$A$1500,"&lt;="&amp;DATE(2026,9,21),日次入力!$C$4:$C$1500,"Googleウェビナー")=0,"",SUMIFS(日次入力!$G$4:$G$1500,日次入力!$A$4:$A$1500,"&gt;="&amp;DATE(2026,9,15),日次入力!$A$4:$A$1500,"&lt;="&amp;DATE(2026,9,21),日次入力!$C$4:$C$1500,"Googleウェビナー"))</f>
        <v/>
      </c>
      <c r="G197" s="15" t="str">
        <f aca="false">IFERROR(E197/D197,"")</f>
        <v/>
      </c>
      <c r="H197" s="37" t="str">
        <f aca="false">IFERROR(C197/E197,"")</f>
        <v/>
      </c>
      <c r="I197" s="37" t="str">
        <f aca="false">IFERROR(C197/D197*1000,"")</f>
        <v/>
      </c>
      <c r="J197" s="15" t="str">
        <f aca="false">IFERROR(F197/E197,"")</f>
        <v/>
      </c>
      <c r="K197" s="37" t="str">
        <f aca="false">IFERROR(C197/F197,"")</f>
        <v/>
      </c>
      <c r="L197" s="42" t="str">
        <f aca="false">IF(COUNTIFS(日次入力!$A$4:$A$1500,"&gt;="&amp;DATE(2026,9,15),日次入力!$A$4:$A$1500,"&lt;="&amp;DATE(2026,9,21),日次入力!$C$4:$C$1500,"Googleウェビナー")=0,"",SUMIFS(日次入力!$H$4:$H$1500,日次入力!$A$4:$A$1500,"&gt;="&amp;DATE(2026,9,15),日次入力!$A$4:$A$1500,"&lt;="&amp;DATE(2026,9,21),日次入力!$C$4:$C$1500,"Googleウェビナー"))</f>
        <v/>
      </c>
      <c r="M197" s="15" t="str">
        <f aca="false">IF(L197="","",IFERROR(L197/F197,""))</f>
        <v/>
      </c>
      <c r="N197" s="42" t="str">
        <f aca="false">IF(COUNTIFS(日次入力!$A$4:$A$1500,"&gt;="&amp;DATE(2026,9,15),日次入力!$A$4:$A$1500,"&lt;="&amp;DATE(2026,9,21),日次入力!$C$4:$C$1500,"Googleウェビナー")=0,"",SUMIFS(日次入力!$I$4:$I$1500,日次入力!$A$4:$A$1500,"&gt;="&amp;DATE(2026,9,15),日次入力!$A$4:$A$1500,"&lt;="&amp;DATE(2026,9,21),日次入力!$C$4:$C$1500,"Googleウェビナー"))</f>
        <v/>
      </c>
      <c r="O197" s="15" t="str">
        <f aca="false">IF(N197="","",IFERROR(N197/L197,""))</f>
        <v/>
      </c>
      <c r="P197" s="37" t="str">
        <f aca="false">IF(N197=0,"",IFERROR(C197/N197,""))</f>
        <v/>
      </c>
      <c r="Q197" s="38" t="str">
        <f aca="false">IF(N197=0,"",IFERROR(IF(C197/N197&lt;=用語集!$B$22,"◎ 許容内","✗ 超過"),"—"))</f>
        <v>—</v>
      </c>
      <c r="R197" s="39" t="str">
        <f aca="false">IFERROR(用語集!$B$22/P197,"")</f>
        <v/>
      </c>
    </row>
    <row r="198" customFormat="false" ht="15" hidden="false" customHeight="false" outlineLevel="0" collapsed="false">
      <c r="A198" s="34" t="s">
        <v>108</v>
      </c>
      <c r="B198" s="35" t="s">
        <v>109</v>
      </c>
      <c r="C198" s="41" t="str">
        <f aca="false">IF(COUNTIFS(日次入力!$A$4:$A$1500,"&gt;="&amp;DATE(2026,9,22),日次入力!$A$4:$A$1500,"&lt;="&amp;DATE(2026,9,28),日次入力!$C$4:$C$1500,"Googleウェビナー")=0,"",SUMIFS(日次入力!$D$4:$D$1500,日次入力!$A$4:$A$1500,"&gt;="&amp;DATE(2026,9,22),日次入力!$A$4:$A$1500,"&lt;="&amp;DATE(2026,9,28),日次入力!$C$4:$C$1500,"Googleウェビナー"))</f>
        <v/>
      </c>
      <c r="D198" s="42" t="str">
        <f aca="false">IF(COUNTIFS(日次入力!$A$4:$A$1500,"&gt;="&amp;DATE(2026,9,22),日次入力!$A$4:$A$1500,"&lt;="&amp;DATE(2026,9,28),日次入力!$C$4:$C$1500,"Googleウェビナー")=0,"",SUMIFS(日次入力!$E$4:$E$1500,日次入力!$A$4:$A$1500,"&gt;="&amp;DATE(2026,9,22),日次入力!$A$4:$A$1500,"&lt;="&amp;DATE(2026,9,28),日次入力!$C$4:$C$1500,"Googleウェビナー"))</f>
        <v/>
      </c>
      <c r="E198" s="42" t="str">
        <f aca="false">IF(COUNTIFS(日次入力!$A$4:$A$1500,"&gt;="&amp;DATE(2026,9,22),日次入力!$A$4:$A$1500,"&lt;="&amp;DATE(2026,9,28),日次入力!$C$4:$C$1500,"Googleウェビナー")=0,"",SUMIFS(日次入力!$F$4:$F$1500,日次入力!$A$4:$A$1500,"&gt;="&amp;DATE(2026,9,22),日次入力!$A$4:$A$1500,"&lt;="&amp;DATE(2026,9,28),日次入力!$C$4:$C$1500,"Googleウェビナー"))</f>
        <v/>
      </c>
      <c r="F198" s="42" t="str">
        <f aca="false">IF(COUNTIFS(日次入力!$A$4:$A$1500,"&gt;="&amp;DATE(2026,9,22),日次入力!$A$4:$A$1500,"&lt;="&amp;DATE(2026,9,28),日次入力!$C$4:$C$1500,"Googleウェビナー")=0,"",SUMIFS(日次入力!$G$4:$G$1500,日次入力!$A$4:$A$1500,"&gt;="&amp;DATE(2026,9,22),日次入力!$A$4:$A$1500,"&lt;="&amp;DATE(2026,9,28),日次入力!$C$4:$C$1500,"Googleウェビナー"))</f>
        <v/>
      </c>
      <c r="G198" s="15" t="str">
        <f aca="false">IFERROR(E198/D198,"")</f>
        <v/>
      </c>
      <c r="H198" s="37" t="str">
        <f aca="false">IFERROR(C198/E198,"")</f>
        <v/>
      </c>
      <c r="I198" s="37" t="str">
        <f aca="false">IFERROR(C198/D198*1000,"")</f>
        <v/>
      </c>
      <c r="J198" s="15" t="str">
        <f aca="false">IFERROR(F198/E198,"")</f>
        <v/>
      </c>
      <c r="K198" s="37" t="str">
        <f aca="false">IFERROR(C198/F198,"")</f>
        <v/>
      </c>
      <c r="L198" s="42" t="str">
        <f aca="false">IF(COUNTIFS(日次入力!$A$4:$A$1500,"&gt;="&amp;DATE(2026,9,22),日次入力!$A$4:$A$1500,"&lt;="&amp;DATE(2026,9,28),日次入力!$C$4:$C$1500,"Googleウェビナー")=0,"",SUMIFS(日次入力!$H$4:$H$1500,日次入力!$A$4:$A$1500,"&gt;="&amp;DATE(2026,9,22),日次入力!$A$4:$A$1500,"&lt;="&amp;DATE(2026,9,28),日次入力!$C$4:$C$1500,"Googleウェビナー"))</f>
        <v/>
      </c>
      <c r="M198" s="15" t="str">
        <f aca="false">IF(L198="","",IFERROR(L198/F198,""))</f>
        <v/>
      </c>
      <c r="N198" s="42" t="str">
        <f aca="false">IF(COUNTIFS(日次入力!$A$4:$A$1500,"&gt;="&amp;DATE(2026,9,22),日次入力!$A$4:$A$1500,"&lt;="&amp;DATE(2026,9,28),日次入力!$C$4:$C$1500,"Googleウェビナー")=0,"",SUMIFS(日次入力!$I$4:$I$1500,日次入力!$A$4:$A$1500,"&gt;="&amp;DATE(2026,9,22),日次入力!$A$4:$A$1500,"&lt;="&amp;DATE(2026,9,28),日次入力!$C$4:$C$1500,"Googleウェビナー"))</f>
        <v/>
      </c>
      <c r="O198" s="15" t="str">
        <f aca="false">IF(N198="","",IFERROR(N198/L198,""))</f>
        <v/>
      </c>
      <c r="P198" s="37" t="str">
        <f aca="false">IF(N198=0,"",IFERROR(C198/N198,""))</f>
        <v/>
      </c>
      <c r="Q198" s="38" t="str">
        <f aca="false">IF(N198=0,"",IFERROR(IF(C198/N198&lt;=用語集!$B$22,"◎ 許容内","✗ 超過"),"—"))</f>
        <v>—</v>
      </c>
      <c r="R198" s="39" t="str">
        <f aca="false">IFERROR(用語集!$B$22/P198,"")</f>
        <v/>
      </c>
    </row>
    <row r="199" customFormat="false" ht="15" hidden="false" customHeight="false" outlineLevel="0" collapsed="false">
      <c r="A199" s="34" t="s">
        <v>110</v>
      </c>
      <c r="B199" s="35" t="s">
        <v>111</v>
      </c>
      <c r="C199" s="41" t="str">
        <f aca="false">IF(COUNTIFS(日次入力!$A$4:$A$1500,"&gt;="&amp;DATE(2026,9,29),日次入力!$A$4:$A$1500,"&lt;="&amp;DATE(2026,10,5),日次入力!$C$4:$C$1500,"Googleウェビナー")=0,"",SUMIFS(日次入力!$D$4:$D$1500,日次入力!$A$4:$A$1500,"&gt;="&amp;DATE(2026,9,29),日次入力!$A$4:$A$1500,"&lt;="&amp;DATE(2026,10,5),日次入力!$C$4:$C$1500,"Googleウェビナー"))</f>
        <v/>
      </c>
      <c r="D199" s="42" t="str">
        <f aca="false">IF(COUNTIFS(日次入力!$A$4:$A$1500,"&gt;="&amp;DATE(2026,9,29),日次入力!$A$4:$A$1500,"&lt;="&amp;DATE(2026,10,5),日次入力!$C$4:$C$1500,"Googleウェビナー")=0,"",SUMIFS(日次入力!$E$4:$E$1500,日次入力!$A$4:$A$1500,"&gt;="&amp;DATE(2026,9,29),日次入力!$A$4:$A$1500,"&lt;="&amp;DATE(2026,10,5),日次入力!$C$4:$C$1500,"Googleウェビナー"))</f>
        <v/>
      </c>
      <c r="E199" s="42" t="str">
        <f aca="false">IF(COUNTIFS(日次入力!$A$4:$A$1500,"&gt;="&amp;DATE(2026,9,29),日次入力!$A$4:$A$1500,"&lt;="&amp;DATE(2026,10,5),日次入力!$C$4:$C$1500,"Googleウェビナー")=0,"",SUMIFS(日次入力!$F$4:$F$1500,日次入力!$A$4:$A$1500,"&gt;="&amp;DATE(2026,9,29),日次入力!$A$4:$A$1500,"&lt;="&amp;DATE(2026,10,5),日次入力!$C$4:$C$1500,"Googleウェビナー"))</f>
        <v/>
      </c>
      <c r="F199" s="42" t="str">
        <f aca="false">IF(COUNTIFS(日次入力!$A$4:$A$1500,"&gt;="&amp;DATE(2026,9,29),日次入力!$A$4:$A$1500,"&lt;="&amp;DATE(2026,10,5),日次入力!$C$4:$C$1500,"Googleウェビナー")=0,"",SUMIFS(日次入力!$G$4:$G$1500,日次入力!$A$4:$A$1500,"&gt;="&amp;DATE(2026,9,29),日次入力!$A$4:$A$1500,"&lt;="&amp;DATE(2026,10,5),日次入力!$C$4:$C$1500,"Googleウェビナー"))</f>
        <v/>
      </c>
      <c r="G199" s="15" t="str">
        <f aca="false">IFERROR(E199/D199,"")</f>
        <v/>
      </c>
      <c r="H199" s="37" t="str">
        <f aca="false">IFERROR(C199/E199,"")</f>
        <v/>
      </c>
      <c r="I199" s="37" t="str">
        <f aca="false">IFERROR(C199/D199*1000,"")</f>
        <v/>
      </c>
      <c r="J199" s="15" t="str">
        <f aca="false">IFERROR(F199/E199,"")</f>
        <v/>
      </c>
      <c r="K199" s="37" t="str">
        <f aca="false">IFERROR(C199/F199,"")</f>
        <v/>
      </c>
      <c r="L199" s="42" t="str">
        <f aca="false">IF(COUNTIFS(日次入力!$A$4:$A$1500,"&gt;="&amp;DATE(2026,9,29),日次入力!$A$4:$A$1500,"&lt;="&amp;DATE(2026,10,5),日次入力!$C$4:$C$1500,"Googleウェビナー")=0,"",SUMIFS(日次入力!$H$4:$H$1500,日次入力!$A$4:$A$1500,"&gt;="&amp;DATE(2026,9,29),日次入力!$A$4:$A$1500,"&lt;="&amp;DATE(2026,10,5),日次入力!$C$4:$C$1500,"Googleウェビナー"))</f>
        <v/>
      </c>
      <c r="M199" s="15" t="str">
        <f aca="false">IF(L199="","",IFERROR(L199/F199,""))</f>
        <v/>
      </c>
      <c r="N199" s="42" t="str">
        <f aca="false">IF(COUNTIFS(日次入力!$A$4:$A$1500,"&gt;="&amp;DATE(2026,9,29),日次入力!$A$4:$A$1500,"&lt;="&amp;DATE(2026,10,5),日次入力!$C$4:$C$1500,"Googleウェビナー")=0,"",SUMIFS(日次入力!$I$4:$I$1500,日次入力!$A$4:$A$1500,"&gt;="&amp;DATE(2026,9,29),日次入力!$A$4:$A$1500,"&lt;="&amp;DATE(2026,10,5),日次入力!$C$4:$C$1500,"Googleウェビナー"))</f>
        <v/>
      </c>
      <c r="O199" s="15" t="str">
        <f aca="false">IF(N199="","",IFERROR(N199/L199,""))</f>
        <v/>
      </c>
      <c r="P199" s="37" t="str">
        <f aca="false">IF(N199=0,"",IFERROR(C199/N199,""))</f>
        <v/>
      </c>
      <c r="Q199" s="38" t="str">
        <f aca="false">IF(N199=0,"",IFERROR(IF(C199/N199&lt;=用語集!$B$22,"◎ 許容内","✗ 超過"),"—"))</f>
        <v>—</v>
      </c>
      <c r="R199" s="39" t="str">
        <f aca="false">IFERROR(用語集!$B$22/P199,"")</f>
        <v/>
      </c>
    </row>
    <row r="200" customFormat="false" ht="15" hidden="false" customHeight="false" outlineLevel="0" collapsed="false">
      <c r="A200" s="34" t="s">
        <v>112</v>
      </c>
      <c r="B200" s="35" t="s">
        <v>113</v>
      </c>
      <c r="C200" s="41" t="str">
        <f aca="false">IF(COUNTIFS(日次入力!$A$4:$A$1500,"&gt;="&amp;DATE(2026,10,6),日次入力!$A$4:$A$1500,"&lt;="&amp;DATE(2026,10,12),日次入力!$C$4:$C$1500,"Googleウェビナー")=0,"",SUMIFS(日次入力!$D$4:$D$1500,日次入力!$A$4:$A$1500,"&gt;="&amp;DATE(2026,10,6),日次入力!$A$4:$A$1500,"&lt;="&amp;DATE(2026,10,12),日次入力!$C$4:$C$1500,"Googleウェビナー"))</f>
        <v/>
      </c>
      <c r="D200" s="42" t="str">
        <f aca="false">IF(COUNTIFS(日次入力!$A$4:$A$1500,"&gt;="&amp;DATE(2026,10,6),日次入力!$A$4:$A$1500,"&lt;="&amp;DATE(2026,10,12),日次入力!$C$4:$C$1500,"Googleウェビナー")=0,"",SUMIFS(日次入力!$E$4:$E$1500,日次入力!$A$4:$A$1500,"&gt;="&amp;DATE(2026,10,6),日次入力!$A$4:$A$1500,"&lt;="&amp;DATE(2026,10,12),日次入力!$C$4:$C$1500,"Googleウェビナー"))</f>
        <v/>
      </c>
      <c r="E200" s="42" t="str">
        <f aca="false">IF(COUNTIFS(日次入力!$A$4:$A$1500,"&gt;="&amp;DATE(2026,10,6),日次入力!$A$4:$A$1500,"&lt;="&amp;DATE(2026,10,12),日次入力!$C$4:$C$1500,"Googleウェビナー")=0,"",SUMIFS(日次入力!$F$4:$F$1500,日次入力!$A$4:$A$1500,"&gt;="&amp;DATE(2026,10,6),日次入力!$A$4:$A$1500,"&lt;="&amp;DATE(2026,10,12),日次入力!$C$4:$C$1500,"Googleウェビナー"))</f>
        <v/>
      </c>
      <c r="F200" s="42" t="str">
        <f aca="false">IF(COUNTIFS(日次入力!$A$4:$A$1500,"&gt;="&amp;DATE(2026,10,6),日次入力!$A$4:$A$1500,"&lt;="&amp;DATE(2026,10,12),日次入力!$C$4:$C$1500,"Googleウェビナー")=0,"",SUMIFS(日次入力!$G$4:$G$1500,日次入力!$A$4:$A$1500,"&gt;="&amp;DATE(2026,10,6),日次入力!$A$4:$A$1500,"&lt;="&amp;DATE(2026,10,12),日次入力!$C$4:$C$1500,"Googleウェビナー"))</f>
        <v/>
      </c>
      <c r="G200" s="15" t="str">
        <f aca="false">IFERROR(E200/D200,"")</f>
        <v/>
      </c>
      <c r="H200" s="37" t="str">
        <f aca="false">IFERROR(C200/E200,"")</f>
        <v/>
      </c>
      <c r="I200" s="37" t="str">
        <f aca="false">IFERROR(C200/D200*1000,"")</f>
        <v/>
      </c>
      <c r="J200" s="15" t="str">
        <f aca="false">IFERROR(F200/E200,"")</f>
        <v/>
      </c>
      <c r="K200" s="37" t="str">
        <f aca="false">IFERROR(C200/F200,"")</f>
        <v/>
      </c>
      <c r="L200" s="42" t="str">
        <f aca="false">IF(COUNTIFS(日次入力!$A$4:$A$1500,"&gt;="&amp;DATE(2026,10,6),日次入力!$A$4:$A$1500,"&lt;="&amp;DATE(2026,10,12),日次入力!$C$4:$C$1500,"Googleウェビナー")=0,"",SUMIFS(日次入力!$H$4:$H$1500,日次入力!$A$4:$A$1500,"&gt;="&amp;DATE(2026,10,6),日次入力!$A$4:$A$1500,"&lt;="&amp;DATE(2026,10,12),日次入力!$C$4:$C$1500,"Googleウェビナー"))</f>
        <v/>
      </c>
      <c r="M200" s="15" t="str">
        <f aca="false">IF(L200="","",IFERROR(L200/F200,""))</f>
        <v/>
      </c>
      <c r="N200" s="42" t="str">
        <f aca="false">IF(COUNTIFS(日次入力!$A$4:$A$1500,"&gt;="&amp;DATE(2026,10,6),日次入力!$A$4:$A$1500,"&lt;="&amp;DATE(2026,10,12),日次入力!$C$4:$C$1500,"Googleウェビナー")=0,"",SUMIFS(日次入力!$I$4:$I$1500,日次入力!$A$4:$A$1500,"&gt;="&amp;DATE(2026,10,6),日次入力!$A$4:$A$1500,"&lt;="&amp;DATE(2026,10,12),日次入力!$C$4:$C$1500,"Googleウェビナー"))</f>
        <v/>
      </c>
      <c r="O200" s="15" t="str">
        <f aca="false">IF(N200="","",IFERROR(N200/L200,""))</f>
        <v/>
      </c>
      <c r="P200" s="37" t="str">
        <f aca="false">IF(N200=0,"",IFERROR(C200/N200,""))</f>
        <v/>
      </c>
      <c r="Q200" s="38" t="str">
        <f aca="false">IF(N200=0,"",IFERROR(IF(C200/N200&lt;=用語集!$B$22,"◎ 許容内","✗ 超過"),"—"))</f>
        <v>—</v>
      </c>
      <c r="R200" s="39" t="str">
        <f aca="false">IFERROR(用語集!$B$22/P200,"")</f>
        <v/>
      </c>
    </row>
    <row r="201" customFormat="false" ht="15" hidden="false" customHeight="false" outlineLevel="0" collapsed="false">
      <c r="A201" s="34" t="s">
        <v>114</v>
      </c>
      <c r="B201" s="35" t="s">
        <v>115</v>
      </c>
      <c r="C201" s="41" t="str">
        <f aca="false">IF(COUNTIFS(日次入力!$A$4:$A$1500,"&gt;="&amp;DATE(2026,10,13),日次入力!$A$4:$A$1500,"&lt;="&amp;DATE(2026,10,19),日次入力!$C$4:$C$1500,"Googleウェビナー")=0,"",SUMIFS(日次入力!$D$4:$D$1500,日次入力!$A$4:$A$1500,"&gt;="&amp;DATE(2026,10,13),日次入力!$A$4:$A$1500,"&lt;="&amp;DATE(2026,10,19),日次入力!$C$4:$C$1500,"Googleウェビナー"))</f>
        <v/>
      </c>
      <c r="D201" s="42" t="str">
        <f aca="false">IF(COUNTIFS(日次入力!$A$4:$A$1500,"&gt;="&amp;DATE(2026,10,13),日次入力!$A$4:$A$1500,"&lt;="&amp;DATE(2026,10,19),日次入力!$C$4:$C$1500,"Googleウェビナー")=0,"",SUMIFS(日次入力!$E$4:$E$1500,日次入力!$A$4:$A$1500,"&gt;="&amp;DATE(2026,10,13),日次入力!$A$4:$A$1500,"&lt;="&amp;DATE(2026,10,19),日次入力!$C$4:$C$1500,"Googleウェビナー"))</f>
        <v/>
      </c>
      <c r="E201" s="42" t="str">
        <f aca="false">IF(COUNTIFS(日次入力!$A$4:$A$1500,"&gt;="&amp;DATE(2026,10,13),日次入力!$A$4:$A$1500,"&lt;="&amp;DATE(2026,10,19),日次入力!$C$4:$C$1500,"Googleウェビナー")=0,"",SUMIFS(日次入力!$F$4:$F$1500,日次入力!$A$4:$A$1500,"&gt;="&amp;DATE(2026,10,13),日次入力!$A$4:$A$1500,"&lt;="&amp;DATE(2026,10,19),日次入力!$C$4:$C$1500,"Googleウェビナー"))</f>
        <v/>
      </c>
      <c r="F201" s="42" t="str">
        <f aca="false">IF(COUNTIFS(日次入力!$A$4:$A$1500,"&gt;="&amp;DATE(2026,10,13),日次入力!$A$4:$A$1500,"&lt;="&amp;DATE(2026,10,19),日次入力!$C$4:$C$1500,"Googleウェビナー")=0,"",SUMIFS(日次入力!$G$4:$G$1500,日次入力!$A$4:$A$1500,"&gt;="&amp;DATE(2026,10,13),日次入力!$A$4:$A$1500,"&lt;="&amp;DATE(2026,10,19),日次入力!$C$4:$C$1500,"Googleウェビナー"))</f>
        <v/>
      </c>
      <c r="G201" s="15" t="str">
        <f aca="false">IFERROR(E201/D201,"")</f>
        <v/>
      </c>
      <c r="H201" s="37" t="str">
        <f aca="false">IFERROR(C201/E201,"")</f>
        <v/>
      </c>
      <c r="I201" s="37" t="str">
        <f aca="false">IFERROR(C201/D201*1000,"")</f>
        <v/>
      </c>
      <c r="J201" s="15" t="str">
        <f aca="false">IFERROR(F201/E201,"")</f>
        <v/>
      </c>
      <c r="K201" s="37" t="str">
        <f aca="false">IFERROR(C201/F201,"")</f>
        <v/>
      </c>
      <c r="L201" s="42" t="str">
        <f aca="false">IF(COUNTIFS(日次入力!$A$4:$A$1500,"&gt;="&amp;DATE(2026,10,13),日次入力!$A$4:$A$1500,"&lt;="&amp;DATE(2026,10,19),日次入力!$C$4:$C$1500,"Googleウェビナー")=0,"",SUMIFS(日次入力!$H$4:$H$1500,日次入力!$A$4:$A$1500,"&gt;="&amp;DATE(2026,10,13),日次入力!$A$4:$A$1500,"&lt;="&amp;DATE(2026,10,19),日次入力!$C$4:$C$1500,"Googleウェビナー"))</f>
        <v/>
      </c>
      <c r="M201" s="15" t="str">
        <f aca="false">IF(L201="","",IFERROR(L201/F201,""))</f>
        <v/>
      </c>
      <c r="N201" s="42" t="str">
        <f aca="false">IF(COUNTIFS(日次入力!$A$4:$A$1500,"&gt;="&amp;DATE(2026,10,13),日次入力!$A$4:$A$1500,"&lt;="&amp;DATE(2026,10,19),日次入力!$C$4:$C$1500,"Googleウェビナー")=0,"",SUMIFS(日次入力!$I$4:$I$1500,日次入力!$A$4:$A$1500,"&gt;="&amp;DATE(2026,10,13),日次入力!$A$4:$A$1500,"&lt;="&amp;DATE(2026,10,19),日次入力!$C$4:$C$1500,"Googleウェビナー"))</f>
        <v/>
      </c>
      <c r="O201" s="15" t="str">
        <f aca="false">IF(N201="","",IFERROR(N201/L201,""))</f>
        <v/>
      </c>
      <c r="P201" s="37" t="str">
        <f aca="false">IF(N201=0,"",IFERROR(C201/N201,""))</f>
        <v/>
      </c>
      <c r="Q201" s="38" t="str">
        <f aca="false">IF(N201=0,"",IFERROR(IF(C201/N201&lt;=用語集!$B$22,"◎ 許容内","✗ 超過"),"—"))</f>
        <v>—</v>
      </c>
      <c r="R201" s="39" t="str">
        <f aca="false">IFERROR(用語集!$B$22/P201,"")</f>
        <v/>
      </c>
    </row>
    <row r="202" customFormat="false" ht="15" hidden="false" customHeight="false" outlineLevel="0" collapsed="false">
      <c r="A202" s="34" t="s">
        <v>116</v>
      </c>
      <c r="B202" s="35" t="s">
        <v>117</v>
      </c>
      <c r="C202" s="41" t="str">
        <f aca="false">IF(COUNTIFS(日次入力!$A$4:$A$1500,"&gt;="&amp;DATE(2026,10,20),日次入力!$A$4:$A$1500,"&lt;="&amp;DATE(2026,10,26),日次入力!$C$4:$C$1500,"Googleウェビナー")=0,"",SUMIFS(日次入力!$D$4:$D$1500,日次入力!$A$4:$A$1500,"&gt;="&amp;DATE(2026,10,20),日次入力!$A$4:$A$1500,"&lt;="&amp;DATE(2026,10,26),日次入力!$C$4:$C$1500,"Googleウェビナー"))</f>
        <v/>
      </c>
      <c r="D202" s="42" t="str">
        <f aca="false">IF(COUNTIFS(日次入力!$A$4:$A$1500,"&gt;="&amp;DATE(2026,10,20),日次入力!$A$4:$A$1500,"&lt;="&amp;DATE(2026,10,26),日次入力!$C$4:$C$1500,"Googleウェビナー")=0,"",SUMIFS(日次入力!$E$4:$E$1500,日次入力!$A$4:$A$1500,"&gt;="&amp;DATE(2026,10,20),日次入力!$A$4:$A$1500,"&lt;="&amp;DATE(2026,10,26),日次入力!$C$4:$C$1500,"Googleウェビナー"))</f>
        <v/>
      </c>
      <c r="E202" s="42" t="str">
        <f aca="false">IF(COUNTIFS(日次入力!$A$4:$A$1500,"&gt;="&amp;DATE(2026,10,20),日次入力!$A$4:$A$1500,"&lt;="&amp;DATE(2026,10,26),日次入力!$C$4:$C$1500,"Googleウェビナー")=0,"",SUMIFS(日次入力!$F$4:$F$1500,日次入力!$A$4:$A$1500,"&gt;="&amp;DATE(2026,10,20),日次入力!$A$4:$A$1500,"&lt;="&amp;DATE(2026,10,26),日次入力!$C$4:$C$1500,"Googleウェビナー"))</f>
        <v/>
      </c>
      <c r="F202" s="42" t="str">
        <f aca="false">IF(COUNTIFS(日次入力!$A$4:$A$1500,"&gt;="&amp;DATE(2026,10,20),日次入力!$A$4:$A$1500,"&lt;="&amp;DATE(2026,10,26),日次入力!$C$4:$C$1500,"Googleウェビナー")=0,"",SUMIFS(日次入力!$G$4:$G$1500,日次入力!$A$4:$A$1500,"&gt;="&amp;DATE(2026,10,20),日次入力!$A$4:$A$1500,"&lt;="&amp;DATE(2026,10,26),日次入力!$C$4:$C$1500,"Googleウェビナー"))</f>
        <v/>
      </c>
      <c r="G202" s="15" t="str">
        <f aca="false">IFERROR(E202/D202,"")</f>
        <v/>
      </c>
      <c r="H202" s="37" t="str">
        <f aca="false">IFERROR(C202/E202,"")</f>
        <v/>
      </c>
      <c r="I202" s="37" t="str">
        <f aca="false">IFERROR(C202/D202*1000,"")</f>
        <v/>
      </c>
      <c r="J202" s="15" t="str">
        <f aca="false">IFERROR(F202/E202,"")</f>
        <v/>
      </c>
      <c r="K202" s="37" t="str">
        <f aca="false">IFERROR(C202/F202,"")</f>
        <v/>
      </c>
      <c r="L202" s="42" t="str">
        <f aca="false">IF(COUNTIFS(日次入力!$A$4:$A$1500,"&gt;="&amp;DATE(2026,10,20),日次入力!$A$4:$A$1500,"&lt;="&amp;DATE(2026,10,26),日次入力!$C$4:$C$1500,"Googleウェビナー")=0,"",SUMIFS(日次入力!$H$4:$H$1500,日次入力!$A$4:$A$1500,"&gt;="&amp;DATE(2026,10,20),日次入力!$A$4:$A$1500,"&lt;="&amp;DATE(2026,10,26),日次入力!$C$4:$C$1500,"Googleウェビナー"))</f>
        <v/>
      </c>
      <c r="M202" s="15" t="str">
        <f aca="false">IF(L202="","",IFERROR(L202/F202,""))</f>
        <v/>
      </c>
      <c r="N202" s="42" t="str">
        <f aca="false">IF(COUNTIFS(日次入力!$A$4:$A$1500,"&gt;="&amp;DATE(2026,10,20),日次入力!$A$4:$A$1500,"&lt;="&amp;DATE(2026,10,26),日次入力!$C$4:$C$1500,"Googleウェビナー")=0,"",SUMIFS(日次入力!$I$4:$I$1500,日次入力!$A$4:$A$1500,"&gt;="&amp;DATE(2026,10,20),日次入力!$A$4:$A$1500,"&lt;="&amp;DATE(2026,10,26),日次入力!$C$4:$C$1500,"Googleウェビナー"))</f>
        <v/>
      </c>
      <c r="O202" s="15" t="str">
        <f aca="false">IF(N202="","",IFERROR(N202/L202,""))</f>
        <v/>
      </c>
      <c r="P202" s="37" t="str">
        <f aca="false">IF(N202=0,"",IFERROR(C202/N202,""))</f>
        <v/>
      </c>
      <c r="Q202" s="38" t="str">
        <f aca="false">IF(N202=0,"",IFERROR(IF(C202/N202&lt;=用語集!$B$22,"◎ 許容内","✗ 超過"),"—"))</f>
        <v>—</v>
      </c>
      <c r="R202" s="39" t="str">
        <f aca="false">IFERROR(用語集!$B$22/P202,"")</f>
        <v/>
      </c>
    </row>
    <row r="203" customFormat="false" ht="15" hidden="false" customHeight="false" outlineLevel="0" collapsed="false">
      <c r="A203" s="34" t="s">
        <v>118</v>
      </c>
      <c r="B203" s="35" t="s">
        <v>119</v>
      </c>
      <c r="C203" s="41" t="str">
        <f aca="false">IF(COUNTIFS(日次入力!$A$4:$A$1500,"&gt;="&amp;DATE(2026,10,27),日次入力!$A$4:$A$1500,"&lt;="&amp;DATE(2026,11,2),日次入力!$C$4:$C$1500,"Googleウェビナー")=0,"",SUMIFS(日次入力!$D$4:$D$1500,日次入力!$A$4:$A$1500,"&gt;="&amp;DATE(2026,10,27),日次入力!$A$4:$A$1500,"&lt;="&amp;DATE(2026,11,2),日次入力!$C$4:$C$1500,"Googleウェビナー"))</f>
        <v/>
      </c>
      <c r="D203" s="42" t="str">
        <f aca="false">IF(COUNTIFS(日次入力!$A$4:$A$1500,"&gt;="&amp;DATE(2026,10,27),日次入力!$A$4:$A$1500,"&lt;="&amp;DATE(2026,11,2),日次入力!$C$4:$C$1500,"Googleウェビナー")=0,"",SUMIFS(日次入力!$E$4:$E$1500,日次入力!$A$4:$A$1500,"&gt;="&amp;DATE(2026,10,27),日次入力!$A$4:$A$1500,"&lt;="&amp;DATE(2026,11,2),日次入力!$C$4:$C$1500,"Googleウェビナー"))</f>
        <v/>
      </c>
      <c r="E203" s="42" t="str">
        <f aca="false">IF(COUNTIFS(日次入力!$A$4:$A$1500,"&gt;="&amp;DATE(2026,10,27),日次入力!$A$4:$A$1500,"&lt;="&amp;DATE(2026,11,2),日次入力!$C$4:$C$1500,"Googleウェビナー")=0,"",SUMIFS(日次入力!$F$4:$F$1500,日次入力!$A$4:$A$1500,"&gt;="&amp;DATE(2026,10,27),日次入力!$A$4:$A$1500,"&lt;="&amp;DATE(2026,11,2),日次入力!$C$4:$C$1500,"Googleウェビナー"))</f>
        <v/>
      </c>
      <c r="F203" s="42" t="str">
        <f aca="false">IF(COUNTIFS(日次入力!$A$4:$A$1500,"&gt;="&amp;DATE(2026,10,27),日次入力!$A$4:$A$1500,"&lt;="&amp;DATE(2026,11,2),日次入力!$C$4:$C$1500,"Googleウェビナー")=0,"",SUMIFS(日次入力!$G$4:$G$1500,日次入力!$A$4:$A$1500,"&gt;="&amp;DATE(2026,10,27),日次入力!$A$4:$A$1500,"&lt;="&amp;DATE(2026,11,2),日次入力!$C$4:$C$1500,"Googleウェビナー"))</f>
        <v/>
      </c>
      <c r="G203" s="15" t="str">
        <f aca="false">IFERROR(E203/D203,"")</f>
        <v/>
      </c>
      <c r="H203" s="37" t="str">
        <f aca="false">IFERROR(C203/E203,"")</f>
        <v/>
      </c>
      <c r="I203" s="37" t="str">
        <f aca="false">IFERROR(C203/D203*1000,"")</f>
        <v/>
      </c>
      <c r="J203" s="15" t="str">
        <f aca="false">IFERROR(F203/E203,"")</f>
        <v/>
      </c>
      <c r="K203" s="37" t="str">
        <f aca="false">IFERROR(C203/F203,"")</f>
        <v/>
      </c>
      <c r="L203" s="42" t="str">
        <f aca="false">IF(COUNTIFS(日次入力!$A$4:$A$1500,"&gt;="&amp;DATE(2026,10,27),日次入力!$A$4:$A$1500,"&lt;="&amp;DATE(2026,11,2),日次入力!$C$4:$C$1500,"Googleウェビナー")=0,"",SUMIFS(日次入力!$H$4:$H$1500,日次入力!$A$4:$A$1500,"&gt;="&amp;DATE(2026,10,27),日次入力!$A$4:$A$1500,"&lt;="&amp;DATE(2026,11,2),日次入力!$C$4:$C$1500,"Googleウェビナー"))</f>
        <v/>
      </c>
      <c r="M203" s="15" t="str">
        <f aca="false">IF(L203="","",IFERROR(L203/F203,""))</f>
        <v/>
      </c>
      <c r="N203" s="42" t="str">
        <f aca="false">IF(COUNTIFS(日次入力!$A$4:$A$1500,"&gt;="&amp;DATE(2026,10,27),日次入力!$A$4:$A$1500,"&lt;="&amp;DATE(2026,11,2),日次入力!$C$4:$C$1500,"Googleウェビナー")=0,"",SUMIFS(日次入力!$I$4:$I$1500,日次入力!$A$4:$A$1500,"&gt;="&amp;DATE(2026,10,27),日次入力!$A$4:$A$1500,"&lt;="&amp;DATE(2026,11,2),日次入力!$C$4:$C$1500,"Googleウェビナー"))</f>
        <v/>
      </c>
      <c r="O203" s="15" t="str">
        <f aca="false">IF(N203="","",IFERROR(N203/L203,""))</f>
        <v/>
      </c>
      <c r="P203" s="37" t="str">
        <f aca="false">IF(N203=0,"",IFERROR(C203/N203,""))</f>
        <v/>
      </c>
      <c r="Q203" s="38" t="str">
        <f aca="false">IF(N203=0,"",IFERROR(IF(C203/N203&lt;=用語集!$B$22,"◎ 許容内","✗ 超過"),"—"))</f>
        <v>—</v>
      </c>
      <c r="R203" s="39" t="str">
        <f aca="false">IFERROR(用語集!$B$22/P203,"")</f>
        <v/>
      </c>
    </row>
    <row r="204" customFormat="false" ht="15" hidden="false" customHeight="false" outlineLevel="0" collapsed="false">
      <c r="A204" s="34" t="s">
        <v>120</v>
      </c>
      <c r="B204" s="35" t="s">
        <v>121</v>
      </c>
      <c r="C204" s="41" t="str">
        <f aca="false">IF(COUNTIFS(日次入力!$A$4:$A$1500,"&gt;="&amp;DATE(2026,11,3),日次入力!$A$4:$A$1500,"&lt;="&amp;DATE(2026,11,9),日次入力!$C$4:$C$1500,"Googleウェビナー")=0,"",SUMIFS(日次入力!$D$4:$D$1500,日次入力!$A$4:$A$1500,"&gt;="&amp;DATE(2026,11,3),日次入力!$A$4:$A$1500,"&lt;="&amp;DATE(2026,11,9),日次入力!$C$4:$C$1500,"Googleウェビナー"))</f>
        <v/>
      </c>
      <c r="D204" s="42" t="str">
        <f aca="false">IF(COUNTIFS(日次入力!$A$4:$A$1500,"&gt;="&amp;DATE(2026,11,3),日次入力!$A$4:$A$1500,"&lt;="&amp;DATE(2026,11,9),日次入力!$C$4:$C$1500,"Googleウェビナー")=0,"",SUMIFS(日次入力!$E$4:$E$1500,日次入力!$A$4:$A$1500,"&gt;="&amp;DATE(2026,11,3),日次入力!$A$4:$A$1500,"&lt;="&amp;DATE(2026,11,9),日次入力!$C$4:$C$1500,"Googleウェビナー"))</f>
        <v/>
      </c>
      <c r="E204" s="42" t="str">
        <f aca="false">IF(COUNTIFS(日次入力!$A$4:$A$1500,"&gt;="&amp;DATE(2026,11,3),日次入力!$A$4:$A$1500,"&lt;="&amp;DATE(2026,11,9),日次入力!$C$4:$C$1500,"Googleウェビナー")=0,"",SUMIFS(日次入力!$F$4:$F$1500,日次入力!$A$4:$A$1500,"&gt;="&amp;DATE(2026,11,3),日次入力!$A$4:$A$1500,"&lt;="&amp;DATE(2026,11,9),日次入力!$C$4:$C$1500,"Googleウェビナー"))</f>
        <v/>
      </c>
      <c r="F204" s="42" t="str">
        <f aca="false">IF(COUNTIFS(日次入力!$A$4:$A$1500,"&gt;="&amp;DATE(2026,11,3),日次入力!$A$4:$A$1500,"&lt;="&amp;DATE(2026,11,9),日次入力!$C$4:$C$1500,"Googleウェビナー")=0,"",SUMIFS(日次入力!$G$4:$G$1500,日次入力!$A$4:$A$1500,"&gt;="&amp;DATE(2026,11,3),日次入力!$A$4:$A$1500,"&lt;="&amp;DATE(2026,11,9),日次入力!$C$4:$C$1500,"Googleウェビナー"))</f>
        <v/>
      </c>
      <c r="G204" s="15" t="str">
        <f aca="false">IFERROR(E204/D204,"")</f>
        <v/>
      </c>
      <c r="H204" s="37" t="str">
        <f aca="false">IFERROR(C204/E204,"")</f>
        <v/>
      </c>
      <c r="I204" s="37" t="str">
        <f aca="false">IFERROR(C204/D204*1000,"")</f>
        <v/>
      </c>
      <c r="J204" s="15" t="str">
        <f aca="false">IFERROR(F204/E204,"")</f>
        <v/>
      </c>
      <c r="K204" s="37" t="str">
        <f aca="false">IFERROR(C204/F204,"")</f>
        <v/>
      </c>
      <c r="L204" s="42" t="str">
        <f aca="false">IF(COUNTIFS(日次入力!$A$4:$A$1500,"&gt;="&amp;DATE(2026,11,3),日次入力!$A$4:$A$1500,"&lt;="&amp;DATE(2026,11,9),日次入力!$C$4:$C$1500,"Googleウェビナー")=0,"",SUMIFS(日次入力!$H$4:$H$1500,日次入力!$A$4:$A$1500,"&gt;="&amp;DATE(2026,11,3),日次入力!$A$4:$A$1500,"&lt;="&amp;DATE(2026,11,9),日次入力!$C$4:$C$1500,"Googleウェビナー"))</f>
        <v/>
      </c>
      <c r="M204" s="15" t="str">
        <f aca="false">IF(L204="","",IFERROR(L204/F204,""))</f>
        <v/>
      </c>
      <c r="N204" s="42" t="str">
        <f aca="false">IF(COUNTIFS(日次入力!$A$4:$A$1500,"&gt;="&amp;DATE(2026,11,3),日次入力!$A$4:$A$1500,"&lt;="&amp;DATE(2026,11,9),日次入力!$C$4:$C$1500,"Googleウェビナー")=0,"",SUMIFS(日次入力!$I$4:$I$1500,日次入力!$A$4:$A$1500,"&gt;="&amp;DATE(2026,11,3),日次入力!$A$4:$A$1500,"&lt;="&amp;DATE(2026,11,9),日次入力!$C$4:$C$1500,"Googleウェビナー"))</f>
        <v/>
      </c>
      <c r="O204" s="15" t="str">
        <f aca="false">IF(N204="","",IFERROR(N204/L204,""))</f>
        <v/>
      </c>
      <c r="P204" s="37" t="str">
        <f aca="false">IF(N204=0,"",IFERROR(C204/N204,""))</f>
        <v/>
      </c>
      <c r="Q204" s="38" t="str">
        <f aca="false">IF(N204=0,"",IFERROR(IF(C204/N204&lt;=用語集!$B$22,"◎ 許容内","✗ 超過"),"—"))</f>
        <v>—</v>
      </c>
      <c r="R204" s="39" t="str">
        <f aca="false">IFERROR(用語集!$B$22/P204,"")</f>
        <v/>
      </c>
    </row>
    <row r="205" customFormat="false" ht="15" hidden="false" customHeight="false" outlineLevel="0" collapsed="false">
      <c r="A205" s="34" t="s">
        <v>122</v>
      </c>
      <c r="B205" s="35" t="s">
        <v>123</v>
      </c>
      <c r="C205" s="41" t="str">
        <f aca="false">IF(COUNTIFS(日次入力!$A$4:$A$1500,"&gt;="&amp;DATE(2026,11,10),日次入力!$A$4:$A$1500,"&lt;="&amp;DATE(2026,11,16),日次入力!$C$4:$C$1500,"Googleウェビナー")=0,"",SUMIFS(日次入力!$D$4:$D$1500,日次入力!$A$4:$A$1500,"&gt;="&amp;DATE(2026,11,10),日次入力!$A$4:$A$1500,"&lt;="&amp;DATE(2026,11,16),日次入力!$C$4:$C$1500,"Googleウェビナー"))</f>
        <v/>
      </c>
      <c r="D205" s="42" t="str">
        <f aca="false">IF(COUNTIFS(日次入力!$A$4:$A$1500,"&gt;="&amp;DATE(2026,11,10),日次入力!$A$4:$A$1500,"&lt;="&amp;DATE(2026,11,16),日次入力!$C$4:$C$1500,"Googleウェビナー")=0,"",SUMIFS(日次入力!$E$4:$E$1500,日次入力!$A$4:$A$1500,"&gt;="&amp;DATE(2026,11,10),日次入力!$A$4:$A$1500,"&lt;="&amp;DATE(2026,11,16),日次入力!$C$4:$C$1500,"Googleウェビナー"))</f>
        <v/>
      </c>
      <c r="E205" s="42" t="str">
        <f aca="false">IF(COUNTIFS(日次入力!$A$4:$A$1500,"&gt;="&amp;DATE(2026,11,10),日次入力!$A$4:$A$1500,"&lt;="&amp;DATE(2026,11,16),日次入力!$C$4:$C$1500,"Googleウェビナー")=0,"",SUMIFS(日次入力!$F$4:$F$1500,日次入力!$A$4:$A$1500,"&gt;="&amp;DATE(2026,11,10),日次入力!$A$4:$A$1500,"&lt;="&amp;DATE(2026,11,16),日次入力!$C$4:$C$1500,"Googleウェビナー"))</f>
        <v/>
      </c>
      <c r="F205" s="42" t="str">
        <f aca="false">IF(COUNTIFS(日次入力!$A$4:$A$1500,"&gt;="&amp;DATE(2026,11,10),日次入力!$A$4:$A$1500,"&lt;="&amp;DATE(2026,11,16),日次入力!$C$4:$C$1500,"Googleウェビナー")=0,"",SUMIFS(日次入力!$G$4:$G$1500,日次入力!$A$4:$A$1500,"&gt;="&amp;DATE(2026,11,10),日次入力!$A$4:$A$1500,"&lt;="&amp;DATE(2026,11,16),日次入力!$C$4:$C$1500,"Googleウェビナー"))</f>
        <v/>
      </c>
      <c r="G205" s="15" t="str">
        <f aca="false">IFERROR(E205/D205,"")</f>
        <v/>
      </c>
      <c r="H205" s="37" t="str">
        <f aca="false">IFERROR(C205/E205,"")</f>
        <v/>
      </c>
      <c r="I205" s="37" t="str">
        <f aca="false">IFERROR(C205/D205*1000,"")</f>
        <v/>
      </c>
      <c r="J205" s="15" t="str">
        <f aca="false">IFERROR(F205/E205,"")</f>
        <v/>
      </c>
      <c r="K205" s="37" t="str">
        <f aca="false">IFERROR(C205/F205,"")</f>
        <v/>
      </c>
      <c r="L205" s="42" t="str">
        <f aca="false">IF(COUNTIFS(日次入力!$A$4:$A$1500,"&gt;="&amp;DATE(2026,11,10),日次入力!$A$4:$A$1500,"&lt;="&amp;DATE(2026,11,16),日次入力!$C$4:$C$1500,"Googleウェビナー")=0,"",SUMIFS(日次入力!$H$4:$H$1500,日次入力!$A$4:$A$1500,"&gt;="&amp;DATE(2026,11,10),日次入力!$A$4:$A$1500,"&lt;="&amp;DATE(2026,11,16),日次入力!$C$4:$C$1500,"Googleウェビナー"))</f>
        <v/>
      </c>
      <c r="M205" s="15" t="str">
        <f aca="false">IF(L205="","",IFERROR(L205/F205,""))</f>
        <v/>
      </c>
      <c r="N205" s="42" t="str">
        <f aca="false">IF(COUNTIFS(日次入力!$A$4:$A$1500,"&gt;="&amp;DATE(2026,11,10),日次入力!$A$4:$A$1500,"&lt;="&amp;DATE(2026,11,16),日次入力!$C$4:$C$1500,"Googleウェビナー")=0,"",SUMIFS(日次入力!$I$4:$I$1500,日次入力!$A$4:$A$1500,"&gt;="&amp;DATE(2026,11,10),日次入力!$A$4:$A$1500,"&lt;="&amp;DATE(2026,11,16),日次入力!$C$4:$C$1500,"Googleウェビナー"))</f>
        <v/>
      </c>
      <c r="O205" s="15" t="str">
        <f aca="false">IF(N205="","",IFERROR(N205/L205,""))</f>
        <v/>
      </c>
      <c r="P205" s="37" t="str">
        <f aca="false">IF(N205=0,"",IFERROR(C205/N205,""))</f>
        <v/>
      </c>
      <c r="Q205" s="38" t="str">
        <f aca="false">IF(N205=0,"",IFERROR(IF(C205/N205&lt;=用語集!$B$22,"◎ 許容内","✗ 超過"),"—"))</f>
        <v>—</v>
      </c>
      <c r="R205" s="39" t="str">
        <f aca="false">IFERROR(用語集!$B$22/P205,"")</f>
        <v/>
      </c>
    </row>
    <row r="206" customFormat="false" ht="15" hidden="false" customHeight="false" outlineLevel="0" collapsed="false">
      <c r="A206" s="34" t="s">
        <v>124</v>
      </c>
      <c r="B206" s="35" t="s">
        <v>125</v>
      </c>
      <c r="C206" s="41" t="str">
        <f aca="false">IF(COUNTIFS(日次入力!$A$4:$A$1500,"&gt;="&amp;DATE(2026,11,17),日次入力!$A$4:$A$1500,"&lt;="&amp;DATE(2026,11,23),日次入力!$C$4:$C$1500,"Googleウェビナー")=0,"",SUMIFS(日次入力!$D$4:$D$1500,日次入力!$A$4:$A$1500,"&gt;="&amp;DATE(2026,11,17),日次入力!$A$4:$A$1500,"&lt;="&amp;DATE(2026,11,23),日次入力!$C$4:$C$1500,"Googleウェビナー"))</f>
        <v/>
      </c>
      <c r="D206" s="42" t="str">
        <f aca="false">IF(COUNTIFS(日次入力!$A$4:$A$1500,"&gt;="&amp;DATE(2026,11,17),日次入力!$A$4:$A$1500,"&lt;="&amp;DATE(2026,11,23),日次入力!$C$4:$C$1500,"Googleウェビナー")=0,"",SUMIFS(日次入力!$E$4:$E$1500,日次入力!$A$4:$A$1500,"&gt;="&amp;DATE(2026,11,17),日次入力!$A$4:$A$1500,"&lt;="&amp;DATE(2026,11,23),日次入力!$C$4:$C$1500,"Googleウェビナー"))</f>
        <v/>
      </c>
      <c r="E206" s="42" t="str">
        <f aca="false">IF(COUNTIFS(日次入力!$A$4:$A$1500,"&gt;="&amp;DATE(2026,11,17),日次入力!$A$4:$A$1500,"&lt;="&amp;DATE(2026,11,23),日次入力!$C$4:$C$1500,"Googleウェビナー")=0,"",SUMIFS(日次入力!$F$4:$F$1500,日次入力!$A$4:$A$1500,"&gt;="&amp;DATE(2026,11,17),日次入力!$A$4:$A$1500,"&lt;="&amp;DATE(2026,11,23),日次入力!$C$4:$C$1500,"Googleウェビナー"))</f>
        <v/>
      </c>
      <c r="F206" s="42" t="str">
        <f aca="false">IF(COUNTIFS(日次入力!$A$4:$A$1500,"&gt;="&amp;DATE(2026,11,17),日次入力!$A$4:$A$1500,"&lt;="&amp;DATE(2026,11,23),日次入力!$C$4:$C$1500,"Googleウェビナー")=0,"",SUMIFS(日次入力!$G$4:$G$1500,日次入力!$A$4:$A$1500,"&gt;="&amp;DATE(2026,11,17),日次入力!$A$4:$A$1500,"&lt;="&amp;DATE(2026,11,23),日次入力!$C$4:$C$1500,"Googleウェビナー"))</f>
        <v/>
      </c>
      <c r="G206" s="15" t="str">
        <f aca="false">IFERROR(E206/D206,"")</f>
        <v/>
      </c>
      <c r="H206" s="37" t="str">
        <f aca="false">IFERROR(C206/E206,"")</f>
        <v/>
      </c>
      <c r="I206" s="37" t="str">
        <f aca="false">IFERROR(C206/D206*1000,"")</f>
        <v/>
      </c>
      <c r="J206" s="15" t="str">
        <f aca="false">IFERROR(F206/E206,"")</f>
        <v/>
      </c>
      <c r="K206" s="37" t="str">
        <f aca="false">IFERROR(C206/F206,"")</f>
        <v/>
      </c>
      <c r="L206" s="42" t="str">
        <f aca="false">IF(COUNTIFS(日次入力!$A$4:$A$1500,"&gt;="&amp;DATE(2026,11,17),日次入力!$A$4:$A$1500,"&lt;="&amp;DATE(2026,11,23),日次入力!$C$4:$C$1500,"Googleウェビナー")=0,"",SUMIFS(日次入力!$H$4:$H$1500,日次入力!$A$4:$A$1500,"&gt;="&amp;DATE(2026,11,17),日次入力!$A$4:$A$1500,"&lt;="&amp;DATE(2026,11,23),日次入力!$C$4:$C$1500,"Googleウェビナー"))</f>
        <v/>
      </c>
      <c r="M206" s="15" t="str">
        <f aca="false">IF(L206="","",IFERROR(L206/F206,""))</f>
        <v/>
      </c>
      <c r="N206" s="42" t="str">
        <f aca="false">IF(COUNTIFS(日次入力!$A$4:$A$1500,"&gt;="&amp;DATE(2026,11,17),日次入力!$A$4:$A$1500,"&lt;="&amp;DATE(2026,11,23),日次入力!$C$4:$C$1500,"Googleウェビナー")=0,"",SUMIFS(日次入力!$I$4:$I$1500,日次入力!$A$4:$A$1500,"&gt;="&amp;DATE(2026,11,17),日次入力!$A$4:$A$1500,"&lt;="&amp;DATE(2026,11,23),日次入力!$C$4:$C$1500,"Googleウェビナー"))</f>
        <v/>
      </c>
      <c r="O206" s="15" t="str">
        <f aca="false">IF(N206="","",IFERROR(N206/L206,""))</f>
        <v/>
      </c>
      <c r="P206" s="37" t="str">
        <f aca="false">IF(N206=0,"",IFERROR(C206/N206,""))</f>
        <v/>
      </c>
      <c r="Q206" s="38" t="str">
        <f aca="false">IF(N206=0,"",IFERROR(IF(C206/N206&lt;=用語集!$B$22,"◎ 許容内","✗ 超過"),"—"))</f>
        <v>—</v>
      </c>
      <c r="R206" s="39" t="str">
        <f aca="false">IFERROR(用語集!$B$22/P206,"")</f>
        <v/>
      </c>
    </row>
    <row r="207" customFormat="false" ht="15" hidden="false" customHeight="false" outlineLevel="0" collapsed="false">
      <c r="A207" s="34" t="s">
        <v>126</v>
      </c>
      <c r="B207" s="35" t="s">
        <v>127</v>
      </c>
      <c r="C207" s="41" t="str">
        <f aca="false">IF(COUNTIFS(日次入力!$A$4:$A$1500,"&gt;="&amp;DATE(2026,11,24),日次入力!$A$4:$A$1500,"&lt;="&amp;DATE(2026,11,30),日次入力!$C$4:$C$1500,"Googleウェビナー")=0,"",SUMIFS(日次入力!$D$4:$D$1500,日次入力!$A$4:$A$1500,"&gt;="&amp;DATE(2026,11,24),日次入力!$A$4:$A$1500,"&lt;="&amp;DATE(2026,11,30),日次入力!$C$4:$C$1500,"Googleウェビナー"))</f>
        <v/>
      </c>
      <c r="D207" s="42" t="str">
        <f aca="false">IF(COUNTIFS(日次入力!$A$4:$A$1500,"&gt;="&amp;DATE(2026,11,24),日次入力!$A$4:$A$1500,"&lt;="&amp;DATE(2026,11,30),日次入力!$C$4:$C$1500,"Googleウェビナー")=0,"",SUMIFS(日次入力!$E$4:$E$1500,日次入力!$A$4:$A$1500,"&gt;="&amp;DATE(2026,11,24),日次入力!$A$4:$A$1500,"&lt;="&amp;DATE(2026,11,30),日次入力!$C$4:$C$1500,"Googleウェビナー"))</f>
        <v/>
      </c>
      <c r="E207" s="42" t="str">
        <f aca="false">IF(COUNTIFS(日次入力!$A$4:$A$1500,"&gt;="&amp;DATE(2026,11,24),日次入力!$A$4:$A$1500,"&lt;="&amp;DATE(2026,11,30),日次入力!$C$4:$C$1500,"Googleウェビナー")=0,"",SUMIFS(日次入力!$F$4:$F$1500,日次入力!$A$4:$A$1500,"&gt;="&amp;DATE(2026,11,24),日次入力!$A$4:$A$1500,"&lt;="&amp;DATE(2026,11,30),日次入力!$C$4:$C$1500,"Googleウェビナー"))</f>
        <v/>
      </c>
      <c r="F207" s="42" t="str">
        <f aca="false">IF(COUNTIFS(日次入力!$A$4:$A$1500,"&gt;="&amp;DATE(2026,11,24),日次入力!$A$4:$A$1500,"&lt;="&amp;DATE(2026,11,30),日次入力!$C$4:$C$1500,"Googleウェビナー")=0,"",SUMIFS(日次入力!$G$4:$G$1500,日次入力!$A$4:$A$1500,"&gt;="&amp;DATE(2026,11,24),日次入力!$A$4:$A$1500,"&lt;="&amp;DATE(2026,11,30),日次入力!$C$4:$C$1500,"Googleウェビナー"))</f>
        <v/>
      </c>
      <c r="G207" s="15" t="str">
        <f aca="false">IFERROR(E207/D207,"")</f>
        <v/>
      </c>
      <c r="H207" s="37" t="str">
        <f aca="false">IFERROR(C207/E207,"")</f>
        <v/>
      </c>
      <c r="I207" s="37" t="str">
        <f aca="false">IFERROR(C207/D207*1000,"")</f>
        <v/>
      </c>
      <c r="J207" s="15" t="str">
        <f aca="false">IFERROR(F207/E207,"")</f>
        <v/>
      </c>
      <c r="K207" s="37" t="str">
        <f aca="false">IFERROR(C207/F207,"")</f>
        <v/>
      </c>
      <c r="L207" s="42" t="str">
        <f aca="false">IF(COUNTIFS(日次入力!$A$4:$A$1500,"&gt;="&amp;DATE(2026,11,24),日次入力!$A$4:$A$1500,"&lt;="&amp;DATE(2026,11,30),日次入力!$C$4:$C$1500,"Googleウェビナー")=0,"",SUMIFS(日次入力!$H$4:$H$1500,日次入力!$A$4:$A$1500,"&gt;="&amp;DATE(2026,11,24),日次入力!$A$4:$A$1500,"&lt;="&amp;DATE(2026,11,30),日次入力!$C$4:$C$1500,"Googleウェビナー"))</f>
        <v/>
      </c>
      <c r="M207" s="15" t="str">
        <f aca="false">IF(L207="","",IFERROR(L207/F207,""))</f>
        <v/>
      </c>
      <c r="N207" s="42" t="str">
        <f aca="false">IF(COUNTIFS(日次入力!$A$4:$A$1500,"&gt;="&amp;DATE(2026,11,24),日次入力!$A$4:$A$1500,"&lt;="&amp;DATE(2026,11,30),日次入力!$C$4:$C$1500,"Googleウェビナー")=0,"",SUMIFS(日次入力!$I$4:$I$1500,日次入力!$A$4:$A$1500,"&gt;="&amp;DATE(2026,11,24),日次入力!$A$4:$A$1500,"&lt;="&amp;DATE(2026,11,30),日次入力!$C$4:$C$1500,"Googleウェビナー"))</f>
        <v/>
      </c>
      <c r="O207" s="15" t="str">
        <f aca="false">IF(N207="","",IFERROR(N207/L207,""))</f>
        <v/>
      </c>
      <c r="P207" s="37" t="str">
        <f aca="false">IF(N207=0,"",IFERROR(C207/N207,""))</f>
        <v/>
      </c>
      <c r="Q207" s="38" t="str">
        <f aca="false">IF(N207=0,"",IFERROR(IF(C207/N207&lt;=用語集!$B$22,"◎ 許容内","✗ 超過"),"—"))</f>
        <v>—</v>
      </c>
      <c r="R207" s="39" t="str">
        <f aca="false">IFERROR(用語集!$B$22/P207,"")</f>
        <v/>
      </c>
    </row>
    <row r="208" customFormat="false" ht="15" hidden="false" customHeight="false" outlineLevel="0" collapsed="false">
      <c r="A208" s="34" t="s">
        <v>128</v>
      </c>
      <c r="B208" s="35" t="s">
        <v>129</v>
      </c>
      <c r="C208" s="41" t="str">
        <f aca="false">IF(COUNTIFS(日次入力!$A$4:$A$1500,"&gt;="&amp;DATE(2026,12,1),日次入力!$A$4:$A$1500,"&lt;="&amp;DATE(2026,12,7),日次入力!$C$4:$C$1500,"Googleウェビナー")=0,"",SUMIFS(日次入力!$D$4:$D$1500,日次入力!$A$4:$A$1500,"&gt;="&amp;DATE(2026,12,1),日次入力!$A$4:$A$1500,"&lt;="&amp;DATE(2026,12,7),日次入力!$C$4:$C$1500,"Googleウェビナー"))</f>
        <v/>
      </c>
      <c r="D208" s="42" t="str">
        <f aca="false">IF(COUNTIFS(日次入力!$A$4:$A$1500,"&gt;="&amp;DATE(2026,12,1),日次入力!$A$4:$A$1500,"&lt;="&amp;DATE(2026,12,7),日次入力!$C$4:$C$1500,"Googleウェビナー")=0,"",SUMIFS(日次入力!$E$4:$E$1500,日次入力!$A$4:$A$1500,"&gt;="&amp;DATE(2026,12,1),日次入力!$A$4:$A$1500,"&lt;="&amp;DATE(2026,12,7),日次入力!$C$4:$C$1500,"Googleウェビナー"))</f>
        <v/>
      </c>
      <c r="E208" s="42" t="str">
        <f aca="false">IF(COUNTIFS(日次入力!$A$4:$A$1500,"&gt;="&amp;DATE(2026,12,1),日次入力!$A$4:$A$1500,"&lt;="&amp;DATE(2026,12,7),日次入力!$C$4:$C$1500,"Googleウェビナー")=0,"",SUMIFS(日次入力!$F$4:$F$1500,日次入力!$A$4:$A$1500,"&gt;="&amp;DATE(2026,12,1),日次入力!$A$4:$A$1500,"&lt;="&amp;DATE(2026,12,7),日次入力!$C$4:$C$1500,"Googleウェビナー"))</f>
        <v/>
      </c>
      <c r="F208" s="42" t="str">
        <f aca="false">IF(COUNTIFS(日次入力!$A$4:$A$1500,"&gt;="&amp;DATE(2026,12,1),日次入力!$A$4:$A$1500,"&lt;="&amp;DATE(2026,12,7),日次入力!$C$4:$C$1500,"Googleウェビナー")=0,"",SUMIFS(日次入力!$G$4:$G$1500,日次入力!$A$4:$A$1500,"&gt;="&amp;DATE(2026,12,1),日次入力!$A$4:$A$1500,"&lt;="&amp;DATE(2026,12,7),日次入力!$C$4:$C$1500,"Googleウェビナー"))</f>
        <v/>
      </c>
      <c r="G208" s="15" t="str">
        <f aca="false">IFERROR(E208/D208,"")</f>
        <v/>
      </c>
      <c r="H208" s="37" t="str">
        <f aca="false">IFERROR(C208/E208,"")</f>
        <v/>
      </c>
      <c r="I208" s="37" t="str">
        <f aca="false">IFERROR(C208/D208*1000,"")</f>
        <v/>
      </c>
      <c r="J208" s="15" t="str">
        <f aca="false">IFERROR(F208/E208,"")</f>
        <v/>
      </c>
      <c r="K208" s="37" t="str">
        <f aca="false">IFERROR(C208/F208,"")</f>
        <v/>
      </c>
      <c r="L208" s="42" t="str">
        <f aca="false">IF(COUNTIFS(日次入力!$A$4:$A$1500,"&gt;="&amp;DATE(2026,12,1),日次入力!$A$4:$A$1500,"&lt;="&amp;DATE(2026,12,7),日次入力!$C$4:$C$1500,"Googleウェビナー")=0,"",SUMIFS(日次入力!$H$4:$H$1500,日次入力!$A$4:$A$1500,"&gt;="&amp;DATE(2026,12,1),日次入力!$A$4:$A$1500,"&lt;="&amp;DATE(2026,12,7),日次入力!$C$4:$C$1500,"Googleウェビナー"))</f>
        <v/>
      </c>
      <c r="M208" s="15" t="str">
        <f aca="false">IF(L208="","",IFERROR(L208/F208,""))</f>
        <v/>
      </c>
      <c r="N208" s="42" t="str">
        <f aca="false">IF(COUNTIFS(日次入力!$A$4:$A$1500,"&gt;="&amp;DATE(2026,12,1),日次入力!$A$4:$A$1500,"&lt;="&amp;DATE(2026,12,7),日次入力!$C$4:$C$1500,"Googleウェビナー")=0,"",SUMIFS(日次入力!$I$4:$I$1500,日次入力!$A$4:$A$1500,"&gt;="&amp;DATE(2026,12,1),日次入力!$A$4:$A$1500,"&lt;="&amp;DATE(2026,12,7),日次入力!$C$4:$C$1500,"Googleウェビナー"))</f>
        <v/>
      </c>
      <c r="O208" s="15" t="str">
        <f aca="false">IF(N208="","",IFERROR(N208/L208,""))</f>
        <v/>
      </c>
      <c r="P208" s="37" t="str">
        <f aca="false">IF(N208=0,"",IFERROR(C208/N208,""))</f>
        <v/>
      </c>
      <c r="Q208" s="38" t="str">
        <f aca="false">IF(N208=0,"",IFERROR(IF(C208/N208&lt;=用語集!$B$22,"◎ 許容内","✗ 超過"),"—"))</f>
        <v>—</v>
      </c>
      <c r="R208" s="39" t="str">
        <f aca="false">IFERROR(用語集!$B$22/P208,"")</f>
        <v/>
      </c>
    </row>
    <row r="209" customFormat="false" ht="15" hidden="false" customHeight="false" outlineLevel="0" collapsed="false">
      <c r="A209" s="34" t="s">
        <v>130</v>
      </c>
      <c r="B209" s="35" t="s">
        <v>131</v>
      </c>
      <c r="C209" s="41" t="str">
        <f aca="false">IF(COUNTIFS(日次入力!$A$4:$A$1500,"&gt;="&amp;DATE(2026,12,8),日次入力!$A$4:$A$1500,"&lt;="&amp;DATE(2026,12,14),日次入力!$C$4:$C$1500,"Googleウェビナー")=0,"",SUMIFS(日次入力!$D$4:$D$1500,日次入力!$A$4:$A$1500,"&gt;="&amp;DATE(2026,12,8),日次入力!$A$4:$A$1500,"&lt;="&amp;DATE(2026,12,14),日次入力!$C$4:$C$1500,"Googleウェビナー"))</f>
        <v/>
      </c>
      <c r="D209" s="42" t="str">
        <f aca="false">IF(COUNTIFS(日次入力!$A$4:$A$1500,"&gt;="&amp;DATE(2026,12,8),日次入力!$A$4:$A$1500,"&lt;="&amp;DATE(2026,12,14),日次入力!$C$4:$C$1500,"Googleウェビナー")=0,"",SUMIFS(日次入力!$E$4:$E$1500,日次入力!$A$4:$A$1500,"&gt;="&amp;DATE(2026,12,8),日次入力!$A$4:$A$1500,"&lt;="&amp;DATE(2026,12,14),日次入力!$C$4:$C$1500,"Googleウェビナー"))</f>
        <v/>
      </c>
      <c r="E209" s="42" t="str">
        <f aca="false">IF(COUNTIFS(日次入力!$A$4:$A$1500,"&gt;="&amp;DATE(2026,12,8),日次入力!$A$4:$A$1500,"&lt;="&amp;DATE(2026,12,14),日次入力!$C$4:$C$1500,"Googleウェビナー")=0,"",SUMIFS(日次入力!$F$4:$F$1500,日次入力!$A$4:$A$1500,"&gt;="&amp;DATE(2026,12,8),日次入力!$A$4:$A$1500,"&lt;="&amp;DATE(2026,12,14),日次入力!$C$4:$C$1500,"Googleウェビナー"))</f>
        <v/>
      </c>
      <c r="F209" s="42" t="str">
        <f aca="false">IF(COUNTIFS(日次入力!$A$4:$A$1500,"&gt;="&amp;DATE(2026,12,8),日次入力!$A$4:$A$1500,"&lt;="&amp;DATE(2026,12,14),日次入力!$C$4:$C$1500,"Googleウェビナー")=0,"",SUMIFS(日次入力!$G$4:$G$1500,日次入力!$A$4:$A$1500,"&gt;="&amp;DATE(2026,12,8),日次入力!$A$4:$A$1500,"&lt;="&amp;DATE(2026,12,14),日次入力!$C$4:$C$1500,"Googleウェビナー"))</f>
        <v/>
      </c>
      <c r="G209" s="15" t="str">
        <f aca="false">IFERROR(E209/D209,"")</f>
        <v/>
      </c>
      <c r="H209" s="37" t="str">
        <f aca="false">IFERROR(C209/E209,"")</f>
        <v/>
      </c>
      <c r="I209" s="37" t="str">
        <f aca="false">IFERROR(C209/D209*1000,"")</f>
        <v/>
      </c>
      <c r="J209" s="15" t="str">
        <f aca="false">IFERROR(F209/E209,"")</f>
        <v/>
      </c>
      <c r="K209" s="37" t="str">
        <f aca="false">IFERROR(C209/F209,"")</f>
        <v/>
      </c>
      <c r="L209" s="42" t="str">
        <f aca="false">IF(COUNTIFS(日次入力!$A$4:$A$1500,"&gt;="&amp;DATE(2026,12,8),日次入力!$A$4:$A$1500,"&lt;="&amp;DATE(2026,12,14),日次入力!$C$4:$C$1500,"Googleウェビナー")=0,"",SUMIFS(日次入力!$H$4:$H$1500,日次入力!$A$4:$A$1500,"&gt;="&amp;DATE(2026,12,8),日次入力!$A$4:$A$1500,"&lt;="&amp;DATE(2026,12,14),日次入力!$C$4:$C$1500,"Googleウェビナー"))</f>
        <v/>
      </c>
      <c r="M209" s="15" t="str">
        <f aca="false">IF(L209="","",IFERROR(L209/F209,""))</f>
        <v/>
      </c>
      <c r="N209" s="42" t="str">
        <f aca="false">IF(COUNTIFS(日次入力!$A$4:$A$1500,"&gt;="&amp;DATE(2026,12,8),日次入力!$A$4:$A$1500,"&lt;="&amp;DATE(2026,12,14),日次入力!$C$4:$C$1500,"Googleウェビナー")=0,"",SUMIFS(日次入力!$I$4:$I$1500,日次入力!$A$4:$A$1500,"&gt;="&amp;DATE(2026,12,8),日次入力!$A$4:$A$1500,"&lt;="&amp;DATE(2026,12,14),日次入力!$C$4:$C$1500,"Googleウェビナー"))</f>
        <v/>
      </c>
      <c r="O209" s="15" t="str">
        <f aca="false">IF(N209="","",IFERROR(N209/L209,""))</f>
        <v/>
      </c>
      <c r="P209" s="37" t="str">
        <f aca="false">IF(N209=0,"",IFERROR(C209/N209,""))</f>
        <v/>
      </c>
      <c r="Q209" s="38" t="str">
        <f aca="false">IF(N209=0,"",IFERROR(IF(C209/N209&lt;=用語集!$B$22,"◎ 許容内","✗ 超過"),"—"))</f>
        <v>—</v>
      </c>
      <c r="R209" s="39" t="str">
        <f aca="false">IFERROR(用語集!$B$22/P209,"")</f>
        <v/>
      </c>
    </row>
    <row r="210" customFormat="false" ht="15" hidden="false" customHeight="false" outlineLevel="0" collapsed="false">
      <c r="A210" s="34" t="s">
        <v>132</v>
      </c>
      <c r="B210" s="35" t="s">
        <v>133</v>
      </c>
      <c r="C210" s="41" t="str">
        <f aca="false">IF(COUNTIFS(日次入力!$A$4:$A$1500,"&gt;="&amp;DATE(2026,12,15),日次入力!$A$4:$A$1500,"&lt;="&amp;DATE(2026,12,21),日次入力!$C$4:$C$1500,"Googleウェビナー")=0,"",SUMIFS(日次入力!$D$4:$D$1500,日次入力!$A$4:$A$1500,"&gt;="&amp;DATE(2026,12,15),日次入力!$A$4:$A$1500,"&lt;="&amp;DATE(2026,12,21),日次入力!$C$4:$C$1500,"Googleウェビナー"))</f>
        <v/>
      </c>
      <c r="D210" s="42" t="str">
        <f aca="false">IF(COUNTIFS(日次入力!$A$4:$A$1500,"&gt;="&amp;DATE(2026,12,15),日次入力!$A$4:$A$1500,"&lt;="&amp;DATE(2026,12,21),日次入力!$C$4:$C$1500,"Googleウェビナー")=0,"",SUMIFS(日次入力!$E$4:$E$1500,日次入力!$A$4:$A$1500,"&gt;="&amp;DATE(2026,12,15),日次入力!$A$4:$A$1500,"&lt;="&amp;DATE(2026,12,21),日次入力!$C$4:$C$1500,"Googleウェビナー"))</f>
        <v/>
      </c>
      <c r="E210" s="42" t="str">
        <f aca="false">IF(COUNTIFS(日次入力!$A$4:$A$1500,"&gt;="&amp;DATE(2026,12,15),日次入力!$A$4:$A$1500,"&lt;="&amp;DATE(2026,12,21),日次入力!$C$4:$C$1500,"Googleウェビナー")=0,"",SUMIFS(日次入力!$F$4:$F$1500,日次入力!$A$4:$A$1500,"&gt;="&amp;DATE(2026,12,15),日次入力!$A$4:$A$1500,"&lt;="&amp;DATE(2026,12,21),日次入力!$C$4:$C$1500,"Googleウェビナー"))</f>
        <v/>
      </c>
      <c r="F210" s="42" t="str">
        <f aca="false">IF(COUNTIFS(日次入力!$A$4:$A$1500,"&gt;="&amp;DATE(2026,12,15),日次入力!$A$4:$A$1500,"&lt;="&amp;DATE(2026,12,21),日次入力!$C$4:$C$1500,"Googleウェビナー")=0,"",SUMIFS(日次入力!$G$4:$G$1500,日次入力!$A$4:$A$1500,"&gt;="&amp;DATE(2026,12,15),日次入力!$A$4:$A$1500,"&lt;="&amp;DATE(2026,12,21),日次入力!$C$4:$C$1500,"Googleウェビナー"))</f>
        <v/>
      </c>
      <c r="G210" s="15" t="str">
        <f aca="false">IFERROR(E210/D210,"")</f>
        <v/>
      </c>
      <c r="H210" s="37" t="str">
        <f aca="false">IFERROR(C210/E210,"")</f>
        <v/>
      </c>
      <c r="I210" s="37" t="str">
        <f aca="false">IFERROR(C210/D210*1000,"")</f>
        <v/>
      </c>
      <c r="J210" s="15" t="str">
        <f aca="false">IFERROR(F210/E210,"")</f>
        <v/>
      </c>
      <c r="K210" s="37" t="str">
        <f aca="false">IFERROR(C210/F210,"")</f>
        <v/>
      </c>
      <c r="L210" s="42" t="str">
        <f aca="false">IF(COUNTIFS(日次入力!$A$4:$A$1500,"&gt;="&amp;DATE(2026,12,15),日次入力!$A$4:$A$1500,"&lt;="&amp;DATE(2026,12,21),日次入力!$C$4:$C$1500,"Googleウェビナー")=0,"",SUMIFS(日次入力!$H$4:$H$1500,日次入力!$A$4:$A$1500,"&gt;="&amp;DATE(2026,12,15),日次入力!$A$4:$A$1500,"&lt;="&amp;DATE(2026,12,21),日次入力!$C$4:$C$1500,"Googleウェビナー"))</f>
        <v/>
      </c>
      <c r="M210" s="15" t="str">
        <f aca="false">IF(L210="","",IFERROR(L210/F210,""))</f>
        <v/>
      </c>
      <c r="N210" s="42" t="str">
        <f aca="false">IF(COUNTIFS(日次入力!$A$4:$A$1500,"&gt;="&amp;DATE(2026,12,15),日次入力!$A$4:$A$1500,"&lt;="&amp;DATE(2026,12,21),日次入力!$C$4:$C$1500,"Googleウェビナー")=0,"",SUMIFS(日次入力!$I$4:$I$1500,日次入力!$A$4:$A$1500,"&gt;="&amp;DATE(2026,12,15),日次入力!$A$4:$A$1500,"&lt;="&amp;DATE(2026,12,21),日次入力!$C$4:$C$1500,"Googleウェビナー"))</f>
        <v/>
      </c>
      <c r="O210" s="15" t="str">
        <f aca="false">IF(N210="","",IFERROR(N210/L210,""))</f>
        <v/>
      </c>
      <c r="P210" s="37" t="str">
        <f aca="false">IF(N210=0,"",IFERROR(C210/N210,""))</f>
        <v/>
      </c>
      <c r="Q210" s="38" t="str">
        <f aca="false">IF(N210=0,"",IFERROR(IF(C210/N210&lt;=用語集!$B$22,"◎ 許容内","✗ 超過"),"—"))</f>
        <v>—</v>
      </c>
      <c r="R210" s="39" t="str">
        <f aca="false">IFERROR(用語集!$B$22/P210,"")</f>
        <v/>
      </c>
    </row>
    <row r="211" customFormat="false" ht="15" hidden="false" customHeight="false" outlineLevel="0" collapsed="false">
      <c r="A211" s="34" t="s">
        <v>134</v>
      </c>
      <c r="B211" s="35" t="s">
        <v>135</v>
      </c>
      <c r="C211" s="41" t="str">
        <f aca="false">IF(COUNTIFS(日次入力!$A$4:$A$1500,"&gt;="&amp;DATE(2026,12,22),日次入力!$A$4:$A$1500,"&lt;="&amp;DATE(2026,12,28),日次入力!$C$4:$C$1500,"Googleウェビナー")=0,"",SUMIFS(日次入力!$D$4:$D$1500,日次入力!$A$4:$A$1500,"&gt;="&amp;DATE(2026,12,22),日次入力!$A$4:$A$1500,"&lt;="&amp;DATE(2026,12,28),日次入力!$C$4:$C$1500,"Googleウェビナー"))</f>
        <v/>
      </c>
      <c r="D211" s="42" t="str">
        <f aca="false">IF(COUNTIFS(日次入力!$A$4:$A$1500,"&gt;="&amp;DATE(2026,12,22),日次入力!$A$4:$A$1500,"&lt;="&amp;DATE(2026,12,28),日次入力!$C$4:$C$1500,"Googleウェビナー")=0,"",SUMIFS(日次入力!$E$4:$E$1500,日次入力!$A$4:$A$1500,"&gt;="&amp;DATE(2026,12,22),日次入力!$A$4:$A$1500,"&lt;="&amp;DATE(2026,12,28),日次入力!$C$4:$C$1500,"Googleウェビナー"))</f>
        <v/>
      </c>
      <c r="E211" s="42" t="str">
        <f aca="false">IF(COUNTIFS(日次入力!$A$4:$A$1500,"&gt;="&amp;DATE(2026,12,22),日次入力!$A$4:$A$1500,"&lt;="&amp;DATE(2026,12,28),日次入力!$C$4:$C$1500,"Googleウェビナー")=0,"",SUMIFS(日次入力!$F$4:$F$1500,日次入力!$A$4:$A$1500,"&gt;="&amp;DATE(2026,12,22),日次入力!$A$4:$A$1500,"&lt;="&amp;DATE(2026,12,28),日次入力!$C$4:$C$1500,"Googleウェビナー"))</f>
        <v/>
      </c>
      <c r="F211" s="42" t="str">
        <f aca="false">IF(COUNTIFS(日次入力!$A$4:$A$1500,"&gt;="&amp;DATE(2026,12,22),日次入力!$A$4:$A$1500,"&lt;="&amp;DATE(2026,12,28),日次入力!$C$4:$C$1500,"Googleウェビナー")=0,"",SUMIFS(日次入力!$G$4:$G$1500,日次入力!$A$4:$A$1500,"&gt;="&amp;DATE(2026,12,22),日次入力!$A$4:$A$1500,"&lt;="&amp;DATE(2026,12,28),日次入力!$C$4:$C$1500,"Googleウェビナー"))</f>
        <v/>
      </c>
      <c r="G211" s="15" t="str">
        <f aca="false">IFERROR(E211/D211,"")</f>
        <v/>
      </c>
      <c r="H211" s="37" t="str">
        <f aca="false">IFERROR(C211/E211,"")</f>
        <v/>
      </c>
      <c r="I211" s="37" t="str">
        <f aca="false">IFERROR(C211/D211*1000,"")</f>
        <v/>
      </c>
      <c r="J211" s="15" t="str">
        <f aca="false">IFERROR(F211/E211,"")</f>
        <v/>
      </c>
      <c r="K211" s="37" t="str">
        <f aca="false">IFERROR(C211/F211,"")</f>
        <v/>
      </c>
      <c r="L211" s="42" t="str">
        <f aca="false">IF(COUNTIFS(日次入力!$A$4:$A$1500,"&gt;="&amp;DATE(2026,12,22),日次入力!$A$4:$A$1500,"&lt;="&amp;DATE(2026,12,28),日次入力!$C$4:$C$1500,"Googleウェビナー")=0,"",SUMIFS(日次入力!$H$4:$H$1500,日次入力!$A$4:$A$1500,"&gt;="&amp;DATE(2026,12,22),日次入力!$A$4:$A$1500,"&lt;="&amp;DATE(2026,12,28),日次入力!$C$4:$C$1500,"Googleウェビナー"))</f>
        <v/>
      </c>
      <c r="M211" s="15" t="str">
        <f aca="false">IF(L211="","",IFERROR(L211/F211,""))</f>
        <v/>
      </c>
      <c r="N211" s="42" t="str">
        <f aca="false">IF(COUNTIFS(日次入力!$A$4:$A$1500,"&gt;="&amp;DATE(2026,12,22),日次入力!$A$4:$A$1500,"&lt;="&amp;DATE(2026,12,28),日次入力!$C$4:$C$1500,"Googleウェビナー")=0,"",SUMIFS(日次入力!$I$4:$I$1500,日次入力!$A$4:$A$1500,"&gt;="&amp;DATE(2026,12,22),日次入力!$A$4:$A$1500,"&lt;="&amp;DATE(2026,12,28),日次入力!$C$4:$C$1500,"Googleウェビナー"))</f>
        <v/>
      </c>
      <c r="O211" s="15" t="str">
        <f aca="false">IF(N211="","",IFERROR(N211/L211,""))</f>
        <v/>
      </c>
      <c r="P211" s="37" t="str">
        <f aca="false">IF(N211=0,"",IFERROR(C211/N211,""))</f>
        <v/>
      </c>
      <c r="Q211" s="38" t="str">
        <f aca="false">IF(N211=0,"",IFERROR(IF(C211/N211&lt;=用語集!$B$22,"◎ 許容内","✗ 超過"),"—"))</f>
        <v>—</v>
      </c>
      <c r="R211" s="39" t="str">
        <f aca="false">IFERROR(用語集!$B$22/P211,"")</f>
        <v/>
      </c>
    </row>
    <row r="212" customFormat="false" ht="15" hidden="false" customHeight="false" outlineLevel="0" collapsed="false">
      <c r="A212" s="34" t="s">
        <v>136</v>
      </c>
      <c r="B212" s="35" t="s">
        <v>137</v>
      </c>
      <c r="C212" s="41" t="str">
        <f aca="false">IF(COUNTIFS(日次入力!$A$4:$A$1500,"&gt;="&amp;DATE(2026,12,29),日次入力!$A$4:$A$1500,"&lt;="&amp;DATE(2027,1,4),日次入力!$C$4:$C$1500,"Googleウェビナー")=0,"",SUMIFS(日次入力!$D$4:$D$1500,日次入力!$A$4:$A$1500,"&gt;="&amp;DATE(2026,12,29),日次入力!$A$4:$A$1500,"&lt;="&amp;DATE(2027,1,4),日次入力!$C$4:$C$1500,"Googleウェビナー"))</f>
        <v/>
      </c>
      <c r="D212" s="42" t="str">
        <f aca="false">IF(COUNTIFS(日次入力!$A$4:$A$1500,"&gt;="&amp;DATE(2026,12,29),日次入力!$A$4:$A$1500,"&lt;="&amp;DATE(2027,1,4),日次入力!$C$4:$C$1500,"Googleウェビナー")=0,"",SUMIFS(日次入力!$E$4:$E$1500,日次入力!$A$4:$A$1500,"&gt;="&amp;DATE(2026,12,29),日次入力!$A$4:$A$1500,"&lt;="&amp;DATE(2027,1,4),日次入力!$C$4:$C$1500,"Googleウェビナー"))</f>
        <v/>
      </c>
      <c r="E212" s="42" t="str">
        <f aca="false">IF(COUNTIFS(日次入力!$A$4:$A$1500,"&gt;="&amp;DATE(2026,12,29),日次入力!$A$4:$A$1500,"&lt;="&amp;DATE(2027,1,4),日次入力!$C$4:$C$1500,"Googleウェビナー")=0,"",SUMIFS(日次入力!$F$4:$F$1500,日次入力!$A$4:$A$1500,"&gt;="&amp;DATE(2026,12,29),日次入力!$A$4:$A$1500,"&lt;="&amp;DATE(2027,1,4),日次入力!$C$4:$C$1500,"Googleウェビナー"))</f>
        <v/>
      </c>
      <c r="F212" s="42" t="str">
        <f aca="false">IF(COUNTIFS(日次入力!$A$4:$A$1500,"&gt;="&amp;DATE(2026,12,29),日次入力!$A$4:$A$1500,"&lt;="&amp;DATE(2027,1,4),日次入力!$C$4:$C$1500,"Googleウェビナー")=0,"",SUMIFS(日次入力!$G$4:$G$1500,日次入力!$A$4:$A$1500,"&gt;="&amp;DATE(2026,12,29),日次入力!$A$4:$A$1500,"&lt;="&amp;DATE(2027,1,4),日次入力!$C$4:$C$1500,"Googleウェビナー"))</f>
        <v/>
      </c>
      <c r="G212" s="15" t="str">
        <f aca="false">IFERROR(E212/D212,"")</f>
        <v/>
      </c>
      <c r="H212" s="37" t="str">
        <f aca="false">IFERROR(C212/E212,"")</f>
        <v/>
      </c>
      <c r="I212" s="37" t="str">
        <f aca="false">IFERROR(C212/D212*1000,"")</f>
        <v/>
      </c>
      <c r="J212" s="15" t="str">
        <f aca="false">IFERROR(F212/E212,"")</f>
        <v/>
      </c>
      <c r="K212" s="37" t="str">
        <f aca="false">IFERROR(C212/F212,"")</f>
        <v/>
      </c>
      <c r="L212" s="42" t="str">
        <f aca="false">IF(COUNTIFS(日次入力!$A$4:$A$1500,"&gt;="&amp;DATE(2026,12,29),日次入力!$A$4:$A$1500,"&lt;="&amp;DATE(2027,1,4),日次入力!$C$4:$C$1500,"Googleウェビナー")=0,"",SUMIFS(日次入力!$H$4:$H$1500,日次入力!$A$4:$A$1500,"&gt;="&amp;DATE(2026,12,29),日次入力!$A$4:$A$1500,"&lt;="&amp;DATE(2027,1,4),日次入力!$C$4:$C$1500,"Googleウェビナー"))</f>
        <v/>
      </c>
      <c r="M212" s="15" t="str">
        <f aca="false">IF(L212="","",IFERROR(L212/F212,""))</f>
        <v/>
      </c>
      <c r="N212" s="42" t="str">
        <f aca="false">IF(COUNTIFS(日次入力!$A$4:$A$1500,"&gt;="&amp;DATE(2026,12,29),日次入力!$A$4:$A$1500,"&lt;="&amp;DATE(2027,1,4),日次入力!$C$4:$C$1500,"Googleウェビナー")=0,"",SUMIFS(日次入力!$I$4:$I$1500,日次入力!$A$4:$A$1500,"&gt;="&amp;DATE(2026,12,29),日次入力!$A$4:$A$1500,"&lt;="&amp;DATE(2027,1,4),日次入力!$C$4:$C$1500,"Googleウェビナー"))</f>
        <v/>
      </c>
      <c r="O212" s="15" t="str">
        <f aca="false">IF(N212="","",IFERROR(N212/L212,""))</f>
        <v/>
      </c>
      <c r="P212" s="37" t="str">
        <f aca="false">IF(N212=0,"",IFERROR(C212/N212,""))</f>
        <v/>
      </c>
      <c r="Q212" s="38" t="str">
        <f aca="false">IF(N212=0,"",IFERROR(IF(C212/N212&lt;=用語集!$B$22,"◎ 許容内","✗ 超過"),"—"))</f>
        <v>—</v>
      </c>
      <c r="R212" s="39" t="str">
        <f aca="false">IFERROR(用語集!$B$22/P212,"")</f>
        <v/>
      </c>
    </row>
    <row r="213" customFormat="false" ht="15" hidden="false" customHeight="false" outlineLevel="0" collapsed="false">
      <c r="A213" s="34" t="s">
        <v>138</v>
      </c>
      <c r="B213" s="35" t="s">
        <v>139</v>
      </c>
      <c r="C213" s="41" t="str">
        <f aca="false">IF(COUNTIFS(日次入力!$A$4:$A$1500,"&gt;="&amp;DATE(2027,1,5),日次入力!$A$4:$A$1500,"&lt;="&amp;DATE(2027,1,11),日次入力!$C$4:$C$1500,"Googleウェビナー")=0,"",SUMIFS(日次入力!$D$4:$D$1500,日次入力!$A$4:$A$1500,"&gt;="&amp;DATE(2027,1,5),日次入力!$A$4:$A$1500,"&lt;="&amp;DATE(2027,1,11),日次入力!$C$4:$C$1500,"Googleウェビナー"))</f>
        <v/>
      </c>
      <c r="D213" s="42" t="str">
        <f aca="false">IF(COUNTIFS(日次入力!$A$4:$A$1500,"&gt;="&amp;DATE(2027,1,5),日次入力!$A$4:$A$1500,"&lt;="&amp;DATE(2027,1,11),日次入力!$C$4:$C$1500,"Googleウェビナー")=0,"",SUMIFS(日次入力!$E$4:$E$1500,日次入力!$A$4:$A$1500,"&gt;="&amp;DATE(2027,1,5),日次入力!$A$4:$A$1500,"&lt;="&amp;DATE(2027,1,11),日次入力!$C$4:$C$1500,"Googleウェビナー"))</f>
        <v/>
      </c>
      <c r="E213" s="42" t="str">
        <f aca="false">IF(COUNTIFS(日次入力!$A$4:$A$1500,"&gt;="&amp;DATE(2027,1,5),日次入力!$A$4:$A$1500,"&lt;="&amp;DATE(2027,1,11),日次入力!$C$4:$C$1500,"Googleウェビナー")=0,"",SUMIFS(日次入力!$F$4:$F$1500,日次入力!$A$4:$A$1500,"&gt;="&amp;DATE(2027,1,5),日次入力!$A$4:$A$1500,"&lt;="&amp;DATE(2027,1,11),日次入力!$C$4:$C$1500,"Googleウェビナー"))</f>
        <v/>
      </c>
      <c r="F213" s="42" t="str">
        <f aca="false">IF(COUNTIFS(日次入力!$A$4:$A$1500,"&gt;="&amp;DATE(2027,1,5),日次入力!$A$4:$A$1500,"&lt;="&amp;DATE(2027,1,11),日次入力!$C$4:$C$1500,"Googleウェビナー")=0,"",SUMIFS(日次入力!$G$4:$G$1500,日次入力!$A$4:$A$1500,"&gt;="&amp;DATE(2027,1,5),日次入力!$A$4:$A$1500,"&lt;="&amp;DATE(2027,1,11),日次入力!$C$4:$C$1500,"Googleウェビナー"))</f>
        <v/>
      </c>
      <c r="G213" s="15" t="str">
        <f aca="false">IFERROR(E213/D213,"")</f>
        <v/>
      </c>
      <c r="H213" s="37" t="str">
        <f aca="false">IFERROR(C213/E213,"")</f>
        <v/>
      </c>
      <c r="I213" s="37" t="str">
        <f aca="false">IFERROR(C213/D213*1000,"")</f>
        <v/>
      </c>
      <c r="J213" s="15" t="str">
        <f aca="false">IFERROR(F213/E213,"")</f>
        <v/>
      </c>
      <c r="K213" s="37" t="str">
        <f aca="false">IFERROR(C213/F213,"")</f>
        <v/>
      </c>
      <c r="L213" s="42" t="str">
        <f aca="false">IF(COUNTIFS(日次入力!$A$4:$A$1500,"&gt;="&amp;DATE(2027,1,5),日次入力!$A$4:$A$1500,"&lt;="&amp;DATE(2027,1,11),日次入力!$C$4:$C$1500,"Googleウェビナー")=0,"",SUMIFS(日次入力!$H$4:$H$1500,日次入力!$A$4:$A$1500,"&gt;="&amp;DATE(2027,1,5),日次入力!$A$4:$A$1500,"&lt;="&amp;DATE(2027,1,11),日次入力!$C$4:$C$1500,"Googleウェビナー"))</f>
        <v/>
      </c>
      <c r="M213" s="15" t="str">
        <f aca="false">IF(L213="","",IFERROR(L213/F213,""))</f>
        <v/>
      </c>
      <c r="N213" s="42" t="str">
        <f aca="false">IF(COUNTIFS(日次入力!$A$4:$A$1500,"&gt;="&amp;DATE(2027,1,5),日次入力!$A$4:$A$1500,"&lt;="&amp;DATE(2027,1,11),日次入力!$C$4:$C$1500,"Googleウェビナー")=0,"",SUMIFS(日次入力!$I$4:$I$1500,日次入力!$A$4:$A$1500,"&gt;="&amp;DATE(2027,1,5),日次入力!$A$4:$A$1500,"&lt;="&amp;DATE(2027,1,11),日次入力!$C$4:$C$1500,"Googleウェビナー"))</f>
        <v/>
      </c>
      <c r="O213" s="15" t="str">
        <f aca="false">IF(N213="","",IFERROR(N213/L213,""))</f>
        <v/>
      </c>
      <c r="P213" s="37" t="str">
        <f aca="false">IF(N213=0,"",IFERROR(C213/N213,""))</f>
        <v/>
      </c>
      <c r="Q213" s="38" t="str">
        <f aca="false">IF(N213=0,"",IFERROR(IF(C213/N213&lt;=用語集!$B$22,"◎ 許容内","✗ 超過"),"—"))</f>
        <v>—</v>
      </c>
      <c r="R213" s="39" t="str">
        <f aca="false">IFERROR(用語集!$B$22/P213,"")</f>
        <v/>
      </c>
    </row>
    <row r="214" customFormat="false" ht="15" hidden="false" customHeight="false" outlineLevel="0" collapsed="false">
      <c r="A214" s="34" t="s">
        <v>140</v>
      </c>
      <c r="B214" s="35" t="s">
        <v>141</v>
      </c>
      <c r="C214" s="41" t="str">
        <f aca="false">IF(COUNTIFS(日次入力!$A$4:$A$1500,"&gt;="&amp;DATE(2027,1,12),日次入力!$A$4:$A$1500,"&lt;="&amp;DATE(2027,1,18),日次入力!$C$4:$C$1500,"Googleウェビナー")=0,"",SUMIFS(日次入力!$D$4:$D$1500,日次入力!$A$4:$A$1500,"&gt;="&amp;DATE(2027,1,12),日次入力!$A$4:$A$1500,"&lt;="&amp;DATE(2027,1,18),日次入力!$C$4:$C$1500,"Googleウェビナー"))</f>
        <v/>
      </c>
      <c r="D214" s="42" t="str">
        <f aca="false">IF(COUNTIFS(日次入力!$A$4:$A$1500,"&gt;="&amp;DATE(2027,1,12),日次入力!$A$4:$A$1500,"&lt;="&amp;DATE(2027,1,18),日次入力!$C$4:$C$1500,"Googleウェビナー")=0,"",SUMIFS(日次入力!$E$4:$E$1500,日次入力!$A$4:$A$1500,"&gt;="&amp;DATE(2027,1,12),日次入力!$A$4:$A$1500,"&lt;="&amp;DATE(2027,1,18),日次入力!$C$4:$C$1500,"Googleウェビナー"))</f>
        <v/>
      </c>
      <c r="E214" s="42" t="str">
        <f aca="false">IF(COUNTIFS(日次入力!$A$4:$A$1500,"&gt;="&amp;DATE(2027,1,12),日次入力!$A$4:$A$1500,"&lt;="&amp;DATE(2027,1,18),日次入力!$C$4:$C$1500,"Googleウェビナー")=0,"",SUMIFS(日次入力!$F$4:$F$1500,日次入力!$A$4:$A$1500,"&gt;="&amp;DATE(2027,1,12),日次入力!$A$4:$A$1500,"&lt;="&amp;DATE(2027,1,18),日次入力!$C$4:$C$1500,"Googleウェビナー"))</f>
        <v/>
      </c>
      <c r="F214" s="42" t="str">
        <f aca="false">IF(COUNTIFS(日次入力!$A$4:$A$1500,"&gt;="&amp;DATE(2027,1,12),日次入力!$A$4:$A$1500,"&lt;="&amp;DATE(2027,1,18),日次入力!$C$4:$C$1500,"Googleウェビナー")=0,"",SUMIFS(日次入力!$G$4:$G$1500,日次入力!$A$4:$A$1500,"&gt;="&amp;DATE(2027,1,12),日次入力!$A$4:$A$1500,"&lt;="&amp;DATE(2027,1,18),日次入力!$C$4:$C$1500,"Googleウェビナー"))</f>
        <v/>
      </c>
      <c r="G214" s="15" t="str">
        <f aca="false">IFERROR(E214/D214,"")</f>
        <v/>
      </c>
      <c r="H214" s="37" t="str">
        <f aca="false">IFERROR(C214/E214,"")</f>
        <v/>
      </c>
      <c r="I214" s="37" t="str">
        <f aca="false">IFERROR(C214/D214*1000,"")</f>
        <v/>
      </c>
      <c r="J214" s="15" t="str">
        <f aca="false">IFERROR(F214/E214,"")</f>
        <v/>
      </c>
      <c r="K214" s="37" t="str">
        <f aca="false">IFERROR(C214/F214,"")</f>
        <v/>
      </c>
      <c r="L214" s="42" t="str">
        <f aca="false">IF(COUNTIFS(日次入力!$A$4:$A$1500,"&gt;="&amp;DATE(2027,1,12),日次入力!$A$4:$A$1500,"&lt;="&amp;DATE(2027,1,18),日次入力!$C$4:$C$1500,"Googleウェビナー")=0,"",SUMIFS(日次入力!$H$4:$H$1500,日次入力!$A$4:$A$1500,"&gt;="&amp;DATE(2027,1,12),日次入力!$A$4:$A$1500,"&lt;="&amp;DATE(2027,1,18),日次入力!$C$4:$C$1500,"Googleウェビナー"))</f>
        <v/>
      </c>
      <c r="M214" s="15" t="str">
        <f aca="false">IF(L214="","",IFERROR(L214/F214,""))</f>
        <v/>
      </c>
      <c r="N214" s="42" t="str">
        <f aca="false">IF(COUNTIFS(日次入力!$A$4:$A$1500,"&gt;="&amp;DATE(2027,1,12),日次入力!$A$4:$A$1500,"&lt;="&amp;DATE(2027,1,18),日次入力!$C$4:$C$1500,"Googleウェビナー")=0,"",SUMIFS(日次入力!$I$4:$I$1500,日次入力!$A$4:$A$1500,"&gt;="&amp;DATE(2027,1,12),日次入力!$A$4:$A$1500,"&lt;="&amp;DATE(2027,1,18),日次入力!$C$4:$C$1500,"Googleウェビナー"))</f>
        <v/>
      </c>
      <c r="O214" s="15" t="str">
        <f aca="false">IF(N214="","",IFERROR(N214/L214,""))</f>
        <v/>
      </c>
      <c r="P214" s="37" t="str">
        <f aca="false">IF(N214=0,"",IFERROR(C214/N214,""))</f>
        <v/>
      </c>
      <c r="Q214" s="38" t="str">
        <f aca="false">IF(N214=0,"",IFERROR(IF(C214/N214&lt;=用語集!$B$22,"◎ 許容内","✗ 超過"),"—"))</f>
        <v>—</v>
      </c>
      <c r="R214" s="39" t="str">
        <f aca="false">IFERROR(用語集!$B$22/P214,"")</f>
        <v/>
      </c>
    </row>
    <row r="215" customFormat="false" ht="15" hidden="false" customHeight="false" outlineLevel="0" collapsed="false">
      <c r="A215" s="34" t="s">
        <v>142</v>
      </c>
      <c r="B215" s="35" t="s">
        <v>143</v>
      </c>
      <c r="C215" s="41" t="str">
        <f aca="false">IF(COUNTIFS(日次入力!$A$4:$A$1500,"&gt;="&amp;DATE(2027,1,19),日次入力!$A$4:$A$1500,"&lt;="&amp;DATE(2027,1,25),日次入力!$C$4:$C$1500,"Googleウェビナー")=0,"",SUMIFS(日次入力!$D$4:$D$1500,日次入力!$A$4:$A$1500,"&gt;="&amp;DATE(2027,1,19),日次入力!$A$4:$A$1500,"&lt;="&amp;DATE(2027,1,25),日次入力!$C$4:$C$1500,"Googleウェビナー"))</f>
        <v/>
      </c>
      <c r="D215" s="42" t="str">
        <f aca="false">IF(COUNTIFS(日次入力!$A$4:$A$1500,"&gt;="&amp;DATE(2027,1,19),日次入力!$A$4:$A$1500,"&lt;="&amp;DATE(2027,1,25),日次入力!$C$4:$C$1500,"Googleウェビナー")=0,"",SUMIFS(日次入力!$E$4:$E$1500,日次入力!$A$4:$A$1500,"&gt;="&amp;DATE(2027,1,19),日次入力!$A$4:$A$1500,"&lt;="&amp;DATE(2027,1,25),日次入力!$C$4:$C$1500,"Googleウェビナー"))</f>
        <v/>
      </c>
      <c r="E215" s="42" t="str">
        <f aca="false">IF(COUNTIFS(日次入力!$A$4:$A$1500,"&gt;="&amp;DATE(2027,1,19),日次入力!$A$4:$A$1500,"&lt;="&amp;DATE(2027,1,25),日次入力!$C$4:$C$1500,"Googleウェビナー")=0,"",SUMIFS(日次入力!$F$4:$F$1500,日次入力!$A$4:$A$1500,"&gt;="&amp;DATE(2027,1,19),日次入力!$A$4:$A$1500,"&lt;="&amp;DATE(2027,1,25),日次入力!$C$4:$C$1500,"Googleウェビナー"))</f>
        <v/>
      </c>
      <c r="F215" s="42" t="str">
        <f aca="false">IF(COUNTIFS(日次入力!$A$4:$A$1500,"&gt;="&amp;DATE(2027,1,19),日次入力!$A$4:$A$1500,"&lt;="&amp;DATE(2027,1,25),日次入力!$C$4:$C$1500,"Googleウェビナー")=0,"",SUMIFS(日次入力!$G$4:$G$1500,日次入力!$A$4:$A$1500,"&gt;="&amp;DATE(2027,1,19),日次入力!$A$4:$A$1500,"&lt;="&amp;DATE(2027,1,25),日次入力!$C$4:$C$1500,"Googleウェビナー"))</f>
        <v/>
      </c>
      <c r="G215" s="15" t="str">
        <f aca="false">IFERROR(E215/D215,"")</f>
        <v/>
      </c>
      <c r="H215" s="37" t="str">
        <f aca="false">IFERROR(C215/E215,"")</f>
        <v/>
      </c>
      <c r="I215" s="37" t="str">
        <f aca="false">IFERROR(C215/D215*1000,"")</f>
        <v/>
      </c>
      <c r="J215" s="15" t="str">
        <f aca="false">IFERROR(F215/E215,"")</f>
        <v/>
      </c>
      <c r="K215" s="37" t="str">
        <f aca="false">IFERROR(C215/F215,"")</f>
        <v/>
      </c>
      <c r="L215" s="42" t="str">
        <f aca="false">IF(COUNTIFS(日次入力!$A$4:$A$1500,"&gt;="&amp;DATE(2027,1,19),日次入力!$A$4:$A$1500,"&lt;="&amp;DATE(2027,1,25),日次入力!$C$4:$C$1500,"Googleウェビナー")=0,"",SUMIFS(日次入力!$H$4:$H$1500,日次入力!$A$4:$A$1500,"&gt;="&amp;DATE(2027,1,19),日次入力!$A$4:$A$1500,"&lt;="&amp;DATE(2027,1,25),日次入力!$C$4:$C$1500,"Googleウェビナー"))</f>
        <v/>
      </c>
      <c r="M215" s="15" t="str">
        <f aca="false">IF(L215="","",IFERROR(L215/F215,""))</f>
        <v/>
      </c>
      <c r="N215" s="42" t="str">
        <f aca="false">IF(COUNTIFS(日次入力!$A$4:$A$1500,"&gt;="&amp;DATE(2027,1,19),日次入力!$A$4:$A$1500,"&lt;="&amp;DATE(2027,1,25),日次入力!$C$4:$C$1500,"Googleウェビナー")=0,"",SUMIFS(日次入力!$I$4:$I$1500,日次入力!$A$4:$A$1500,"&gt;="&amp;DATE(2027,1,19),日次入力!$A$4:$A$1500,"&lt;="&amp;DATE(2027,1,25),日次入力!$C$4:$C$1500,"Googleウェビナー"))</f>
        <v/>
      </c>
      <c r="O215" s="15" t="str">
        <f aca="false">IF(N215="","",IFERROR(N215/L215,""))</f>
        <v/>
      </c>
      <c r="P215" s="37" t="str">
        <f aca="false">IF(N215=0,"",IFERROR(C215/N215,""))</f>
        <v/>
      </c>
      <c r="Q215" s="38" t="str">
        <f aca="false">IF(N215=0,"",IFERROR(IF(C215/N215&lt;=用語集!$B$22,"◎ 許容内","✗ 超過"),"—"))</f>
        <v>—</v>
      </c>
      <c r="R215" s="39" t="str">
        <f aca="false">IFERROR(用語集!$B$22/P215,"")</f>
        <v/>
      </c>
    </row>
    <row r="216" customFormat="false" ht="15" hidden="false" customHeight="false" outlineLevel="0" collapsed="false">
      <c r="A216" s="34" t="s">
        <v>144</v>
      </c>
      <c r="B216" s="35" t="s">
        <v>145</v>
      </c>
      <c r="C216" s="41" t="str">
        <f aca="false">IF(COUNTIFS(日次入力!$A$4:$A$1500,"&gt;="&amp;DATE(2027,1,26),日次入力!$A$4:$A$1500,"&lt;="&amp;DATE(2027,2,1),日次入力!$C$4:$C$1500,"Googleウェビナー")=0,"",SUMIFS(日次入力!$D$4:$D$1500,日次入力!$A$4:$A$1500,"&gt;="&amp;DATE(2027,1,26),日次入力!$A$4:$A$1500,"&lt;="&amp;DATE(2027,2,1),日次入力!$C$4:$C$1500,"Googleウェビナー"))</f>
        <v/>
      </c>
      <c r="D216" s="42" t="str">
        <f aca="false">IF(COUNTIFS(日次入力!$A$4:$A$1500,"&gt;="&amp;DATE(2027,1,26),日次入力!$A$4:$A$1500,"&lt;="&amp;DATE(2027,2,1),日次入力!$C$4:$C$1500,"Googleウェビナー")=0,"",SUMIFS(日次入力!$E$4:$E$1500,日次入力!$A$4:$A$1500,"&gt;="&amp;DATE(2027,1,26),日次入力!$A$4:$A$1500,"&lt;="&amp;DATE(2027,2,1),日次入力!$C$4:$C$1500,"Googleウェビナー"))</f>
        <v/>
      </c>
      <c r="E216" s="42" t="str">
        <f aca="false">IF(COUNTIFS(日次入力!$A$4:$A$1500,"&gt;="&amp;DATE(2027,1,26),日次入力!$A$4:$A$1500,"&lt;="&amp;DATE(2027,2,1),日次入力!$C$4:$C$1500,"Googleウェビナー")=0,"",SUMIFS(日次入力!$F$4:$F$1500,日次入力!$A$4:$A$1500,"&gt;="&amp;DATE(2027,1,26),日次入力!$A$4:$A$1500,"&lt;="&amp;DATE(2027,2,1),日次入力!$C$4:$C$1500,"Googleウェビナー"))</f>
        <v/>
      </c>
      <c r="F216" s="42" t="str">
        <f aca="false">IF(COUNTIFS(日次入力!$A$4:$A$1500,"&gt;="&amp;DATE(2027,1,26),日次入力!$A$4:$A$1500,"&lt;="&amp;DATE(2027,2,1),日次入力!$C$4:$C$1500,"Googleウェビナー")=0,"",SUMIFS(日次入力!$G$4:$G$1500,日次入力!$A$4:$A$1500,"&gt;="&amp;DATE(2027,1,26),日次入力!$A$4:$A$1500,"&lt;="&amp;DATE(2027,2,1),日次入力!$C$4:$C$1500,"Googleウェビナー"))</f>
        <v/>
      </c>
      <c r="G216" s="15" t="str">
        <f aca="false">IFERROR(E216/D216,"")</f>
        <v/>
      </c>
      <c r="H216" s="37" t="str">
        <f aca="false">IFERROR(C216/E216,"")</f>
        <v/>
      </c>
      <c r="I216" s="37" t="str">
        <f aca="false">IFERROR(C216/D216*1000,"")</f>
        <v/>
      </c>
      <c r="J216" s="15" t="str">
        <f aca="false">IFERROR(F216/E216,"")</f>
        <v/>
      </c>
      <c r="K216" s="37" t="str">
        <f aca="false">IFERROR(C216/F216,"")</f>
        <v/>
      </c>
      <c r="L216" s="42" t="str">
        <f aca="false">IF(COUNTIFS(日次入力!$A$4:$A$1500,"&gt;="&amp;DATE(2027,1,26),日次入力!$A$4:$A$1500,"&lt;="&amp;DATE(2027,2,1),日次入力!$C$4:$C$1500,"Googleウェビナー")=0,"",SUMIFS(日次入力!$H$4:$H$1500,日次入力!$A$4:$A$1500,"&gt;="&amp;DATE(2027,1,26),日次入力!$A$4:$A$1500,"&lt;="&amp;DATE(2027,2,1),日次入力!$C$4:$C$1500,"Googleウェビナー"))</f>
        <v/>
      </c>
      <c r="M216" s="15" t="str">
        <f aca="false">IF(L216="","",IFERROR(L216/F216,""))</f>
        <v/>
      </c>
      <c r="N216" s="42" t="str">
        <f aca="false">IF(COUNTIFS(日次入力!$A$4:$A$1500,"&gt;="&amp;DATE(2027,1,26),日次入力!$A$4:$A$1500,"&lt;="&amp;DATE(2027,2,1),日次入力!$C$4:$C$1500,"Googleウェビナー")=0,"",SUMIFS(日次入力!$I$4:$I$1500,日次入力!$A$4:$A$1500,"&gt;="&amp;DATE(2027,1,26),日次入力!$A$4:$A$1500,"&lt;="&amp;DATE(2027,2,1),日次入力!$C$4:$C$1500,"Googleウェビナー"))</f>
        <v/>
      </c>
      <c r="O216" s="15" t="str">
        <f aca="false">IF(N216="","",IFERROR(N216/L216,""))</f>
        <v/>
      </c>
      <c r="P216" s="37" t="str">
        <f aca="false">IF(N216=0,"",IFERROR(C216/N216,""))</f>
        <v/>
      </c>
      <c r="Q216" s="38" t="str">
        <f aca="false">IF(N216=0,"",IFERROR(IF(C216/N216&lt;=用語集!$B$22,"◎ 許容内","✗ 超過"),"—"))</f>
        <v>—</v>
      </c>
      <c r="R216" s="39" t="str">
        <f aca="false">IFERROR(用語集!$B$22/P216,"")</f>
        <v/>
      </c>
    </row>
    <row r="217" customFormat="false" ht="15" hidden="false" customHeight="false" outlineLevel="0" collapsed="false">
      <c r="A217" s="34" t="s">
        <v>146</v>
      </c>
      <c r="B217" s="35" t="s">
        <v>147</v>
      </c>
      <c r="C217" s="41" t="str">
        <f aca="false">IF(COUNTIFS(日次入力!$A$4:$A$1500,"&gt;="&amp;DATE(2027,2,2),日次入力!$A$4:$A$1500,"&lt;="&amp;DATE(2027,2,8),日次入力!$C$4:$C$1500,"Googleウェビナー")=0,"",SUMIFS(日次入力!$D$4:$D$1500,日次入力!$A$4:$A$1500,"&gt;="&amp;DATE(2027,2,2),日次入力!$A$4:$A$1500,"&lt;="&amp;DATE(2027,2,8),日次入力!$C$4:$C$1500,"Googleウェビナー"))</f>
        <v/>
      </c>
      <c r="D217" s="42" t="str">
        <f aca="false">IF(COUNTIFS(日次入力!$A$4:$A$1500,"&gt;="&amp;DATE(2027,2,2),日次入力!$A$4:$A$1500,"&lt;="&amp;DATE(2027,2,8),日次入力!$C$4:$C$1500,"Googleウェビナー")=0,"",SUMIFS(日次入力!$E$4:$E$1500,日次入力!$A$4:$A$1500,"&gt;="&amp;DATE(2027,2,2),日次入力!$A$4:$A$1500,"&lt;="&amp;DATE(2027,2,8),日次入力!$C$4:$C$1500,"Googleウェビナー"))</f>
        <v/>
      </c>
      <c r="E217" s="42" t="str">
        <f aca="false">IF(COUNTIFS(日次入力!$A$4:$A$1500,"&gt;="&amp;DATE(2027,2,2),日次入力!$A$4:$A$1500,"&lt;="&amp;DATE(2027,2,8),日次入力!$C$4:$C$1500,"Googleウェビナー")=0,"",SUMIFS(日次入力!$F$4:$F$1500,日次入力!$A$4:$A$1500,"&gt;="&amp;DATE(2027,2,2),日次入力!$A$4:$A$1500,"&lt;="&amp;DATE(2027,2,8),日次入力!$C$4:$C$1500,"Googleウェビナー"))</f>
        <v/>
      </c>
      <c r="F217" s="42" t="str">
        <f aca="false">IF(COUNTIFS(日次入力!$A$4:$A$1500,"&gt;="&amp;DATE(2027,2,2),日次入力!$A$4:$A$1500,"&lt;="&amp;DATE(2027,2,8),日次入力!$C$4:$C$1500,"Googleウェビナー")=0,"",SUMIFS(日次入力!$G$4:$G$1500,日次入力!$A$4:$A$1500,"&gt;="&amp;DATE(2027,2,2),日次入力!$A$4:$A$1500,"&lt;="&amp;DATE(2027,2,8),日次入力!$C$4:$C$1500,"Googleウェビナー"))</f>
        <v/>
      </c>
      <c r="G217" s="15" t="str">
        <f aca="false">IFERROR(E217/D217,"")</f>
        <v/>
      </c>
      <c r="H217" s="37" t="str">
        <f aca="false">IFERROR(C217/E217,"")</f>
        <v/>
      </c>
      <c r="I217" s="37" t="str">
        <f aca="false">IFERROR(C217/D217*1000,"")</f>
        <v/>
      </c>
      <c r="J217" s="15" t="str">
        <f aca="false">IFERROR(F217/E217,"")</f>
        <v/>
      </c>
      <c r="K217" s="37" t="str">
        <f aca="false">IFERROR(C217/F217,"")</f>
        <v/>
      </c>
      <c r="L217" s="42" t="str">
        <f aca="false">IF(COUNTIFS(日次入力!$A$4:$A$1500,"&gt;="&amp;DATE(2027,2,2),日次入力!$A$4:$A$1500,"&lt;="&amp;DATE(2027,2,8),日次入力!$C$4:$C$1500,"Googleウェビナー")=0,"",SUMIFS(日次入力!$H$4:$H$1500,日次入力!$A$4:$A$1500,"&gt;="&amp;DATE(2027,2,2),日次入力!$A$4:$A$1500,"&lt;="&amp;DATE(2027,2,8),日次入力!$C$4:$C$1500,"Googleウェビナー"))</f>
        <v/>
      </c>
      <c r="M217" s="15" t="str">
        <f aca="false">IF(L217="","",IFERROR(L217/F217,""))</f>
        <v/>
      </c>
      <c r="N217" s="42" t="str">
        <f aca="false">IF(COUNTIFS(日次入力!$A$4:$A$1500,"&gt;="&amp;DATE(2027,2,2),日次入力!$A$4:$A$1500,"&lt;="&amp;DATE(2027,2,8),日次入力!$C$4:$C$1500,"Googleウェビナー")=0,"",SUMIFS(日次入力!$I$4:$I$1500,日次入力!$A$4:$A$1500,"&gt;="&amp;DATE(2027,2,2),日次入力!$A$4:$A$1500,"&lt;="&amp;DATE(2027,2,8),日次入力!$C$4:$C$1500,"Googleウェビナー"))</f>
        <v/>
      </c>
      <c r="O217" s="15" t="str">
        <f aca="false">IF(N217="","",IFERROR(N217/L217,""))</f>
        <v/>
      </c>
      <c r="P217" s="37" t="str">
        <f aca="false">IF(N217=0,"",IFERROR(C217/N217,""))</f>
        <v/>
      </c>
      <c r="Q217" s="38" t="str">
        <f aca="false">IF(N217=0,"",IFERROR(IF(C217/N217&lt;=用語集!$B$22,"◎ 許容内","✗ 超過"),"—"))</f>
        <v>—</v>
      </c>
      <c r="R217" s="39" t="str">
        <f aca="false">IFERROR(用語集!$B$22/P217,"")</f>
        <v/>
      </c>
    </row>
    <row r="218" customFormat="false" ht="15" hidden="false" customHeight="false" outlineLevel="0" collapsed="false">
      <c r="A218" s="34" t="s">
        <v>148</v>
      </c>
      <c r="B218" s="35" t="s">
        <v>149</v>
      </c>
      <c r="C218" s="41" t="str">
        <f aca="false">IF(COUNTIFS(日次入力!$A$4:$A$1500,"&gt;="&amp;DATE(2027,2,9),日次入力!$A$4:$A$1500,"&lt;="&amp;DATE(2027,2,15),日次入力!$C$4:$C$1500,"Googleウェビナー")=0,"",SUMIFS(日次入力!$D$4:$D$1500,日次入力!$A$4:$A$1500,"&gt;="&amp;DATE(2027,2,9),日次入力!$A$4:$A$1500,"&lt;="&amp;DATE(2027,2,15),日次入力!$C$4:$C$1500,"Googleウェビナー"))</f>
        <v/>
      </c>
      <c r="D218" s="42" t="str">
        <f aca="false">IF(COUNTIFS(日次入力!$A$4:$A$1500,"&gt;="&amp;DATE(2027,2,9),日次入力!$A$4:$A$1500,"&lt;="&amp;DATE(2027,2,15),日次入力!$C$4:$C$1500,"Googleウェビナー")=0,"",SUMIFS(日次入力!$E$4:$E$1500,日次入力!$A$4:$A$1500,"&gt;="&amp;DATE(2027,2,9),日次入力!$A$4:$A$1500,"&lt;="&amp;DATE(2027,2,15),日次入力!$C$4:$C$1500,"Googleウェビナー"))</f>
        <v/>
      </c>
      <c r="E218" s="42" t="str">
        <f aca="false">IF(COUNTIFS(日次入力!$A$4:$A$1500,"&gt;="&amp;DATE(2027,2,9),日次入力!$A$4:$A$1500,"&lt;="&amp;DATE(2027,2,15),日次入力!$C$4:$C$1500,"Googleウェビナー")=0,"",SUMIFS(日次入力!$F$4:$F$1500,日次入力!$A$4:$A$1500,"&gt;="&amp;DATE(2027,2,9),日次入力!$A$4:$A$1500,"&lt;="&amp;DATE(2027,2,15),日次入力!$C$4:$C$1500,"Googleウェビナー"))</f>
        <v/>
      </c>
      <c r="F218" s="42" t="str">
        <f aca="false">IF(COUNTIFS(日次入力!$A$4:$A$1500,"&gt;="&amp;DATE(2027,2,9),日次入力!$A$4:$A$1500,"&lt;="&amp;DATE(2027,2,15),日次入力!$C$4:$C$1500,"Googleウェビナー")=0,"",SUMIFS(日次入力!$G$4:$G$1500,日次入力!$A$4:$A$1500,"&gt;="&amp;DATE(2027,2,9),日次入力!$A$4:$A$1500,"&lt;="&amp;DATE(2027,2,15),日次入力!$C$4:$C$1500,"Googleウェビナー"))</f>
        <v/>
      </c>
      <c r="G218" s="15" t="str">
        <f aca="false">IFERROR(E218/D218,"")</f>
        <v/>
      </c>
      <c r="H218" s="37" t="str">
        <f aca="false">IFERROR(C218/E218,"")</f>
        <v/>
      </c>
      <c r="I218" s="37" t="str">
        <f aca="false">IFERROR(C218/D218*1000,"")</f>
        <v/>
      </c>
      <c r="J218" s="15" t="str">
        <f aca="false">IFERROR(F218/E218,"")</f>
        <v/>
      </c>
      <c r="K218" s="37" t="str">
        <f aca="false">IFERROR(C218/F218,"")</f>
        <v/>
      </c>
      <c r="L218" s="42" t="str">
        <f aca="false">IF(COUNTIFS(日次入力!$A$4:$A$1500,"&gt;="&amp;DATE(2027,2,9),日次入力!$A$4:$A$1500,"&lt;="&amp;DATE(2027,2,15),日次入力!$C$4:$C$1500,"Googleウェビナー")=0,"",SUMIFS(日次入力!$H$4:$H$1500,日次入力!$A$4:$A$1500,"&gt;="&amp;DATE(2027,2,9),日次入力!$A$4:$A$1500,"&lt;="&amp;DATE(2027,2,15),日次入力!$C$4:$C$1500,"Googleウェビナー"))</f>
        <v/>
      </c>
      <c r="M218" s="15" t="str">
        <f aca="false">IF(L218="","",IFERROR(L218/F218,""))</f>
        <v/>
      </c>
      <c r="N218" s="42" t="str">
        <f aca="false">IF(COUNTIFS(日次入力!$A$4:$A$1500,"&gt;="&amp;DATE(2027,2,9),日次入力!$A$4:$A$1500,"&lt;="&amp;DATE(2027,2,15),日次入力!$C$4:$C$1500,"Googleウェビナー")=0,"",SUMIFS(日次入力!$I$4:$I$1500,日次入力!$A$4:$A$1500,"&gt;="&amp;DATE(2027,2,9),日次入力!$A$4:$A$1500,"&lt;="&amp;DATE(2027,2,15),日次入力!$C$4:$C$1500,"Googleウェビナー"))</f>
        <v/>
      </c>
      <c r="O218" s="15" t="str">
        <f aca="false">IF(N218="","",IFERROR(N218/L218,""))</f>
        <v/>
      </c>
      <c r="P218" s="37" t="str">
        <f aca="false">IF(N218=0,"",IFERROR(C218/N218,""))</f>
        <v/>
      </c>
      <c r="Q218" s="38" t="str">
        <f aca="false">IF(N218=0,"",IFERROR(IF(C218/N218&lt;=用語集!$B$22,"◎ 許容内","✗ 超過"),"—"))</f>
        <v>—</v>
      </c>
      <c r="R218" s="39" t="str">
        <f aca="false">IFERROR(用語集!$B$22/P218,"")</f>
        <v/>
      </c>
    </row>
    <row r="219" customFormat="false" ht="15" hidden="false" customHeight="false" outlineLevel="0" collapsed="false">
      <c r="A219" s="34" t="s">
        <v>150</v>
      </c>
      <c r="B219" s="35" t="s">
        <v>151</v>
      </c>
      <c r="C219" s="41" t="str">
        <f aca="false">IF(COUNTIFS(日次入力!$A$4:$A$1500,"&gt;="&amp;DATE(2027,2,16),日次入力!$A$4:$A$1500,"&lt;="&amp;DATE(2027,2,22),日次入力!$C$4:$C$1500,"Googleウェビナー")=0,"",SUMIFS(日次入力!$D$4:$D$1500,日次入力!$A$4:$A$1500,"&gt;="&amp;DATE(2027,2,16),日次入力!$A$4:$A$1500,"&lt;="&amp;DATE(2027,2,22),日次入力!$C$4:$C$1500,"Googleウェビナー"))</f>
        <v/>
      </c>
      <c r="D219" s="42" t="str">
        <f aca="false">IF(COUNTIFS(日次入力!$A$4:$A$1500,"&gt;="&amp;DATE(2027,2,16),日次入力!$A$4:$A$1500,"&lt;="&amp;DATE(2027,2,22),日次入力!$C$4:$C$1500,"Googleウェビナー")=0,"",SUMIFS(日次入力!$E$4:$E$1500,日次入力!$A$4:$A$1500,"&gt;="&amp;DATE(2027,2,16),日次入力!$A$4:$A$1500,"&lt;="&amp;DATE(2027,2,22),日次入力!$C$4:$C$1500,"Googleウェビナー"))</f>
        <v/>
      </c>
      <c r="E219" s="42" t="str">
        <f aca="false">IF(COUNTIFS(日次入力!$A$4:$A$1500,"&gt;="&amp;DATE(2027,2,16),日次入力!$A$4:$A$1500,"&lt;="&amp;DATE(2027,2,22),日次入力!$C$4:$C$1500,"Googleウェビナー")=0,"",SUMIFS(日次入力!$F$4:$F$1500,日次入力!$A$4:$A$1500,"&gt;="&amp;DATE(2027,2,16),日次入力!$A$4:$A$1500,"&lt;="&amp;DATE(2027,2,22),日次入力!$C$4:$C$1500,"Googleウェビナー"))</f>
        <v/>
      </c>
      <c r="F219" s="42" t="str">
        <f aca="false">IF(COUNTIFS(日次入力!$A$4:$A$1500,"&gt;="&amp;DATE(2027,2,16),日次入力!$A$4:$A$1500,"&lt;="&amp;DATE(2027,2,22),日次入力!$C$4:$C$1500,"Googleウェビナー")=0,"",SUMIFS(日次入力!$G$4:$G$1500,日次入力!$A$4:$A$1500,"&gt;="&amp;DATE(2027,2,16),日次入力!$A$4:$A$1500,"&lt;="&amp;DATE(2027,2,22),日次入力!$C$4:$C$1500,"Googleウェビナー"))</f>
        <v/>
      </c>
      <c r="G219" s="15" t="str">
        <f aca="false">IFERROR(E219/D219,"")</f>
        <v/>
      </c>
      <c r="H219" s="37" t="str">
        <f aca="false">IFERROR(C219/E219,"")</f>
        <v/>
      </c>
      <c r="I219" s="37" t="str">
        <f aca="false">IFERROR(C219/D219*1000,"")</f>
        <v/>
      </c>
      <c r="J219" s="15" t="str">
        <f aca="false">IFERROR(F219/E219,"")</f>
        <v/>
      </c>
      <c r="K219" s="37" t="str">
        <f aca="false">IFERROR(C219/F219,"")</f>
        <v/>
      </c>
      <c r="L219" s="42" t="str">
        <f aca="false">IF(COUNTIFS(日次入力!$A$4:$A$1500,"&gt;="&amp;DATE(2027,2,16),日次入力!$A$4:$A$1500,"&lt;="&amp;DATE(2027,2,22),日次入力!$C$4:$C$1500,"Googleウェビナー")=0,"",SUMIFS(日次入力!$H$4:$H$1500,日次入力!$A$4:$A$1500,"&gt;="&amp;DATE(2027,2,16),日次入力!$A$4:$A$1500,"&lt;="&amp;DATE(2027,2,22),日次入力!$C$4:$C$1500,"Googleウェビナー"))</f>
        <v/>
      </c>
      <c r="M219" s="15" t="str">
        <f aca="false">IF(L219="","",IFERROR(L219/F219,""))</f>
        <v/>
      </c>
      <c r="N219" s="42" t="str">
        <f aca="false">IF(COUNTIFS(日次入力!$A$4:$A$1500,"&gt;="&amp;DATE(2027,2,16),日次入力!$A$4:$A$1500,"&lt;="&amp;DATE(2027,2,22),日次入力!$C$4:$C$1500,"Googleウェビナー")=0,"",SUMIFS(日次入力!$I$4:$I$1500,日次入力!$A$4:$A$1500,"&gt;="&amp;DATE(2027,2,16),日次入力!$A$4:$A$1500,"&lt;="&amp;DATE(2027,2,22),日次入力!$C$4:$C$1500,"Googleウェビナー"))</f>
        <v/>
      </c>
      <c r="O219" s="15" t="str">
        <f aca="false">IF(N219="","",IFERROR(N219/L219,""))</f>
        <v/>
      </c>
      <c r="P219" s="37" t="str">
        <f aca="false">IF(N219=0,"",IFERROR(C219/N219,""))</f>
        <v/>
      </c>
      <c r="Q219" s="38" t="str">
        <f aca="false">IF(N219=0,"",IFERROR(IF(C219/N219&lt;=用語集!$B$22,"◎ 許容内","✗ 超過"),"—"))</f>
        <v>—</v>
      </c>
      <c r="R219" s="39" t="str">
        <f aca="false">IFERROR(用語集!$B$22/P219,"")</f>
        <v/>
      </c>
    </row>
    <row r="220" customFormat="false" ht="15" hidden="false" customHeight="false" outlineLevel="0" collapsed="false">
      <c r="A220" s="34" t="s">
        <v>152</v>
      </c>
      <c r="B220" s="35" t="s">
        <v>153</v>
      </c>
      <c r="C220" s="41" t="str">
        <f aca="false">IF(COUNTIFS(日次入力!$A$4:$A$1500,"&gt;="&amp;DATE(2027,2,23),日次入力!$A$4:$A$1500,"&lt;="&amp;DATE(2027,3,1),日次入力!$C$4:$C$1500,"Googleウェビナー")=0,"",SUMIFS(日次入力!$D$4:$D$1500,日次入力!$A$4:$A$1500,"&gt;="&amp;DATE(2027,2,23),日次入力!$A$4:$A$1500,"&lt;="&amp;DATE(2027,3,1),日次入力!$C$4:$C$1500,"Googleウェビナー"))</f>
        <v/>
      </c>
      <c r="D220" s="42" t="str">
        <f aca="false">IF(COUNTIFS(日次入力!$A$4:$A$1500,"&gt;="&amp;DATE(2027,2,23),日次入力!$A$4:$A$1500,"&lt;="&amp;DATE(2027,3,1),日次入力!$C$4:$C$1500,"Googleウェビナー")=0,"",SUMIFS(日次入力!$E$4:$E$1500,日次入力!$A$4:$A$1500,"&gt;="&amp;DATE(2027,2,23),日次入力!$A$4:$A$1500,"&lt;="&amp;DATE(2027,3,1),日次入力!$C$4:$C$1500,"Googleウェビナー"))</f>
        <v/>
      </c>
      <c r="E220" s="42" t="str">
        <f aca="false">IF(COUNTIFS(日次入力!$A$4:$A$1500,"&gt;="&amp;DATE(2027,2,23),日次入力!$A$4:$A$1500,"&lt;="&amp;DATE(2027,3,1),日次入力!$C$4:$C$1500,"Googleウェビナー")=0,"",SUMIFS(日次入力!$F$4:$F$1500,日次入力!$A$4:$A$1500,"&gt;="&amp;DATE(2027,2,23),日次入力!$A$4:$A$1500,"&lt;="&amp;DATE(2027,3,1),日次入力!$C$4:$C$1500,"Googleウェビナー"))</f>
        <v/>
      </c>
      <c r="F220" s="42" t="str">
        <f aca="false">IF(COUNTIFS(日次入力!$A$4:$A$1500,"&gt;="&amp;DATE(2027,2,23),日次入力!$A$4:$A$1500,"&lt;="&amp;DATE(2027,3,1),日次入力!$C$4:$C$1500,"Googleウェビナー")=0,"",SUMIFS(日次入力!$G$4:$G$1500,日次入力!$A$4:$A$1500,"&gt;="&amp;DATE(2027,2,23),日次入力!$A$4:$A$1500,"&lt;="&amp;DATE(2027,3,1),日次入力!$C$4:$C$1500,"Googleウェビナー"))</f>
        <v/>
      </c>
      <c r="G220" s="15" t="str">
        <f aca="false">IFERROR(E220/D220,"")</f>
        <v/>
      </c>
      <c r="H220" s="37" t="str">
        <f aca="false">IFERROR(C220/E220,"")</f>
        <v/>
      </c>
      <c r="I220" s="37" t="str">
        <f aca="false">IFERROR(C220/D220*1000,"")</f>
        <v/>
      </c>
      <c r="J220" s="15" t="str">
        <f aca="false">IFERROR(F220/E220,"")</f>
        <v/>
      </c>
      <c r="K220" s="37" t="str">
        <f aca="false">IFERROR(C220/F220,"")</f>
        <v/>
      </c>
      <c r="L220" s="42" t="str">
        <f aca="false">IF(COUNTIFS(日次入力!$A$4:$A$1500,"&gt;="&amp;DATE(2027,2,23),日次入力!$A$4:$A$1500,"&lt;="&amp;DATE(2027,3,1),日次入力!$C$4:$C$1500,"Googleウェビナー")=0,"",SUMIFS(日次入力!$H$4:$H$1500,日次入力!$A$4:$A$1500,"&gt;="&amp;DATE(2027,2,23),日次入力!$A$4:$A$1500,"&lt;="&amp;DATE(2027,3,1),日次入力!$C$4:$C$1500,"Googleウェビナー"))</f>
        <v/>
      </c>
      <c r="M220" s="15" t="str">
        <f aca="false">IF(L220="","",IFERROR(L220/F220,""))</f>
        <v/>
      </c>
      <c r="N220" s="42" t="str">
        <f aca="false">IF(COUNTIFS(日次入力!$A$4:$A$1500,"&gt;="&amp;DATE(2027,2,23),日次入力!$A$4:$A$1500,"&lt;="&amp;DATE(2027,3,1),日次入力!$C$4:$C$1500,"Googleウェビナー")=0,"",SUMIFS(日次入力!$I$4:$I$1500,日次入力!$A$4:$A$1500,"&gt;="&amp;DATE(2027,2,23),日次入力!$A$4:$A$1500,"&lt;="&amp;DATE(2027,3,1),日次入力!$C$4:$C$1500,"Googleウェビナー"))</f>
        <v/>
      </c>
      <c r="O220" s="15" t="str">
        <f aca="false">IF(N220="","",IFERROR(N220/L220,""))</f>
        <v/>
      </c>
      <c r="P220" s="37" t="str">
        <f aca="false">IF(N220=0,"",IFERROR(C220/N220,""))</f>
        <v/>
      </c>
      <c r="Q220" s="38" t="str">
        <f aca="false">IF(N220=0,"",IFERROR(IF(C220/N220&lt;=用語集!$B$22,"◎ 許容内","✗ 超過"),"—"))</f>
        <v>—</v>
      </c>
      <c r="R220" s="39" t="str">
        <f aca="false">IFERROR(用語集!$B$22/P220,"")</f>
        <v/>
      </c>
    </row>
    <row r="221" customFormat="false" ht="15" hidden="false" customHeight="false" outlineLevel="0" collapsed="false">
      <c r="A221" s="34" t="s">
        <v>154</v>
      </c>
      <c r="B221" s="35" t="s">
        <v>155</v>
      </c>
      <c r="C221" s="41" t="str">
        <f aca="false">IF(COUNTIFS(日次入力!$A$4:$A$1500,"&gt;="&amp;DATE(2027,3,2),日次入力!$A$4:$A$1500,"&lt;="&amp;DATE(2027,3,8),日次入力!$C$4:$C$1500,"Googleウェビナー")=0,"",SUMIFS(日次入力!$D$4:$D$1500,日次入力!$A$4:$A$1500,"&gt;="&amp;DATE(2027,3,2),日次入力!$A$4:$A$1500,"&lt;="&amp;DATE(2027,3,8),日次入力!$C$4:$C$1500,"Googleウェビナー"))</f>
        <v/>
      </c>
      <c r="D221" s="42" t="str">
        <f aca="false">IF(COUNTIFS(日次入力!$A$4:$A$1500,"&gt;="&amp;DATE(2027,3,2),日次入力!$A$4:$A$1500,"&lt;="&amp;DATE(2027,3,8),日次入力!$C$4:$C$1500,"Googleウェビナー")=0,"",SUMIFS(日次入力!$E$4:$E$1500,日次入力!$A$4:$A$1500,"&gt;="&amp;DATE(2027,3,2),日次入力!$A$4:$A$1500,"&lt;="&amp;DATE(2027,3,8),日次入力!$C$4:$C$1500,"Googleウェビナー"))</f>
        <v/>
      </c>
      <c r="E221" s="42" t="str">
        <f aca="false">IF(COUNTIFS(日次入力!$A$4:$A$1500,"&gt;="&amp;DATE(2027,3,2),日次入力!$A$4:$A$1500,"&lt;="&amp;DATE(2027,3,8),日次入力!$C$4:$C$1500,"Googleウェビナー")=0,"",SUMIFS(日次入力!$F$4:$F$1500,日次入力!$A$4:$A$1500,"&gt;="&amp;DATE(2027,3,2),日次入力!$A$4:$A$1500,"&lt;="&amp;DATE(2027,3,8),日次入力!$C$4:$C$1500,"Googleウェビナー"))</f>
        <v/>
      </c>
      <c r="F221" s="42" t="str">
        <f aca="false">IF(COUNTIFS(日次入力!$A$4:$A$1500,"&gt;="&amp;DATE(2027,3,2),日次入力!$A$4:$A$1500,"&lt;="&amp;DATE(2027,3,8),日次入力!$C$4:$C$1500,"Googleウェビナー")=0,"",SUMIFS(日次入力!$G$4:$G$1500,日次入力!$A$4:$A$1500,"&gt;="&amp;DATE(2027,3,2),日次入力!$A$4:$A$1500,"&lt;="&amp;DATE(2027,3,8),日次入力!$C$4:$C$1500,"Googleウェビナー"))</f>
        <v/>
      </c>
      <c r="G221" s="15" t="str">
        <f aca="false">IFERROR(E221/D221,"")</f>
        <v/>
      </c>
      <c r="H221" s="37" t="str">
        <f aca="false">IFERROR(C221/E221,"")</f>
        <v/>
      </c>
      <c r="I221" s="37" t="str">
        <f aca="false">IFERROR(C221/D221*1000,"")</f>
        <v/>
      </c>
      <c r="J221" s="15" t="str">
        <f aca="false">IFERROR(F221/E221,"")</f>
        <v/>
      </c>
      <c r="K221" s="37" t="str">
        <f aca="false">IFERROR(C221/F221,"")</f>
        <v/>
      </c>
      <c r="L221" s="42" t="str">
        <f aca="false">IF(COUNTIFS(日次入力!$A$4:$A$1500,"&gt;="&amp;DATE(2027,3,2),日次入力!$A$4:$A$1500,"&lt;="&amp;DATE(2027,3,8),日次入力!$C$4:$C$1500,"Googleウェビナー")=0,"",SUMIFS(日次入力!$H$4:$H$1500,日次入力!$A$4:$A$1500,"&gt;="&amp;DATE(2027,3,2),日次入力!$A$4:$A$1500,"&lt;="&amp;DATE(2027,3,8),日次入力!$C$4:$C$1500,"Googleウェビナー"))</f>
        <v/>
      </c>
      <c r="M221" s="15" t="str">
        <f aca="false">IF(L221="","",IFERROR(L221/F221,""))</f>
        <v/>
      </c>
      <c r="N221" s="42" t="str">
        <f aca="false">IF(COUNTIFS(日次入力!$A$4:$A$1500,"&gt;="&amp;DATE(2027,3,2),日次入力!$A$4:$A$1500,"&lt;="&amp;DATE(2027,3,8),日次入力!$C$4:$C$1500,"Googleウェビナー")=0,"",SUMIFS(日次入力!$I$4:$I$1500,日次入力!$A$4:$A$1500,"&gt;="&amp;DATE(2027,3,2),日次入力!$A$4:$A$1500,"&lt;="&amp;DATE(2027,3,8),日次入力!$C$4:$C$1500,"Googleウェビナー"))</f>
        <v/>
      </c>
      <c r="O221" s="15" t="str">
        <f aca="false">IF(N221="","",IFERROR(N221/L221,""))</f>
        <v/>
      </c>
      <c r="P221" s="37" t="str">
        <f aca="false">IF(N221=0,"",IFERROR(C221/N221,""))</f>
        <v/>
      </c>
      <c r="Q221" s="38" t="str">
        <f aca="false">IF(N221=0,"",IFERROR(IF(C221/N221&lt;=用語集!$B$22,"◎ 許容内","✗ 超過"),"—"))</f>
        <v>—</v>
      </c>
      <c r="R221" s="39" t="str">
        <f aca="false">IFERROR(用語集!$B$22/P221,"")</f>
        <v/>
      </c>
    </row>
    <row r="222" customFormat="false" ht="15" hidden="false" customHeight="false" outlineLevel="0" collapsed="false">
      <c r="A222" s="34" t="s">
        <v>156</v>
      </c>
      <c r="B222" s="35" t="s">
        <v>157</v>
      </c>
      <c r="C222" s="41" t="str">
        <f aca="false">IF(COUNTIFS(日次入力!$A$4:$A$1500,"&gt;="&amp;DATE(2027,3,9),日次入力!$A$4:$A$1500,"&lt;="&amp;DATE(2027,3,15),日次入力!$C$4:$C$1500,"Googleウェビナー")=0,"",SUMIFS(日次入力!$D$4:$D$1500,日次入力!$A$4:$A$1500,"&gt;="&amp;DATE(2027,3,9),日次入力!$A$4:$A$1500,"&lt;="&amp;DATE(2027,3,15),日次入力!$C$4:$C$1500,"Googleウェビナー"))</f>
        <v/>
      </c>
      <c r="D222" s="42" t="str">
        <f aca="false">IF(COUNTIFS(日次入力!$A$4:$A$1500,"&gt;="&amp;DATE(2027,3,9),日次入力!$A$4:$A$1500,"&lt;="&amp;DATE(2027,3,15),日次入力!$C$4:$C$1500,"Googleウェビナー")=0,"",SUMIFS(日次入力!$E$4:$E$1500,日次入力!$A$4:$A$1500,"&gt;="&amp;DATE(2027,3,9),日次入力!$A$4:$A$1500,"&lt;="&amp;DATE(2027,3,15),日次入力!$C$4:$C$1500,"Googleウェビナー"))</f>
        <v/>
      </c>
      <c r="E222" s="42" t="str">
        <f aca="false">IF(COUNTIFS(日次入力!$A$4:$A$1500,"&gt;="&amp;DATE(2027,3,9),日次入力!$A$4:$A$1500,"&lt;="&amp;DATE(2027,3,15),日次入力!$C$4:$C$1500,"Googleウェビナー")=0,"",SUMIFS(日次入力!$F$4:$F$1500,日次入力!$A$4:$A$1500,"&gt;="&amp;DATE(2027,3,9),日次入力!$A$4:$A$1500,"&lt;="&amp;DATE(2027,3,15),日次入力!$C$4:$C$1500,"Googleウェビナー"))</f>
        <v/>
      </c>
      <c r="F222" s="42" t="str">
        <f aca="false">IF(COUNTIFS(日次入力!$A$4:$A$1500,"&gt;="&amp;DATE(2027,3,9),日次入力!$A$4:$A$1500,"&lt;="&amp;DATE(2027,3,15),日次入力!$C$4:$C$1500,"Googleウェビナー")=0,"",SUMIFS(日次入力!$G$4:$G$1500,日次入力!$A$4:$A$1500,"&gt;="&amp;DATE(2027,3,9),日次入力!$A$4:$A$1500,"&lt;="&amp;DATE(2027,3,15),日次入力!$C$4:$C$1500,"Googleウェビナー"))</f>
        <v/>
      </c>
      <c r="G222" s="15" t="str">
        <f aca="false">IFERROR(E222/D222,"")</f>
        <v/>
      </c>
      <c r="H222" s="37" t="str">
        <f aca="false">IFERROR(C222/E222,"")</f>
        <v/>
      </c>
      <c r="I222" s="37" t="str">
        <f aca="false">IFERROR(C222/D222*1000,"")</f>
        <v/>
      </c>
      <c r="J222" s="15" t="str">
        <f aca="false">IFERROR(F222/E222,"")</f>
        <v/>
      </c>
      <c r="K222" s="37" t="str">
        <f aca="false">IFERROR(C222/F222,"")</f>
        <v/>
      </c>
      <c r="L222" s="42" t="str">
        <f aca="false">IF(COUNTIFS(日次入力!$A$4:$A$1500,"&gt;="&amp;DATE(2027,3,9),日次入力!$A$4:$A$1500,"&lt;="&amp;DATE(2027,3,15),日次入力!$C$4:$C$1500,"Googleウェビナー")=0,"",SUMIFS(日次入力!$H$4:$H$1500,日次入力!$A$4:$A$1500,"&gt;="&amp;DATE(2027,3,9),日次入力!$A$4:$A$1500,"&lt;="&amp;DATE(2027,3,15),日次入力!$C$4:$C$1500,"Googleウェビナー"))</f>
        <v/>
      </c>
      <c r="M222" s="15" t="str">
        <f aca="false">IF(L222="","",IFERROR(L222/F222,""))</f>
        <v/>
      </c>
      <c r="N222" s="42" t="str">
        <f aca="false">IF(COUNTIFS(日次入力!$A$4:$A$1500,"&gt;="&amp;DATE(2027,3,9),日次入力!$A$4:$A$1500,"&lt;="&amp;DATE(2027,3,15),日次入力!$C$4:$C$1500,"Googleウェビナー")=0,"",SUMIFS(日次入力!$I$4:$I$1500,日次入力!$A$4:$A$1500,"&gt;="&amp;DATE(2027,3,9),日次入力!$A$4:$A$1500,"&lt;="&amp;DATE(2027,3,15),日次入力!$C$4:$C$1500,"Googleウェビナー"))</f>
        <v/>
      </c>
      <c r="O222" s="15" t="str">
        <f aca="false">IF(N222="","",IFERROR(N222/L222,""))</f>
        <v/>
      </c>
      <c r="P222" s="37" t="str">
        <f aca="false">IF(N222=0,"",IFERROR(C222/N222,""))</f>
        <v/>
      </c>
      <c r="Q222" s="38" t="str">
        <f aca="false">IF(N222=0,"",IFERROR(IF(C222/N222&lt;=用語集!$B$22,"◎ 許容内","✗ 超過"),"—"))</f>
        <v>—</v>
      </c>
      <c r="R222" s="39" t="str">
        <f aca="false">IFERROR(用語集!$B$22/P222,"")</f>
        <v/>
      </c>
    </row>
    <row r="223" customFormat="false" ht="15" hidden="false" customHeight="false" outlineLevel="0" collapsed="false">
      <c r="A223" s="34" t="s">
        <v>158</v>
      </c>
      <c r="B223" s="35" t="s">
        <v>159</v>
      </c>
      <c r="C223" s="41" t="str">
        <f aca="false">IF(COUNTIFS(日次入力!$A$4:$A$1500,"&gt;="&amp;DATE(2027,3,16),日次入力!$A$4:$A$1500,"&lt;="&amp;DATE(2027,3,22),日次入力!$C$4:$C$1500,"Googleウェビナー")=0,"",SUMIFS(日次入力!$D$4:$D$1500,日次入力!$A$4:$A$1500,"&gt;="&amp;DATE(2027,3,16),日次入力!$A$4:$A$1500,"&lt;="&amp;DATE(2027,3,22),日次入力!$C$4:$C$1500,"Googleウェビナー"))</f>
        <v/>
      </c>
      <c r="D223" s="42" t="str">
        <f aca="false">IF(COUNTIFS(日次入力!$A$4:$A$1500,"&gt;="&amp;DATE(2027,3,16),日次入力!$A$4:$A$1500,"&lt;="&amp;DATE(2027,3,22),日次入力!$C$4:$C$1500,"Googleウェビナー")=0,"",SUMIFS(日次入力!$E$4:$E$1500,日次入力!$A$4:$A$1500,"&gt;="&amp;DATE(2027,3,16),日次入力!$A$4:$A$1500,"&lt;="&amp;DATE(2027,3,22),日次入力!$C$4:$C$1500,"Googleウェビナー"))</f>
        <v/>
      </c>
      <c r="E223" s="42" t="str">
        <f aca="false">IF(COUNTIFS(日次入力!$A$4:$A$1500,"&gt;="&amp;DATE(2027,3,16),日次入力!$A$4:$A$1500,"&lt;="&amp;DATE(2027,3,22),日次入力!$C$4:$C$1500,"Googleウェビナー")=0,"",SUMIFS(日次入力!$F$4:$F$1500,日次入力!$A$4:$A$1500,"&gt;="&amp;DATE(2027,3,16),日次入力!$A$4:$A$1500,"&lt;="&amp;DATE(2027,3,22),日次入力!$C$4:$C$1500,"Googleウェビナー"))</f>
        <v/>
      </c>
      <c r="F223" s="42" t="str">
        <f aca="false">IF(COUNTIFS(日次入力!$A$4:$A$1500,"&gt;="&amp;DATE(2027,3,16),日次入力!$A$4:$A$1500,"&lt;="&amp;DATE(2027,3,22),日次入力!$C$4:$C$1500,"Googleウェビナー")=0,"",SUMIFS(日次入力!$G$4:$G$1500,日次入力!$A$4:$A$1500,"&gt;="&amp;DATE(2027,3,16),日次入力!$A$4:$A$1500,"&lt;="&amp;DATE(2027,3,22),日次入力!$C$4:$C$1500,"Googleウェビナー"))</f>
        <v/>
      </c>
      <c r="G223" s="15" t="str">
        <f aca="false">IFERROR(E223/D223,"")</f>
        <v/>
      </c>
      <c r="H223" s="37" t="str">
        <f aca="false">IFERROR(C223/E223,"")</f>
        <v/>
      </c>
      <c r="I223" s="37" t="str">
        <f aca="false">IFERROR(C223/D223*1000,"")</f>
        <v/>
      </c>
      <c r="J223" s="15" t="str">
        <f aca="false">IFERROR(F223/E223,"")</f>
        <v/>
      </c>
      <c r="K223" s="37" t="str">
        <f aca="false">IFERROR(C223/F223,"")</f>
        <v/>
      </c>
      <c r="L223" s="42" t="str">
        <f aca="false">IF(COUNTIFS(日次入力!$A$4:$A$1500,"&gt;="&amp;DATE(2027,3,16),日次入力!$A$4:$A$1500,"&lt;="&amp;DATE(2027,3,22),日次入力!$C$4:$C$1500,"Googleウェビナー")=0,"",SUMIFS(日次入力!$H$4:$H$1500,日次入力!$A$4:$A$1500,"&gt;="&amp;DATE(2027,3,16),日次入力!$A$4:$A$1500,"&lt;="&amp;DATE(2027,3,22),日次入力!$C$4:$C$1500,"Googleウェビナー"))</f>
        <v/>
      </c>
      <c r="M223" s="15" t="str">
        <f aca="false">IF(L223="","",IFERROR(L223/F223,""))</f>
        <v/>
      </c>
      <c r="N223" s="42" t="str">
        <f aca="false">IF(COUNTIFS(日次入力!$A$4:$A$1500,"&gt;="&amp;DATE(2027,3,16),日次入力!$A$4:$A$1500,"&lt;="&amp;DATE(2027,3,22),日次入力!$C$4:$C$1500,"Googleウェビナー")=0,"",SUMIFS(日次入力!$I$4:$I$1500,日次入力!$A$4:$A$1500,"&gt;="&amp;DATE(2027,3,16),日次入力!$A$4:$A$1500,"&lt;="&amp;DATE(2027,3,22),日次入力!$C$4:$C$1500,"Googleウェビナー"))</f>
        <v/>
      </c>
      <c r="O223" s="15" t="str">
        <f aca="false">IF(N223="","",IFERROR(N223/L223,""))</f>
        <v/>
      </c>
      <c r="P223" s="37" t="str">
        <f aca="false">IF(N223=0,"",IFERROR(C223/N223,""))</f>
        <v/>
      </c>
      <c r="Q223" s="38" t="str">
        <f aca="false">IF(N223=0,"",IFERROR(IF(C223/N223&lt;=用語集!$B$22,"◎ 許容内","✗ 超過"),"—"))</f>
        <v>—</v>
      </c>
      <c r="R223" s="39" t="str">
        <f aca="false">IFERROR(用語集!$B$22/P223,"")</f>
        <v/>
      </c>
    </row>
    <row r="224" customFormat="false" ht="15" hidden="false" customHeight="false" outlineLevel="0" collapsed="false">
      <c r="A224" s="34" t="s">
        <v>160</v>
      </c>
      <c r="B224" s="35" t="s">
        <v>161</v>
      </c>
      <c r="C224" s="41" t="str">
        <f aca="false">IF(COUNTIFS(日次入力!$A$4:$A$1500,"&gt;="&amp;DATE(2027,3,23),日次入力!$A$4:$A$1500,"&lt;="&amp;DATE(2027,3,29),日次入力!$C$4:$C$1500,"Googleウェビナー")=0,"",SUMIFS(日次入力!$D$4:$D$1500,日次入力!$A$4:$A$1500,"&gt;="&amp;DATE(2027,3,23),日次入力!$A$4:$A$1500,"&lt;="&amp;DATE(2027,3,29),日次入力!$C$4:$C$1500,"Googleウェビナー"))</f>
        <v/>
      </c>
      <c r="D224" s="42" t="str">
        <f aca="false">IF(COUNTIFS(日次入力!$A$4:$A$1500,"&gt;="&amp;DATE(2027,3,23),日次入力!$A$4:$A$1500,"&lt;="&amp;DATE(2027,3,29),日次入力!$C$4:$C$1500,"Googleウェビナー")=0,"",SUMIFS(日次入力!$E$4:$E$1500,日次入力!$A$4:$A$1500,"&gt;="&amp;DATE(2027,3,23),日次入力!$A$4:$A$1500,"&lt;="&amp;DATE(2027,3,29),日次入力!$C$4:$C$1500,"Googleウェビナー"))</f>
        <v/>
      </c>
      <c r="E224" s="42" t="str">
        <f aca="false">IF(COUNTIFS(日次入力!$A$4:$A$1500,"&gt;="&amp;DATE(2027,3,23),日次入力!$A$4:$A$1500,"&lt;="&amp;DATE(2027,3,29),日次入力!$C$4:$C$1500,"Googleウェビナー")=0,"",SUMIFS(日次入力!$F$4:$F$1500,日次入力!$A$4:$A$1500,"&gt;="&amp;DATE(2027,3,23),日次入力!$A$4:$A$1500,"&lt;="&amp;DATE(2027,3,29),日次入力!$C$4:$C$1500,"Googleウェビナー"))</f>
        <v/>
      </c>
      <c r="F224" s="42" t="str">
        <f aca="false">IF(COUNTIFS(日次入力!$A$4:$A$1500,"&gt;="&amp;DATE(2027,3,23),日次入力!$A$4:$A$1500,"&lt;="&amp;DATE(2027,3,29),日次入力!$C$4:$C$1500,"Googleウェビナー")=0,"",SUMIFS(日次入力!$G$4:$G$1500,日次入力!$A$4:$A$1500,"&gt;="&amp;DATE(2027,3,23),日次入力!$A$4:$A$1500,"&lt;="&amp;DATE(2027,3,29),日次入力!$C$4:$C$1500,"Googleウェビナー"))</f>
        <v/>
      </c>
      <c r="G224" s="15" t="str">
        <f aca="false">IFERROR(E224/D224,"")</f>
        <v/>
      </c>
      <c r="H224" s="37" t="str">
        <f aca="false">IFERROR(C224/E224,"")</f>
        <v/>
      </c>
      <c r="I224" s="37" t="str">
        <f aca="false">IFERROR(C224/D224*1000,"")</f>
        <v/>
      </c>
      <c r="J224" s="15" t="str">
        <f aca="false">IFERROR(F224/E224,"")</f>
        <v/>
      </c>
      <c r="K224" s="37" t="str">
        <f aca="false">IFERROR(C224/F224,"")</f>
        <v/>
      </c>
      <c r="L224" s="42" t="str">
        <f aca="false">IF(COUNTIFS(日次入力!$A$4:$A$1500,"&gt;="&amp;DATE(2027,3,23),日次入力!$A$4:$A$1500,"&lt;="&amp;DATE(2027,3,29),日次入力!$C$4:$C$1500,"Googleウェビナー")=0,"",SUMIFS(日次入力!$H$4:$H$1500,日次入力!$A$4:$A$1500,"&gt;="&amp;DATE(2027,3,23),日次入力!$A$4:$A$1500,"&lt;="&amp;DATE(2027,3,29),日次入力!$C$4:$C$1500,"Googleウェビナー"))</f>
        <v/>
      </c>
      <c r="M224" s="15" t="str">
        <f aca="false">IF(L224="","",IFERROR(L224/F224,""))</f>
        <v/>
      </c>
      <c r="N224" s="42" t="str">
        <f aca="false">IF(COUNTIFS(日次入力!$A$4:$A$1500,"&gt;="&amp;DATE(2027,3,23),日次入力!$A$4:$A$1500,"&lt;="&amp;DATE(2027,3,29),日次入力!$C$4:$C$1500,"Googleウェビナー")=0,"",SUMIFS(日次入力!$I$4:$I$1500,日次入力!$A$4:$A$1500,"&gt;="&amp;DATE(2027,3,23),日次入力!$A$4:$A$1500,"&lt;="&amp;DATE(2027,3,29),日次入力!$C$4:$C$1500,"Googleウェビナー"))</f>
        <v/>
      </c>
      <c r="O224" s="15" t="str">
        <f aca="false">IF(N224="","",IFERROR(N224/L224,""))</f>
        <v/>
      </c>
      <c r="P224" s="37" t="str">
        <f aca="false">IF(N224=0,"",IFERROR(C224/N224,""))</f>
        <v/>
      </c>
      <c r="Q224" s="38" t="str">
        <f aca="false">IF(N224=0,"",IFERROR(IF(C224/N224&lt;=用語集!$B$22,"◎ 許容内","✗ 超過"),"—"))</f>
        <v>—</v>
      </c>
      <c r="R224" s="39" t="str">
        <f aca="false">IFERROR(用語集!$B$22/P224,"")</f>
        <v/>
      </c>
    </row>
    <row r="225" customFormat="false" ht="15" hidden="false" customHeight="false" outlineLevel="0" collapsed="false">
      <c r="A225" s="34" t="s">
        <v>162</v>
      </c>
      <c r="B225" s="35" t="s">
        <v>163</v>
      </c>
      <c r="C225" s="41" t="str">
        <f aca="false">IF(COUNTIFS(日次入力!$A$4:$A$1500,"&gt;="&amp;DATE(2027,3,30),日次入力!$A$4:$A$1500,"&lt;="&amp;DATE(2027,4,5),日次入力!$C$4:$C$1500,"Googleウェビナー")=0,"",SUMIFS(日次入力!$D$4:$D$1500,日次入力!$A$4:$A$1500,"&gt;="&amp;DATE(2027,3,30),日次入力!$A$4:$A$1500,"&lt;="&amp;DATE(2027,4,5),日次入力!$C$4:$C$1500,"Googleウェビナー"))</f>
        <v/>
      </c>
      <c r="D225" s="42" t="str">
        <f aca="false">IF(COUNTIFS(日次入力!$A$4:$A$1500,"&gt;="&amp;DATE(2027,3,30),日次入力!$A$4:$A$1500,"&lt;="&amp;DATE(2027,4,5),日次入力!$C$4:$C$1500,"Googleウェビナー")=0,"",SUMIFS(日次入力!$E$4:$E$1500,日次入力!$A$4:$A$1500,"&gt;="&amp;DATE(2027,3,30),日次入力!$A$4:$A$1500,"&lt;="&amp;DATE(2027,4,5),日次入力!$C$4:$C$1500,"Googleウェビナー"))</f>
        <v/>
      </c>
      <c r="E225" s="42" t="str">
        <f aca="false">IF(COUNTIFS(日次入力!$A$4:$A$1500,"&gt;="&amp;DATE(2027,3,30),日次入力!$A$4:$A$1500,"&lt;="&amp;DATE(2027,4,5),日次入力!$C$4:$C$1500,"Googleウェビナー")=0,"",SUMIFS(日次入力!$F$4:$F$1500,日次入力!$A$4:$A$1500,"&gt;="&amp;DATE(2027,3,30),日次入力!$A$4:$A$1500,"&lt;="&amp;DATE(2027,4,5),日次入力!$C$4:$C$1500,"Googleウェビナー"))</f>
        <v/>
      </c>
      <c r="F225" s="42" t="str">
        <f aca="false">IF(COUNTIFS(日次入力!$A$4:$A$1500,"&gt;="&amp;DATE(2027,3,30),日次入力!$A$4:$A$1500,"&lt;="&amp;DATE(2027,4,5),日次入力!$C$4:$C$1500,"Googleウェビナー")=0,"",SUMIFS(日次入力!$G$4:$G$1500,日次入力!$A$4:$A$1500,"&gt;="&amp;DATE(2027,3,30),日次入力!$A$4:$A$1500,"&lt;="&amp;DATE(2027,4,5),日次入力!$C$4:$C$1500,"Googleウェビナー"))</f>
        <v/>
      </c>
      <c r="G225" s="15" t="str">
        <f aca="false">IFERROR(E225/D225,"")</f>
        <v/>
      </c>
      <c r="H225" s="37" t="str">
        <f aca="false">IFERROR(C225/E225,"")</f>
        <v/>
      </c>
      <c r="I225" s="37" t="str">
        <f aca="false">IFERROR(C225/D225*1000,"")</f>
        <v/>
      </c>
      <c r="J225" s="15" t="str">
        <f aca="false">IFERROR(F225/E225,"")</f>
        <v/>
      </c>
      <c r="K225" s="37" t="str">
        <f aca="false">IFERROR(C225/F225,"")</f>
        <v/>
      </c>
      <c r="L225" s="42" t="str">
        <f aca="false">IF(COUNTIFS(日次入力!$A$4:$A$1500,"&gt;="&amp;DATE(2027,3,30),日次入力!$A$4:$A$1500,"&lt;="&amp;DATE(2027,4,5),日次入力!$C$4:$C$1500,"Googleウェビナー")=0,"",SUMIFS(日次入力!$H$4:$H$1500,日次入力!$A$4:$A$1500,"&gt;="&amp;DATE(2027,3,30),日次入力!$A$4:$A$1500,"&lt;="&amp;DATE(2027,4,5),日次入力!$C$4:$C$1500,"Googleウェビナー"))</f>
        <v/>
      </c>
      <c r="M225" s="15" t="str">
        <f aca="false">IF(L225="","",IFERROR(L225/F225,""))</f>
        <v/>
      </c>
      <c r="N225" s="42" t="str">
        <f aca="false">IF(COUNTIFS(日次入力!$A$4:$A$1500,"&gt;="&amp;DATE(2027,3,30),日次入力!$A$4:$A$1500,"&lt;="&amp;DATE(2027,4,5),日次入力!$C$4:$C$1500,"Googleウェビナー")=0,"",SUMIFS(日次入力!$I$4:$I$1500,日次入力!$A$4:$A$1500,"&gt;="&amp;DATE(2027,3,30),日次入力!$A$4:$A$1500,"&lt;="&amp;DATE(2027,4,5),日次入力!$C$4:$C$1500,"Googleウェビナー"))</f>
        <v/>
      </c>
      <c r="O225" s="15" t="str">
        <f aca="false">IF(N225="","",IFERROR(N225/L225,""))</f>
        <v/>
      </c>
      <c r="P225" s="37" t="str">
        <f aca="false">IF(N225=0,"",IFERROR(C225/N225,""))</f>
        <v/>
      </c>
      <c r="Q225" s="38" t="str">
        <f aca="false">IF(N225=0,"",IFERROR(IF(C225/N225&lt;=用語集!$B$22,"◎ 許容内","✗ 超過"),"—"))</f>
        <v>—</v>
      </c>
      <c r="R225" s="39" t="str">
        <f aca="false">IFERROR(用語集!$B$22/P225,"")</f>
        <v/>
      </c>
    </row>
    <row r="226" customFormat="false" ht="15" hidden="false" customHeight="false" outlineLevel="0" collapsed="false">
      <c r="A226" s="43" t="s">
        <v>164</v>
      </c>
      <c r="B226" s="44"/>
      <c r="C226" s="45" t="n">
        <f aca="false">SUM(C174:C225)</f>
        <v>45505</v>
      </c>
      <c r="D226" s="46" t="n">
        <f aca="false">SUM(D174:D225)</f>
        <v>3254</v>
      </c>
      <c r="E226" s="46" t="n">
        <f aca="false">SUM(E174:E225)</f>
        <v>415</v>
      </c>
      <c r="F226" s="46" t="n">
        <f aca="false">SUM(F174:F225)</f>
        <v>6</v>
      </c>
      <c r="G226" s="47" t="n">
        <f aca="false">IFERROR(E226/D226,"")</f>
        <v>0.127535341118623</v>
      </c>
      <c r="H226" s="45" t="n">
        <f aca="false">IFERROR(C226/E226,"")</f>
        <v>109.650602409639</v>
      </c>
      <c r="I226" s="45" t="n">
        <f aca="false">IFERROR(C226/D226*1000,"")</f>
        <v>13984.3269821758</v>
      </c>
      <c r="J226" s="47" t="n">
        <f aca="false">IFERROR(F226/D226,"")</f>
        <v>0.00184388444990781</v>
      </c>
      <c r="K226" s="45" t="n">
        <f aca="false">IFERROR(C226/F226,"")</f>
        <v>7584.16666666667</v>
      </c>
      <c r="L226" s="46" t="n">
        <f aca="false">SUM(L174:L225)</f>
        <v>0</v>
      </c>
      <c r="M226" s="47" t="str">
        <f aca="false">IF(L226=0,"",IFERROR(L226/F226,""))</f>
        <v/>
      </c>
      <c r="N226" s="46" t="n">
        <f aca="false">SUM(N174:N225)</f>
        <v>0</v>
      </c>
      <c r="O226" s="47" t="str">
        <f aca="false">IF(L226=0,"",IFERROR(N226/L226,""))</f>
        <v/>
      </c>
      <c r="P226" s="45" t="str">
        <f aca="false">IF(N226=0,"",IFERROR(C226/N226,""))</f>
        <v/>
      </c>
      <c r="Q226" s="43" t="str">
        <f aca="false">IF(N226=0,"",IFERROR(IF(C226/N226&lt;=用語集!$B$22,"◎ 許容内","✗ 超過"),"—"))</f>
        <v/>
      </c>
      <c r="R226" s="48" t="str">
        <f aca="false">IFERROR(用語集!$B$22/P226,"")</f>
        <v/>
      </c>
    </row>
    <row r="228" customFormat="false" ht="17.15" hidden="false" customHeight="false" outlineLevel="0" collapsed="false">
      <c r="A228" s="31" t="s">
        <v>168</v>
      </c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</row>
    <row r="229" customFormat="false" ht="25.5" hidden="false" customHeight="true" outlineLevel="0" collapsed="false">
      <c r="A229" s="32" t="s">
        <v>48</v>
      </c>
      <c r="B229" s="32" t="s">
        <v>49</v>
      </c>
      <c r="C229" s="32" t="s">
        <v>35</v>
      </c>
      <c r="D229" s="33" t="s">
        <v>36</v>
      </c>
      <c r="E229" s="32" t="s">
        <v>37</v>
      </c>
      <c r="F229" s="33" t="s">
        <v>38</v>
      </c>
      <c r="G229" s="33" t="s">
        <v>50</v>
      </c>
      <c r="H229" s="33" t="s">
        <v>51</v>
      </c>
      <c r="I229" s="33" t="s">
        <v>52</v>
      </c>
      <c r="J229" s="33" t="s">
        <v>53</v>
      </c>
      <c r="K229" s="33" t="s">
        <v>54</v>
      </c>
      <c r="L229" s="32" t="s">
        <v>39</v>
      </c>
      <c r="M229" s="32" t="s">
        <v>55</v>
      </c>
      <c r="N229" s="32" t="s">
        <v>40</v>
      </c>
      <c r="O229" s="32" t="s">
        <v>23</v>
      </c>
      <c r="P229" s="33" t="s">
        <v>56</v>
      </c>
      <c r="Q229" s="32" t="s">
        <v>57</v>
      </c>
      <c r="R229" s="32" t="s">
        <v>58</v>
      </c>
    </row>
    <row r="230" customFormat="false" ht="15" hidden="false" customHeight="false" outlineLevel="0" collapsed="false">
      <c r="A230" s="34" t="s">
        <v>59</v>
      </c>
      <c r="B230" s="35" t="s">
        <v>60</v>
      </c>
      <c r="C230" s="36" t="n">
        <v>728</v>
      </c>
      <c r="D230" s="12" t="n">
        <v>49</v>
      </c>
      <c r="E230" s="12" t="n">
        <v>20</v>
      </c>
      <c r="F230" s="12" t="n">
        <v>0</v>
      </c>
      <c r="G230" s="15" t="n">
        <f aca="false">IFERROR(E230/D230,"")</f>
        <v>0.408163265306122</v>
      </c>
      <c r="H230" s="37" t="n">
        <f aca="false">IFERROR(C230/E230,"")</f>
        <v>36.4</v>
      </c>
      <c r="I230" s="37" t="n">
        <f aca="false">IFERROR(C230/D230*1000,"")</f>
        <v>14857.1428571429</v>
      </c>
      <c r="J230" s="15" t="n">
        <f aca="false">IFERROR(F230/E230,"")</f>
        <v>0</v>
      </c>
      <c r="K230" s="37" t="str">
        <f aca="false">IFERROR(C230/F230,"")</f>
        <v/>
      </c>
      <c r="L230" s="12"/>
      <c r="M230" s="15" t="str">
        <f aca="false">IF(L230="","",IFERROR(L230/F230,""))</f>
        <v/>
      </c>
      <c r="N230" s="12"/>
      <c r="O230" s="15" t="str">
        <f aca="false">IF(N230="","",IFERROR(N230/L230,""))</f>
        <v/>
      </c>
      <c r="P230" s="37" t="str">
        <f aca="false">IF(N230=0,"",IFERROR(C230/N230,""))</f>
        <v/>
      </c>
      <c r="Q230" s="38" t="str">
        <f aca="false">IF(N230=0,"",IFERROR(IF(C230/N230&lt;=用語集!$B$22,"◎ 許容内","✗ 超過"),"—"))</f>
        <v/>
      </c>
      <c r="R230" s="39" t="str">
        <f aca="false">IFERROR(用語集!$B$22/P230,"")</f>
        <v/>
      </c>
    </row>
    <row r="231" customFormat="false" ht="15" hidden="false" customHeight="false" outlineLevel="0" collapsed="false">
      <c r="A231" s="34" t="s">
        <v>61</v>
      </c>
      <c r="B231" s="35" t="s">
        <v>62</v>
      </c>
      <c r="C231" s="36" t="n">
        <v>2027</v>
      </c>
      <c r="D231" s="12" t="n">
        <v>99</v>
      </c>
      <c r="E231" s="12" t="n">
        <v>31</v>
      </c>
      <c r="F231" s="12" t="n">
        <v>1</v>
      </c>
      <c r="G231" s="15" t="n">
        <f aca="false">IFERROR(E231/D231,"")</f>
        <v>0.313131313131313</v>
      </c>
      <c r="H231" s="37" t="n">
        <f aca="false">IFERROR(C231/E231,"")</f>
        <v>65.3870967741936</v>
      </c>
      <c r="I231" s="37" t="n">
        <f aca="false">IFERROR(C231/D231*1000,"")</f>
        <v>20474.7474747475</v>
      </c>
      <c r="J231" s="15" t="n">
        <f aca="false">IFERROR(F231/E231,"")</f>
        <v>0.032258064516129</v>
      </c>
      <c r="K231" s="37" t="n">
        <f aca="false">IFERROR(C231/F231,"")</f>
        <v>2027</v>
      </c>
      <c r="L231" s="12"/>
      <c r="M231" s="15" t="str">
        <f aca="false">IF(L231="","",IFERROR(L231/F231,""))</f>
        <v/>
      </c>
      <c r="N231" s="12"/>
      <c r="O231" s="15" t="str">
        <f aca="false">IF(N231="","",IFERROR(N231/L231,""))</f>
        <v/>
      </c>
      <c r="P231" s="37" t="str">
        <f aca="false">IF(N231=0,"",IFERROR(C231/N231,""))</f>
        <v/>
      </c>
      <c r="Q231" s="38" t="str">
        <f aca="false">IF(N231=0,"",IFERROR(IF(C231/N231&lt;=用語集!$B$22,"◎ 許容内","✗ 超過"),"—"))</f>
        <v/>
      </c>
      <c r="R231" s="39" t="str">
        <f aca="false">IFERROR(用語集!$B$22/P231,"")</f>
        <v/>
      </c>
    </row>
    <row r="232" customFormat="false" ht="15" hidden="false" customHeight="false" outlineLevel="0" collapsed="false">
      <c r="A232" s="34" t="s">
        <v>63</v>
      </c>
      <c r="B232" s="35" t="s">
        <v>64</v>
      </c>
      <c r="C232" s="36" t="n">
        <v>14652</v>
      </c>
      <c r="D232" s="12" t="n">
        <v>577</v>
      </c>
      <c r="E232" s="12" t="n">
        <v>247</v>
      </c>
      <c r="F232" s="12" t="n">
        <v>3</v>
      </c>
      <c r="G232" s="15" t="n">
        <f aca="false">IFERROR(E232/D232,"")</f>
        <v>0.428076256499133</v>
      </c>
      <c r="H232" s="37" t="n">
        <f aca="false">IFERROR(C232/E232,"")</f>
        <v>59.3198380566802</v>
      </c>
      <c r="I232" s="37" t="n">
        <f aca="false">IFERROR(C232/D232*1000,"")</f>
        <v>25393.4142114385</v>
      </c>
      <c r="J232" s="15" t="n">
        <f aca="false">IFERROR(F232/E232,"")</f>
        <v>0.0121457489878543</v>
      </c>
      <c r="K232" s="37" t="n">
        <f aca="false">IFERROR(C232/F232,"")</f>
        <v>4884</v>
      </c>
      <c r="L232" s="12"/>
      <c r="M232" s="15" t="str">
        <f aca="false">IF(L232="","",IFERROR(L232/F232,""))</f>
        <v/>
      </c>
      <c r="N232" s="12"/>
      <c r="O232" s="15" t="str">
        <f aca="false">IF(N232="","",IFERROR(N232/L232,""))</f>
        <v/>
      </c>
      <c r="P232" s="37" t="str">
        <f aca="false">IF(N232=0,"",IFERROR(C232/N232,""))</f>
        <v/>
      </c>
      <c r="Q232" s="38" t="str">
        <f aca="false">IF(N232=0,"",IFERROR(IF(C232/N232&lt;=用語集!$B$22,"◎ 許容内","✗ 超過"),"—"))</f>
        <v/>
      </c>
      <c r="R232" s="39" t="str">
        <f aca="false">IFERROR(用語集!$B$22/P232,"")</f>
        <v/>
      </c>
    </row>
    <row r="233" customFormat="false" ht="15" hidden="false" customHeight="false" outlineLevel="0" collapsed="false">
      <c r="A233" s="34" t="s">
        <v>65</v>
      </c>
      <c r="B233" s="35" t="s">
        <v>66</v>
      </c>
      <c r="C233" s="36" t="n">
        <v>4279</v>
      </c>
      <c r="D233" s="12" t="n">
        <v>163</v>
      </c>
      <c r="E233" s="12" t="n">
        <v>58</v>
      </c>
      <c r="F233" s="12" t="n">
        <v>1</v>
      </c>
      <c r="G233" s="15" t="n">
        <f aca="false">IFERROR(E233/D233,"")</f>
        <v>0.355828220858896</v>
      </c>
      <c r="H233" s="37" t="n">
        <f aca="false">IFERROR(C233/E233,"")</f>
        <v>73.7758620689655</v>
      </c>
      <c r="I233" s="37" t="n">
        <f aca="false">IFERROR(C233/D233*1000,"")</f>
        <v>26251.5337423313</v>
      </c>
      <c r="J233" s="15" t="n">
        <f aca="false">IFERROR(F233/E233,"")</f>
        <v>0.0172413793103448</v>
      </c>
      <c r="K233" s="37" t="n">
        <f aca="false">IFERROR(C233/F233,"")</f>
        <v>4279</v>
      </c>
      <c r="L233" s="12"/>
      <c r="M233" s="15" t="str">
        <f aca="false">IF(L233="","",IFERROR(L233/F233,""))</f>
        <v/>
      </c>
      <c r="N233" s="12"/>
      <c r="O233" s="15" t="str">
        <f aca="false">IF(N233="","",IFERROR(N233/L233,""))</f>
        <v/>
      </c>
      <c r="P233" s="37" t="str">
        <f aca="false">IF(N233=0,"",IFERROR(C233/N233,""))</f>
        <v/>
      </c>
      <c r="Q233" s="38" t="str">
        <f aca="false">IF(N233=0,"",IFERROR(IF(C233/N233&lt;=用語集!$B$22,"◎ 許容内","✗ 超過"),"—"))</f>
        <v/>
      </c>
      <c r="R233" s="39" t="str">
        <f aca="false">IFERROR(用語集!$B$22/P233,"")</f>
        <v/>
      </c>
    </row>
    <row r="234" customFormat="false" ht="15" hidden="false" customHeight="false" outlineLevel="0" collapsed="false">
      <c r="A234" s="34" t="s">
        <v>68</v>
      </c>
      <c r="B234" s="35" t="s">
        <v>69</v>
      </c>
      <c r="C234" s="36" t="n">
        <v>2503</v>
      </c>
      <c r="D234" s="12" t="n">
        <v>60</v>
      </c>
      <c r="E234" s="12" t="n">
        <v>20</v>
      </c>
      <c r="F234" s="12" t="n">
        <v>1</v>
      </c>
      <c r="G234" s="15" t="n">
        <f aca="false">IFERROR(E234/D234,"")</f>
        <v>0.333333333333333</v>
      </c>
      <c r="H234" s="37" t="n">
        <f aca="false">IFERROR(C234/E234,"")</f>
        <v>125.15</v>
      </c>
      <c r="I234" s="37" t="n">
        <f aca="false">IFERROR(C234/D234*1000,"")</f>
        <v>41716.6666666667</v>
      </c>
      <c r="J234" s="15" t="n">
        <f aca="false">IFERROR(F234/E234,"")</f>
        <v>0.05</v>
      </c>
      <c r="K234" s="37" t="n">
        <f aca="false">IFERROR(C234/F234,"")</f>
        <v>2503</v>
      </c>
      <c r="L234" s="12"/>
      <c r="M234" s="15" t="str">
        <f aca="false">IF(L234="","",IFERROR(L234/F234,""))</f>
        <v/>
      </c>
      <c r="N234" s="12"/>
      <c r="O234" s="15" t="str">
        <f aca="false">IF(N234="","",IFERROR(N234/L234,""))</f>
        <v/>
      </c>
      <c r="P234" s="37" t="str">
        <f aca="false">IF(N234=0,"",IFERROR(C234/N234,""))</f>
        <v/>
      </c>
      <c r="Q234" s="38" t="str">
        <f aca="false">IF(N234=0,"",IFERROR(IF(C234/N234&lt;=用語集!$B$22,"◎ 許容内","✗ 超過"),"—"))</f>
        <v/>
      </c>
      <c r="R234" s="39" t="str">
        <f aca="false">IFERROR(用語集!$B$22/P234,"")</f>
        <v/>
      </c>
    </row>
    <row r="235" customFormat="false" ht="15" hidden="false" customHeight="false" outlineLevel="0" collapsed="false">
      <c r="A235" s="34" t="s">
        <v>70</v>
      </c>
      <c r="B235" s="35" t="s">
        <v>71</v>
      </c>
      <c r="C235" s="40" t="s">
        <v>67</v>
      </c>
      <c r="D235" s="13"/>
      <c r="E235" s="13"/>
      <c r="F235" s="13"/>
      <c r="G235" s="15" t="str">
        <f aca="false">IFERROR(E235/D235,"")</f>
        <v/>
      </c>
      <c r="H235" s="37" t="str">
        <f aca="false">IFERROR(C235/E235,"")</f>
        <v/>
      </c>
      <c r="I235" s="37" t="str">
        <f aca="false">IFERROR(C235/D235*1000,"")</f>
        <v/>
      </c>
      <c r="J235" s="15" t="str">
        <f aca="false">IFERROR(F235/E235,"")</f>
        <v/>
      </c>
      <c r="K235" s="37" t="str">
        <f aca="false">IFERROR(C235/F235,"")</f>
        <v/>
      </c>
      <c r="L235" s="12"/>
      <c r="M235" s="15" t="str">
        <f aca="false">IF(L235="","",IFERROR(L235/F235,""))</f>
        <v/>
      </c>
      <c r="N235" s="12"/>
      <c r="O235" s="15" t="str">
        <f aca="false">IF(N235="","",IFERROR(N235/L235,""))</f>
        <v/>
      </c>
      <c r="P235" s="37" t="str">
        <f aca="false">IF(N235=0,"",IFERROR(C235/N235,""))</f>
        <v/>
      </c>
      <c r="Q235" s="38" t="str">
        <f aca="false">IF(N235=0,"",IFERROR(IF(C235/N235&lt;=用語集!$B$22,"◎ 許容内","✗ 超過"),"—"))</f>
        <v/>
      </c>
      <c r="R235" s="39" t="str">
        <f aca="false">IFERROR(用語集!$B$22/P235,"")</f>
        <v/>
      </c>
    </row>
    <row r="236" customFormat="false" ht="15" hidden="false" customHeight="false" outlineLevel="0" collapsed="false">
      <c r="A236" s="34" t="s">
        <v>72</v>
      </c>
      <c r="B236" s="35" t="s">
        <v>73</v>
      </c>
      <c r="C236" s="40" t="s">
        <v>67</v>
      </c>
      <c r="D236" s="13"/>
      <c r="E236" s="13"/>
      <c r="F236" s="13"/>
      <c r="G236" s="15" t="str">
        <f aca="false">IFERROR(E236/D236,"")</f>
        <v/>
      </c>
      <c r="H236" s="37" t="str">
        <f aca="false">IFERROR(C236/E236,"")</f>
        <v/>
      </c>
      <c r="I236" s="37" t="str">
        <f aca="false">IFERROR(C236/D236*1000,"")</f>
        <v/>
      </c>
      <c r="J236" s="15" t="str">
        <f aca="false">IFERROR(F236/E236,"")</f>
        <v/>
      </c>
      <c r="K236" s="37" t="str">
        <f aca="false">IFERROR(C236/F236,"")</f>
        <v/>
      </c>
      <c r="L236" s="12"/>
      <c r="M236" s="15" t="str">
        <f aca="false">IF(L236="","",IFERROR(L236/F236,""))</f>
        <v/>
      </c>
      <c r="N236" s="12"/>
      <c r="O236" s="15" t="str">
        <f aca="false">IF(N236="","",IFERROR(N236/L236,""))</f>
        <v/>
      </c>
      <c r="P236" s="37" t="str">
        <f aca="false">IF(N236=0,"",IFERROR(C236/N236,""))</f>
        <v/>
      </c>
      <c r="Q236" s="38" t="str">
        <f aca="false">IF(N236=0,"",IFERROR(IF(C236/N236&lt;=用語集!$B$22,"◎ 許容内","✗ 超過"),"—"))</f>
        <v/>
      </c>
      <c r="R236" s="39" t="str">
        <f aca="false">IFERROR(用語集!$B$22/P236,"")</f>
        <v/>
      </c>
    </row>
    <row r="237" customFormat="false" ht="15" hidden="false" customHeight="false" outlineLevel="0" collapsed="false">
      <c r="A237" s="34" t="s">
        <v>74</v>
      </c>
      <c r="B237" s="35" t="s">
        <v>75</v>
      </c>
      <c r="C237" s="40" t="s">
        <v>67</v>
      </c>
      <c r="D237" s="13"/>
      <c r="E237" s="13"/>
      <c r="F237" s="13"/>
      <c r="G237" s="15" t="str">
        <f aca="false">IFERROR(E237/D237,"")</f>
        <v/>
      </c>
      <c r="H237" s="37" t="str">
        <f aca="false">IFERROR(C237/E237,"")</f>
        <v/>
      </c>
      <c r="I237" s="37" t="str">
        <f aca="false">IFERROR(C237/D237*1000,"")</f>
        <v/>
      </c>
      <c r="J237" s="15" t="str">
        <f aca="false">IFERROR(F237/E237,"")</f>
        <v/>
      </c>
      <c r="K237" s="37" t="str">
        <f aca="false">IFERROR(C237/F237,"")</f>
        <v/>
      </c>
      <c r="L237" s="12"/>
      <c r="M237" s="15" t="str">
        <f aca="false">IF(L237="","",IFERROR(L237/F237,""))</f>
        <v/>
      </c>
      <c r="N237" s="12"/>
      <c r="O237" s="15" t="str">
        <f aca="false">IF(N237="","",IFERROR(N237/L237,""))</f>
        <v/>
      </c>
      <c r="P237" s="37" t="str">
        <f aca="false">IF(N237=0,"",IFERROR(C237/N237,""))</f>
        <v/>
      </c>
      <c r="Q237" s="38" t="str">
        <f aca="false">IF(N237=0,"",IFERROR(IF(C237/N237&lt;=用語集!$B$22,"◎ 許容内","✗ 超過"),"—"))</f>
        <v/>
      </c>
      <c r="R237" s="39" t="str">
        <f aca="false">IFERROR(用語集!$B$22/P237,"")</f>
        <v/>
      </c>
    </row>
    <row r="238" customFormat="false" ht="15" hidden="false" customHeight="false" outlineLevel="0" collapsed="false">
      <c r="A238" s="34" t="s">
        <v>76</v>
      </c>
      <c r="B238" s="35" t="s">
        <v>77</v>
      </c>
      <c r="C238" s="40" t="s">
        <v>67</v>
      </c>
      <c r="D238" s="13"/>
      <c r="E238" s="13"/>
      <c r="F238" s="13"/>
      <c r="G238" s="15" t="str">
        <f aca="false">IFERROR(E238/D238,"")</f>
        <v/>
      </c>
      <c r="H238" s="37" t="str">
        <f aca="false">IFERROR(C238/E238,"")</f>
        <v/>
      </c>
      <c r="I238" s="37" t="str">
        <f aca="false">IFERROR(C238/D238*1000,"")</f>
        <v/>
      </c>
      <c r="J238" s="15" t="str">
        <f aca="false">IFERROR(F238/E238,"")</f>
        <v/>
      </c>
      <c r="K238" s="37" t="str">
        <f aca="false">IFERROR(C238/F238,"")</f>
        <v/>
      </c>
      <c r="L238" s="12"/>
      <c r="M238" s="15" t="str">
        <f aca="false">IF(L238="","",IFERROR(L238/F238,""))</f>
        <v/>
      </c>
      <c r="N238" s="12"/>
      <c r="O238" s="15" t="str">
        <f aca="false">IF(N238="","",IFERROR(N238/L238,""))</f>
        <v/>
      </c>
      <c r="P238" s="37" t="str">
        <f aca="false">IF(N238=0,"",IFERROR(C238/N238,""))</f>
        <v/>
      </c>
      <c r="Q238" s="38" t="str">
        <f aca="false">IF(N238=0,"",IFERROR(IF(C238/N238&lt;=用語集!$B$22,"◎ 許容内","✗ 超過"),"—"))</f>
        <v/>
      </c>
      <c r="R238" s="39" t="str">
        <f aca="false">IFERROR(用語集!$B$22/P238,"")</f>
        <v/>
      </c>
    </row>
    <row r="239" customFormat="false" ht="15" hidden="false" customHeight="false" outlineLevel="0" collapsed="false">
      <c r="A239" s="34" t="s">
        <v>78</v>
      </c>
      <c r="B239" s="35" t="s">
        <v>79</v>
      </c>
      <c r="C239" s="41" t="str">
        <f aca="false">IF(COUNTIFS(日次入力!$A$4:$A$1500,"&gt;="&amp;DATE(2026,6,9),日次入力!$A$4:$A$1500,"&lt;="&amp;DATE(2026,6,15),日次入力!$C$4:$C$1500,"Google常設")=0,"",SUMIFS(日次入力!$D$4:$D$1500,日次入力!$A$4:$A$1500,"&gt;="&amp;DATE(2026,6,9),日次入力!$A$4:$A$1500,"&lt;="&amp;DATE(2026,6,15),日次入力!$C$4:$C$1500,"Google常設"))</f>
        <v/>
      </c>
      <c r="D239" s="42" t="str">
        <f aca="false">IF(COUNTIFS(日次入力!$A$4:$A$1500,"&gt;="&amp;DATE(2026,6,9),日次入力!$A$4:$A$1500,"&lt;="&amp;DATE(2026,6,15),日次入力!$C$4:$C$1500,"Google常設")=0,"",SUMIFS(日次入力!$E$4:$E$1500,日次入力!$A$4:$A$1500,"&gt;="&amp;DATE(2026,6,9),日次入力!$A$4:$A$1500,"&lt;="&amp;DATE(2026,6,15),日次入力!$C$4:$C$1500,"Google常設"))</f>
        <v/>
      </c>
      <c r="E239" s="42" t="str">
        <f aca="false">IF(COUNTIFS(日次入力!$A$4:$A$1500,"&gt;="&amp;DATE(2026,6,9),日次入力!$A$4:$A$1500,"&lt;="&amp;DATE(2026,6,15),日次入力!$C$4:$C$1500,"Google常設")=0,"",SUMIFS(日次入力!$F$4:$F$1500,日次入力!$A$4:$A$1500,"&gt;="&amp;DATE(2026,6,9),日次入力!$A$4:$A$1500,"&lt;="&amp;DATE(2026,6,15),日次入力!$C$4:$C$1500,"Google常設"))</f>
        <v/>
      </c>
      <c r="F239" s="42" t="str">
        <f aca="false">IF(COUNTIFS(日次入力!$A$4:$A$1500,"&gt;="&amp;DATE(2026,6,9),日次入力!$A$4:$A$1500,"&lt;="&amp;DATE(2026,6,15),日次入力!$C$4:$C$1500,"Google常設")=0,"",SUMIFS(日次入力!$G$4:$G$1500,日次入力!$A$4:$A$1500,"&gt;="&amp;DATE(2026,6,9),日次入力!$A$4:$A$1500,"&lt;="&amp;DATE(2026,6,15),日次入力!$C$4:$C$1500,"Google常設"))</f>
        <v/>
      </c>
      <c r="G239" s="15" t="str">
        <f aca="false">IFERROR(E239/D239,"")</f>
        <v/>
      </c>
      <c r="H239" s="37" t="str">
        <f aca="false">IFERROR(C239/E239,"")</f>
        <v/>
      </c>
      <c r="I239" s="37" t="str">
        <f aca="false">IFERROR(C239/D239*1000,"")</f>
        <v/>
      </c>
      <c r="J239" s="15" t="str">
        <f aca="false">IFERROR(F239/E239,"")</f>
        <v/>
      </c>
      <c r="K239" s="37" t="str">
        <f aca="false">IFERROR(C239/F239,"")</f>
        <v/>
      </c>
      <c r="L239" s="42" t="str">
        <f aca="false">IF(COUNTIFS(日次入力!$A$4:$A$1500,"&gt;="&amp;DATE(2026,6,9),日次入力!$A$4:$A$1500,"&lt;="&amp;DATE(2026,6,15),日次入力!$C$4:$C$1500,"Google常設")=0,"",SUMIFS(日次入力!$H$4:$H$1500,日次入力!$A$4:$A$1500,"&gt;="&amp;DATE(2026,6,9),日次入力!$A$4:$A$1500,"&lt;="&amp;DATE(2026,6,15),日次入力!$C$4:$C$1500,"Google常設"))</f>
        <v/>
      </c>
      <c r="M239" s="15" t="str">
        <f aca="false">IF(L239="","",IFERROR(L239/F239,""))</f>
        <v/>
      </c>
      <c r="N239" s="42" t="str">
        <f aca="false">IF(COUNTIFS(日次入力!$A$4:$A$1500,"&gt;="&amp;DATE(2026,6,9),日次入力!$A$4:$A$1500,"&lt;="&amp;DATE(2026,6,15),日次入力!$C$4:$C$1500,"Google常設")=0,"",SUMIFS(日次入力!$I$4:$I$1500,日次入力!$A$4:$A$1500,"&gt;="&amp;DATE(2026,6,9),日次入力!$A$4:$A$1500,"&lt;="&amp;DATE(2026,6,15),日次入力!$C$4:$C$1500,"Google常設"))</f>
        <v/>
      </c>
      <c r="O239" s="15" t="str">
        <f aca="false">IF(N239="","",IFERROR(N239/L239,""))</f>
        <v/>
      </c>
      <c r="P239" s="37" t="str">
        <f aca="false">IF(N239=0,"",IFERROR(C239/N239,""))</f>
        <v/>
      </c>
      <c r="Q239" s="38" t="str">
        <f aca="false">IF(N239=0,"",IFERROR(IF(C239/N239&lt;=用語集!$B$22,"◎ 許容内","✗ 超過"),"—"))</f>
        <v>—</v>
      </c>
      <c r="R239" s="39" t="str">
        <f aca="false">IFERROR(用語集!$B$22/P239,"")</f>
        <v/>
      </c>
    </row>
    <row r="240" customFormat="false" ht="15" hidden="false" customHeight="false" outlineLevel="0" collapsed="false">
      <c r="A240" s="34" t="s">
        <v>80</v>
      </c>
      <c r="B240" s="35" t="s">
        <v>81</v>
      </c>
      <c r="C240" s="41" t="str">
        <f aca="false">IF(COUNTIFS(日次入力!$A$4:$A$1500,"&gt;="&amp;DATE(2026,6,16),日次入力!$A$4:$A$1500,"&lt;="&amp;DATE(2026,6,22),日次入力!$C$4:$C$1500,"Google常設")=0,"",SUMIFS(日次入力!$D$4:$D$1500,日次入力!$A$4:$A$1500,"&gt;="&amp;DATE(2026,6,16),日次入力!$A$4:$A$1500,"&lt;="&amp;DATE(2026,6,22),日次入力!$C$4:$C$1500,"Google常設"))</f>
        <v/>
      </c>
      <c r="D240" s="42" t="str">
        <f aca="false">IF(COUNTIFS(日次入力!$A$4:$A$1500,"&gt;="&amp;DATE(2026,6,16),日次入力!$A$4:$A$1500,"&lt;="&amp;DATE(2026,6,22),日次入力!$C$4:$C$1500,"Google常設")=0,"",SUMIFS(日次入力!$E$4:$E$1500,日次入力!$A$4:$A$1500,"&gt;="&amp;DATE(2026,6,16),日次入力!$A$4:$A$1500,"&lt;="&amp;DATE(2026,6,22),日次入力!$C$4:$C$1500,"Google常設"))</f>
        <v/>
      </c>
      <c r="E240" s="42" t="str">
        <f aca="false">IF(COUNTIFS(日次入力!$A$4:$A$1500,"&gt;="&amp;DATE(2026,6,16),日次入力!$A$4:$A$1500,"&lt;="&amp;DATE(2026,6,22),日次入力!$C$4:$C$1500,"Google常設")=0,"",SUMIFS(日次入力!$F$4:$F$1500,日次入力!$A$4:$A$1500,"&gt;="&amp;DATE(2026,6,16),日次入力!$A$4:$A$1500,"&lt;="&amp;DATE(2026,6,22),日次入力!$C$4:$C$1500,"Google常設"))</f>
        <v/>
      </c>
      <c r="F240" s="42" t="str">
        <f aca="false">IF(COUNTIFS(日次入力!$A$4:$A$1500,"&gt;="&amp;DATE(2026,6,16),日次入力!$A$4:$A$1500,"&lt;="&amp;DATE(2026,6,22),日次入力!$C$4:$C$1500,"Google常設")=0,"",SUMIFS(日次入力!$G$4:$G$1500,日次入力!$A$4:$A$1500,"&gt;="&amp;DATE(2026,6,16),日次入力!$A$4:$A$1500,"&lt;="&amp;DATE(2026,6,22),日次入力!$C$4:$C$1500,"Google常設"))</f>
        <v/>
      </c>
      <c r="G240" s="15" t="str">
        <f aca="false">IFERROR(E240/D240,"")</f>
        <v/>
      </c>
      <c r="H240" s="37" t="str">
        <f aca="false">IFERROR(C240/E240,"")</f>
        <v/>
      </c>
      <c r="I240" s="37" t="str">
        <f aca="false">IFERROR(C240/D240*1000,"")</f>
        <v/>
      </c>
      <c r="J240" s="15" t="str">
        <f aca="false">IFERROR(F240/E240,"")</f>
        <v/>
      </c>
      <c r="K240" s="37" t="str">
        <f aca="false">IFERROR(C240/F240,"")</f>
        <v/>
      </c>
      <c r="L240" s="42" t="str">
        <f aca="false">IF(COUNTIFS(日次入力!$A$4:$A$1500,"&gt;="&amp;DATE(2026,6,16),日次入力!$A$4:$A$1500,"&lt;="&amp;DATE(2026,6,22),日次入力!$C$4:$C$1500,"Google常設")=0,"",SUMIFS(日次入力!$H$4:$H$1500,日次入力!$A$4:$A$1500,"&gt;="&amp;DATE(2026,6,16),日次入力!$A$4:$A$1500,"&lt;="&amp;DATE(2026,6,22),日次入力!$C$4:$C$1500,"Google常設"))</f>
        <v/>
      </c>
      <c r="M240" s="15" t="str">
        <f aca="false">IF(L240="","",IFERROR(L240/F240,""))</f>
        <v/>
      </c>
      <c r="N240" s="42" t="str">
        <f aca="false">IF(COUNTIFS(日次入力!$A$4:$A$1500,"&gt;="&amp;DATE(2026,6,16),日次入力!$A$4:$A$1500,"&lt;="&amp;DATE(2026,6,22),日次入力!$C$4:$C$1500,"Google常設")=0,"",SUMIFS(日次入力!$I$4:$I$1500,日次入力!$A$4:$A$1500,"&gt;="&amp;DATE(2026,6,16),日次入力!$A$4:$A$1500,"&lt;="&amp;DATE(2026,6,22),日次入力!$C$4:$C$1500,"Google常設"))</f>
        <v/>
      </c>
      <c r="O240" s="15" t="str">
        <f aca="false">IF(N240="","",IFERROR(N240/L240,""))</f>
        <v/>
      </c>
      <c r="P240" s="37" t="str">
        <f aca="false">IF(N240=0,"",IFERROR(C240/N240,""))</f>
        <v/>
      </c>
      <c r="Q240" s="38" t="str">
        <f aca="false">IF(N240=0,"",IFERROR(IF(C240/N240&lt;=用語集!$B$22,"◎ 許容内","✗ 超過"),"—"))</f>
        <v>—</v>
      </c>
      <c r="R240" s="39" t="str">
        <f aca="false">IFERROR(用語集!$B$22/P240,"")</f>
        <v/>
      </c>
    </row>
    <row r="241" customFormat="false" ht="15" hidden="false" customHeight="false" outlineLevel="0" collapsed="false">
      <c r="A241" s="34" t="s">
        <v>82</v>
      </c>
      <c r="B241" s="35" t="s">
        <v>83</v>
      </c>
      <c r="C241" s="41" t="str">
        <f aca="false">IF(COUNTIFS(日次入力!$A$4:$A$1500,"&gt;="&amp;DATE(2026,6,23),日次入力!$A$4:$A$1500,"&lt;="&amp;DATE(2026,6,29),日次入力!$C$4:$C$1500,"Google常設")=0,"",SUMIFS(日次入力!$D$4:$D$1500,日次入力!$A$4:$A$1500,"&gt;="&amp;DATE(2026,6,23),日次入力!$A$4:$A$1500,"&lt;="&amp;DATE(2026,6,29),日次入力!$C$4:$C$1500,"Google常設"))</f>
        <v/>
      </c>
      <c r="D241" s="42" t="str">
        <f aca="false">IF(COUNTIFS(日次入力!$A$4:$A$1500,"&gt;="&amp;DATE(2026,6,23),日次入力!$A$4:$A$1500,"&lt;="&amp;DATE(2026,6,29),日次入力!$C$4:$C$1500,"Google常設")=0,"",SUMIFS(日次入力!$E$4:$E$1500,日次入力!$A$4:$A$1500,"&gt;="&amp;DATE(2026,6,23),日次入力!$A$4:$A$1500,"&lt;="&amp;DATE(2026,6,29),日次入力!$C$4:$C$1500,"Google常設"))</f>
        <v/>
      </c>
      <c r="E241" s="42" t="str">
        <f aca="false">IF(COUNTIFS(日次入力!$A$4:$A$1500,"&gt;="&amp;DATE(2026,6,23),日次入力!$A$4:$A$1500,"&lt;="&amp;DATE(2026,6,29),日次入力!$C$4:$C$1500,"Google常設")=0,"",SUMIFS(日次入力!$F$4:$F$1500,日次入力!$A$4:$A$1500,"&gt;="&amp;DATE(2026,6,23),日次入力!$A$4:$A$1500,"&lt;="&amp;DATE(2026,6,29),日次入力!$C$4:$C$1500,"Google常設"))</f>
        <v/>
      </c>
      <c r="F241" s="42" t="str">
        <f aca="false">IF(COUNTIFS(日次入力!$A$4:$A$1500,"&gt;="&amp;DATE(2026,6,23),日次入力!$A$4:$A$1500,"&lt;="&amp;DATE(2026,6,29),日次入力!$C$4:$C$1500,"Google常設")=0,"",SUMIFS(日次入力!$G$4:$G$1500,日次入力!$A$4:$A$1500,"&gt;="&amp;DATE(2026,6,23),日次入力!$A$4:$A$1500,"&lt;="&amp;DATE(2026,6,29),日次入力!$C$4:$C$1500,"Google常設"))</f>
        <v/>
      </c>
      <c r="G241" s="15" t="str">
        <f aca="false">IFERROR(E241/D241,"")</f>
        <v/>
      </c>
      <c r="H241" s="37" t="str">
        <f aca="false">IFERROR(C241/E241,"")</f>
        <v/>
      </c>
      <c r="I241" s="37" t="str">
        <f aca="false">IFERROR(C241/D241*1000,"")</f>
        <v/>
      </c>
      <c r="J241" s="15" t="str">
        <f aca="false">IFERROR(F241/E241,"")</f>
        <v/>
      </c>
      <c r="K241" s="37" t="str">
        <f aca="false">IFERROR(C241/F241,"")</f>
        <v/>
      </c>
      <c r="L241" s="42" t="str">
        <f aca="false">IF(COUNTIFS(日次入力!$A$4:$A$1500,"&gt;="&amp;DATE(2026,6,23),日次入力!$A$4:$A$1500,"&lt;="&amp;DATE(2026,6,29),日次入力!$C$4:$C$1500,"Google常設")=0,"",SUMIFS(日次入力!$H$4:$H$1500,日次入力!$A$4:$A$1500,"&gt;="&amp;DATE(2026,6,23),日次入力!$A$4:$A$1500,"&lt;="&amp;DATE(2026,6,29),日次入力!$C$4:$C$1500,"Google常設"))</f>
        <v/>
      </c>
      <c r="M241" s="15" t="str">
        <f aca="false">IF(L241="","",IFERROR(L241/F241,""))</f>
        <v/>
      </c>
      <c r="N241" s="42" t="str">
        <f aca="false">IF(COUNTIFS(日次入力!$A$4:$A$1500,"&gt;="&amp;DATE(2026,6,23),日次入力!$A$4:$A$1500,"&lt;="&amp;DATE(2026,6,29),日次入力!$C$4:$C$1500,"Google常設")=0,"",SUMIFS(日次入力!$I$4:$I$1500,日次入力!$A$4:$A$1500,"&gt;="&amp;DATE(2026,6,23),日次入力!$A$4:$A$1500,"&lt;="&amp;DATE(2026,6,29),日次入力!$C$4:$C$1500,"Google常設"))</f>
        <v/>
      </c>
      <c r="O241" s="15" t="str">
        <f aca="false">IF(N241="","",IFERROR(N241/L241,""))</f>
        <v/>
      </c>
      <c r="P241" s="37" t="str">
        <f aca="false">IF(N241=0,"",IFERROR(C241/N241,""))</f>
        <v/>
      </c>
      <c r="Q241" s="38" t="str">
        <f aca="false">IF(N241=0,"",IFERROR(IF(C241/N241&lt;=用語集!$B$22,"◎ 許容内","✗ 超過"),"—"))</f>
        <v>—</v>
      </c>
      <c r="R241" s="39" t="str">
        <f aca="false">IFERROR(用語集!$B$22/P241,"")</f>
        <v/>
      </c>
    </row>
    <row r="242" customFormat="false" ht="15" hidden="false" customHeight="false" outlineLevel="0" collapsed="false">
      <c r="A242" s="34" t="s">
        <v>84</v>
      </c>
      <c r="B242" s="35" t="s">
        <v>85</v>
      </c>
      <c r="C242" s="41" t="str">
        <f aca="false">IF(COUNTIFS(日次入力!$A$4:$A$1500,"&gt;="&amp;DATE(2026,6,30),日次入力!$A$4:$A$1500,"&lt;="&amp;DATE(2026,7,6),日次入力!$C$4:$C$1500,"Google常設")=0,"",SUMIFS(日次入力!$D$4:$D$1500,日次入力!$A$4:$A$1500,"&gt;="&amp;DATE(2026,6,30),日次入力!$A$4:$A$1500,"&lt;="&amp;DATE(2026,7,6),日次入力!$C$4:$C$1500,"Google常設"))</f>
        <v/>
      </c>
      <c r="D242" s="42" t="str">
        <f aca="false">IF(COUNTIFS(日次入力!$A$4:$A$1500,"&gt;="&amp;DATE(2026,6,30),日次入力!$A$4:$A$1500,"&lt;="&amp;DATE(2026,7,6),日次入力!$C$4:$C$1500,"Google常設")=0,"",SUMIFS(日次入力!$E$4:$E$1500,日次入力!$A$4:$A$1500,"&gt;="&amp;DATE(2026,6,30),日次入力!$A$4:$A$1500,"&lt;="&amp;DATE(2026,7,6),日次入力!$C$4:$C$1500,"Google常設"))</f>
        <v/>
      </c>
      <c r="E242" s="42" t="str">
        <f aca="false">IF(COUNTIFS(日次入力!$A$4:$A$1500,"&gt;="&amp;DATE(2026,6,30),日次入力!$A$4:$A$1500,"&lt;="&amp;DATE(2026,7,6),日次入力!$C$4:$C$1500,"Google常設")=0,"",SUMIFS(日次入力!$F$4:$F$1500,日次入力!$A$4:$A$1500,"&gt;="&amp;DATE(2026,6,30),日次入力!$A$4:$A$1500,"&lt;="&amp;DATE(2026,7,6),日次入力!$C$4:$C$1500,"Google常設"))</f>
        <v/>
      </c>
      <c r="F242" s="42" t="str">
        <f aca="false">IF(COUNTIFS(日次入力!$A$4:$A$1500,"&gt;="&amp;DATE(2026,6,30),日次入力!$A$4:$A$1500,"&lt;="&amp;DATE(2026,7,6),日次入力!$C$4:$C$1500,"Google常設")=0,"",SUMIFS(日次入力!$G$4:$G$1500,日次入力!$A$4:$A$1500,"&gt;="&amp;DATE(2026,6,30),日次入力!$A$4:$A$1500,"&lt;="&amp;DATE(2026,7,6),日次入力!$C$4:$C$1500,"Google常設"))</f>
        <v/>
      </c>
      <c r="G242" s="15" t="str">
        <f aca="false">IFERROR(E242/D242,"")</f>
        <v/>
      </c>
      <c r="H242" s="37" t="str">
        <f aca="false">IFERROR(C242/E242,"")</f>
        <v/>
      </c>
      <c r="I242" s="37" t="str">
        <f aca="false">IFERROR(C242/D242*1000,"")</f>
        <v/>
      </c>
      <c r="J242" s="15" t="str">
        <f aca="false">IFERROR(F242/E242,"")</f>
        <v/>
      </c>
      <c r="K242" s="37" t="str">
        <f aca="false">IFERROR(C242/F242,"")</f>
        <v/>
      </c>
      <c r="L242" s="42" t="str">
        <f aca="false">IF(COUNTIFS(日次入力!$A$4:$A$1500,"&gt;="&amp;DATE(2026,6,30),日次入力!$A$4:$A$1500,"&lt;="&amp;DATE(2026,7,6),日次入力!$C$4:$C$1500,"Google常設")=0,"",SUMIFS(日次入力!$H$4:$H$1500,日次入力!$A$4:$A$1500,"&gt;="&amp;DATE(2026,6,30),日次入力!$A$4:$A$1500,"&lt;="&amp;DATE(2026,7,6),日次入力!$C$4:$C$1500,"Google常設"))</f>
        <v/>
      </c>
      <c r="M242" s="15" t="str">
        <f aca="false">IF(L242="","",IFERROR(L242/F242,""))</f>
        <v/>
      </c>
      <c r="N242" s="42" t="str">
        <f aca="false">IF(COUNTIFS(日次入力!$A$4:$A$1500,"&gt;="&amp;DATE(2026,6,30),日次入力!$A$4:$A$1500,"&lt;="&amp;DATE(2026,7,6),日次入力!$C$4:$C$1500,"Google常設")=0,"",SUMIFS(日次入力!$I$4:$I$1500,日次入力!$A$4:$A$1500,"&gt;="&amp;DATE(2026,6,30),日次入力!$A$4:$A$1500,"&lt;="&amp;DATE(2026,7,6),日次入力!$C$4:$C$1500,"Google常設"))</f>
        <v/>
      </c>
      <c r="O242" s="15" t="str">
        <f aca="false">IF(N242="","",IFERROR(N242/L242,""))</f>
        <v/>
      </c>
      <c r="P242" s="37" t="str">
        <f aca="false">IF(N242=0,"",IFERROR(C242/N242,""))</f>
        <v/>
      </c>
      <c r="Q242" s="38" t="str">
        <f aca="false">IF(N242=0,"",IFERROR(IF(C242/N242&lt;=用語集!$B$22,"◎ 許容内","✗ 超過"),"—"))</f>
        <v>—</v>
      </c>
      <c r="R242" s="39" t="str">
        <f aca="false">IFERROR(用語集!$B$22/P242,"")</f>
        <v/>
      </c>
    </row>
    <row r="243" customFormat="false" ht="15" hidden="false" customHeight="false" outlineLevel="0" collapsed="false">
      <c r="A243" s="34" t="s">
        <v>86</v>
      </c>
      <c r="B243" s="35" t="s">
        <v>87</v>
      </c>
      <c r="C243" s="41" t="str">
        <f aca="false">IF(COUNTIFS(日次入力!$A$4:$A$1500,"&gt;="&amp;DATE(2026,7,7),日次入力!$A$4:$A$1500,"&lt;="&amp;DATE(2026,7,13),日次入力!$C$4:$C$1500,"Google常設")=0,"",SUMIFS(日次入力!$D$4:$D$1500,日次入力!$A$4:$A$1500,"&gt;="&amp;DATE(2026,7,7),日次入力!$A$4:$A$1500,"&lt;="&amp;DATE(2026,7,13),日次入力!$C$4:$C$1500,"Google常設"))</f>
        <v/>
      </c>
      <c r="D243" s="42" t="str">
        <f aca="false">IF(COUNTIFS(日次入力!$A$4:$A$1500,"&gt;="&amp;DATE(2026,7,7),日次入力!$A$4:$A$1500,"&lt;="&amp;DATE(2026,7,13),日次入力!$C$4:$C$1500,"Google常設")=0,"",SUMIFS(日次入力!$E$4:$E$1500,日次入力!$A$4:$A$1500,"&gt;="&amp;DATE(2026,7,7),日次入力!$A$4:$A$1500,"&lt;="&amp;DATE(2026,7,13),日次入力!$C$4:$C$1500,"Google常設"))</f>
        <v/>
      </c>
      <c r="E243" s="42" t="str">
        <f aca="false">IF(COUNTIFS(日次入力!$A$4:$A$1500,"&gt;="&amp;DATE(2026,7,7),日次入力!$A$4:$A$1500,"&lt;="&amp;DATE(2026,7,13),日次入力!$C$4:$C$1500,"Google常設")=0,"",SUMIFS(日次入力!$F$4:$F$1500,日次入力!$A$4:$A$1500,"&gt;="&amp;DATE(2026,7,7),日次入力!$A$4:$A$1500,"&lt;="&amp;DATE(2026,7,13),日次入力!$C$4:$C$1500,"Google常設"))</f>
        <v/>
      </c>
      <c r="F243" s="42" t="str">
        <f aca="false">IF(COUNTIFS(日次入力!$A$4:$A$1500,"&gt;="&amp;DATE(2026,7,7),日次入力!$A$4:$A$1500,"&lt;="&amp;DATE(2026,7,13),日次入力!$C$4:$C$1500,"Google常設")=0,"",SUMIFS(日次入力!$G$4:$G$1500,日次入力!$A$4:$A$1500,"&gt;="&amp;DATE(2026,7,7),日次入力!$A$4:$A$1500,"&lt;="&amp;DATE(2026,7,13),日次入力!$C$4:$C$1500,"Google常設"))</f>
        <v/>
      </c>
      <c r="G243" s="15" t="str">
        <f aca="false">IFERROR(E243/D243,"")</f>
        <v/>
      </c>
      <c r="H243" s="37" t="str">
        <f aca="false">IFERROR(C243/E243,"")</f>
        <v/>
      </c>
      <c r="I243" s="37" t="str">
        <f aca="false">IFERROR(C243/D243*1000,"")</f>
        <v/>
      </c>
      <c r="J243" s="15" t="str">
        <f aca="false">IFERROR(F243/E243,"")</f>
        <v/>
      </c>
      <c r="K243" s="37" t="str">
        <f aca="false">IFERROR(C243/F243,"")</f>
        <v/>
      </c>
      <c r="L243" s="42" t="str">
        <f aca="false">IF(COUNTIFS(日次入力!$A$4:$A$1500,"&gt;="&amp;DATE(2026,7,7),日次入力!$A$4:$A$1500,"&lt;="&amp;DATE(2026,7,13),日次入力!$C$4:$C$1500,"Google常設")=0,"",SUMIFS(日次入力!$H$4:$H$1500,日次入力!$A$4:$A$1500,"&gt;="&amp;DATE(2026,7,7),日次入力!$A$4:$A$1500,"&lt;="&amp;DATE(2026,7,13),日次入力!$C$4:$C$1500,"Google常設"))</f>
        <v/>
      </c>
      <c r="M243" s="15" t="str">
        <f aca="false">IF(L243="","",IFERROR(L243/F243,""))</f>
        <v/>
      </c>
      <c r="N243" s="42" t="str">
        <f aca="false">IF(COUNTIFS(日次入力!$A$4:$A$1500,"&gt;="&amp;DATE(2026,7,7),日次入力!$A$4:$A$1500,"&lt;="&amp;DATE(2026,7,13),日次入力!$C$4:$C$1500,"Google常設")=0,"",SUMIFS(日次入力!$I$4:$I$1500,日次入力!$A$4:$A$1500,"&gt;="&amp;DATE(2026,7,7),日次入力!$A$4:$A$1500,"&lt;="&amp;DATE(2026,7,13),日次入力!$C$4:$C$1500,"Google常設"))</f>
        <v/>
      </c>
      <c r="O243" s="15" t="str">
        <f aca="false">IF(N243="","",IFERROR(N243/L243,""))</f>
        <v/>
      </c>
      <c r="P243" s="37" t="str">
        <f aca="false">IF(N243=0,"",IFERROR(C243/N243,""))</f>
        <v/>
      </c>
      <c r="Q243" s="38" t="str">
        <f aca="false">IF(N243=0,"",IFERROR(IF(C243/N243&lt;=用語集!$B$22,"◎ 許容内","✗ 超過"),"—"))</f>
        <v>—</v>
      </c>
      <c r="R243" s="39" t="str">
        <f aca="false">IFERROR(用語集!$B$22/P243,"")</f>
        <v/>
      </c>
    </row>
    <row r="244" customFormat="false" ht="15" hidden="false" customHeight="false" outlineLevel="0" collapsed="false">
      <c r="A244" s="34" t="s">
        <v>88</v>
      </c>
      <c r="B244" s="35" t="s">
        <v>89</v>
      </c>
      <c r="C244" s="41" t="str">
        <f aca="false">IF(COUNTIFS(日次入力!$A$4:$A$1500,"&gt;="&amp;DATE(2026,7,14),日次入力!$A$4:$A$1500,"&lt;="&amp;DATE(2026,7,20),日次入力!$C$4:$C$1500,"Google常設")=0,"",SUMIFS(日次入力!$D$4:$D$1500,日次入力!$A$4:$A$1500,"&gt;="&amp;DATE(2026,7,14),日次入力!$A$4:$A$1500,"&lt;="&amp;DATE(2026,7,20),日次入力!$C$4:$C$1500,"Google常設"))</f>
        <v/>
      </c>
      <c r="D244" s="42" t="str">
        <f aca="false">IF(COUNTIFS(日次入力!$A$4:$A$1500,"&gt;="&amp;DATE(2026,7,14),日次入力!$A$4:$A$1500,"&lt;="&amp;DATE(2026,7,20),日次入力!$C$4:$C$1500,"Google常設")=0,"",SUMIFS(日次入力!$E$4:$E$1500,日次入力!$A$4:$A$1500,"&gt;="&amp;DATE(2026,7,14),日次入力!$A$4:$A$1500,"&lt;="&amp;DATE(2026,7,20),日次入力!$C$4:$C$1500,"Google常設"))</f>
        <v/>
      </c>
      <c r="E244" s="42" t="str">
        <f aca="false">IF(COUNTIFS(日次入力!$A$4:$A$1500,"&gt;="&amp;DATE(2026,7,14),日次入力!$A$4:$A$1500,"&lt;="&amp;DATE(2026,7,20),日次入力!$C$4:$C$1500,"Google常設")=0,"",SUMIFS(日次入力!$F$4:$F$1500,日次入力!$A$4:$A$1500,"&gt;="&amp;DATE(2026,7,14),日次入力!$A$4:$A$1500,"&lt;="&amp;DATE(2026,7,20),日次入力!$C$4:$C$1500,"Google常設"))</f>
        <v/>
      </c>
      <c r="F244" s="42" t="str">
        <f aca="false">IF(COUNTIFS(日次入力!$A$4:$A$1500,"&gt;="&amp;DATE(2026,7,14),日次入力!$A$4:$A$1500,"&lt;="&amp;DATE(2026,7,20),日次入力!$C$4:$C$1500,"Google常設")=0,"",SUMIFS(日次入力!$G$4:$G$1500,日次入力!$A$4:$A$1500,"&gt;="&amp;DATE(2026,7,14),日次入力!$A$4:$A$1500,"&lt;="&amp;DATE(2026,7,20),日次入力!$C$4:$C$1500,"Google常設"))</f>
        <v/>
      </c>
      <c r="G244" s="15" t="str">
        <f aca="false">IFERROR(E244/D244,"")</f>
        <v/>
      </c>
      <c r="H244" s="37" t="str">
        <f aca="false">IFERROR(C244/E244,"")</f>
        <v/>
      </c>
      <c r="I244" s="37" t="str">
        <f aca="false">IFERROR(C244/D244*1000,"")</f>
        <v/>
      </c>
      <c r="J244" s="15" t="str">
        <f aca="false">IFERROR(F244/E244,"")</f>
        <v/>
      </c>
      <c r="K244" s="37" t="str">
        <f aca="false">IFERROR(C244/F244,"")</f>
        <v/>
      </c>
      <c r="L244" s="42" t="str">
        <f aca="false">IF(COUNTIFS(日次入力!$A$4:$A$1500,"&gt;="&amp;DATE(2026,7,14),日次入力!$A$4:$A$1500,"&lt;="&amp;DATE(2026,7,20),日次入力!$C$4:$C$1500,"Google常設")=0,"",SUMIFS(日次入力!$H$4:$H$1500,日次入力!$A$4:$A$1500,"&gt;="&amp;DATE(2026,7,14),日次入力!$A$4:$A$1500,"&lt;="&amp;DATE(2026,7,20),日次入力!$C$4:$C$1500,"Google常設"))</f>
        <v/>
      </c>
      <c r="M244" s="15" t="str">
        <f aca="false">IF(L244="","",IFERROR(L244/F244,""))</f>
        <v/>
      </c>
      <c r="N244" s="42" t="str">
        <f aca="false">IF(COUNTIFS(日次入力!$A$4:$A$1500,"&gt;="&amp;DATE(2026,7,14),日次入力!$A$4:$A$1500,"&lt;="&amp;DATE(2026,7,20),日次入力!$C$4:$C$1500,"Google常設")=0,"",SUMIFS(日次入力!$I$4:$I$1500,日次入力!$A$4:$A$1500,"&gt;="&amp;DATE(2026,7,14),日次入力!$A$4:$A$1500,"&lt;="&amp;DATE(2026,7,20),日次入力!$C$4:$C$1500,"Google常設"))</f>
        <v/>
      </c>
      <c r="O244" s="15" t="str">
        <f aca="false">IF(N244="","",IFERROR(N244/L244,""))</f>
        <v/>
      </c>
      <c r="P244" s="37" t="str">
        <f aca="false">IF(N244=0,"",IFERROR(C244/N244,""))</f>
        <v/>
      </c>
      <c r="Q244" s="38" t="str">
        <f aca="false">IF(N244=0,"",IFERROR(IF(C244/N244&lt;=用語集!$B$22,"◎ 許容内","✗ 超過"),"—"))</f>
        <v>—</v>
      </c>
      <c r="R244" s="39" t="str">
        <f aca="false">IFERROR(用語集!$B$22/P244,"")</f>
        <v/>
      </c>
    </row>
    <row r="245" customFormat="false" ht="15" hidden="false" customHeight="false" outlineLevel="0" collapsed="false">
      <c r="A245" s="34" t="s">
        <v>90</v>
      </c>
      <c r="B245" s="35" t="s">
        <v>91</v>
      </c>
      <c r="C245" s="41" t="str">
        <f aca="false">IF(COUNTIFS(日次入力!$A$4:$A$1500,"&gt;="&amp;DATE(2026,7,21),日次入力!$A$4:$A$1500,"&lt;="&amp;DATE(2026,7,27),日次入力!$C$4:$C$1500,"Google常設")=0,"",SUMIFS(日次入力!$D$4:$D$1500,日次入力!$A$4:$A$1500,"&gt;="&amp;DATE(2026,7,21),日次入力!$A$4:$A$1500,"&lt;="&amp;DATE(2026,7,27),日次入力!$C$4:$C$1500,"Google常設"))</f>
        <v/>
      </c>
      <c r="D245" s="42" t="str">
        <f aca="false">IF(COUNTIFS(日次入力!$A$4:$A$1500,"&gt;="&amp;DATE(2026,7,21),日次入力!$A$4:$A$1500,"&lt;="&amp;DATE(2026,7,27),日次入力!$C$4:$C$1500,"Google常設")=0,"",SUMIFS(日次入力!$E$4:$E$1500,日次入力!$A$4:$A$1500,"&gt;="&amp;DATE(2026,7,21),日次入力!$A$4:$A$1500,"&lt;="&amp;DATE(2026,7,27),日次入力!$C$4:$C$1500,"Google常設"))</f>
        <v/>
      </c>
      <c r="E245" s="42" t="str">
        <f aca="false">IF(COUNTIFS(日次入力!$A$4:$A$1500,"&gt;="&amp;DATE(2026,7,21),日次入力!$A$4:$A$1500,"&lt;="&amp;DATE(2026,7,27),日次入力!$C$4:$C$1500,"Google常設")=0,"",SUMIFS(日次入力!$F$4:$F$1500,日次入力!$A$4:$A$1500,"&gt;="&amp;DATE(2026,7,21),日次入力!$A$4:$A$1500,"&lt;="&amp;DATE(2026,7,27),日次入力!$C$4:$C$1500,"Google常設"))</f>
        <v/>
      </c>
      <c r="F245" s="42" t="str">
        <f aca="false">IF(COUNTIFS(日次入力!$A$4:$A$1500,"&gt;="&amp;DATE(2026,7,21),日次入力!$A$4:$A$1500,"&lt;="&amp;DATE(2026,7,27),日次入力!$C$4:$C$1500,"Google常設")=0,"",SUMIFS(日次入力!$G$4:$G$1500,日次入力!$A$4:$A$1500,"&gt;="&amp;DATE(2026,7,21),日次入力!$A$4:$A$1500,"&lt;="&amp;DATE(2026,7,27),日次入力!$C$4:$C$1500,"Google常設"))</f>
        <v/>
      </c>
      <c r="G245" s="15" t="str">
        <f aca="false">IFERROR(E245/D245,"")</f>
        <v/>
      </c>
      <c r="H245" s="37" t="str">
        <f aca="false">IFERROR(C245/E245,"")</f>
        <v/>
      </c>
      <c r="I245" s="37" t="str">
        <f aca="false">IFERROR(C245/D245*1000,"")</f>
        <v/>
      </c>
      <c r="J245" s="15" t="str">
        <f aca="false">IFERROR(F245/E245,"")</f>
        <v/>
      </c>
      <c r="K245" s="37" t="str">
        <f aca="false">IFERROR(C245/F245,"")</f>
        <v/>
      </c>
      <c r="L245" s="42" t="str">
        <f aca="false">IF(COUNTIFS(日次入力!$A$4:$A$1500,"&gt;="&amp;DATE(2026,7,21),日次入力!$A$4:$A$1500,"&lt;="&amp;DATE(2026,7,27),日次入力!$C$4:$C$1500,"Google常設")=0,"",SUMIFS(日次入力!$H$4:$H$1500,日次入力!$A$4:$A$1500,"&gt;="&amp;DATE(2026,7,21),日次入力!$A$4:$A$1500,"&lt;="&amp;DATE(2026,7,27),日次入力!$C$4:$C$1500,"Google常設"))</f>
        <v/>
      </c>
      <c r="M245" s="15" t="str">
        <f aca="false">IF(L245="","",IFERROR(L245/F245,""))</f>
        <v/>
      </c>
      <c r="N245" s="42" t="str">
        <f aca="false">IF(COUNTIFS(日次入力!$A$4:$A$1500,"&gt;="&amp;DATE(2026,7,21),日次入力!$A$4:$A$1500,"&lt;="&amp;DATE(2026,7,27),日次入力!$C$4:$C$1500,"Google常設")=0,"",SUMIFS(日次入力!$I$4:$I$1500,日次入力!$A$4:$A$1500,"&gt;="&amp;DATE(2026,7,21),日次入力!$A$4:$A$1500,"&lt;="&amp;DATE(2026,7,27),日次入力!$C$4:$C$1500,"Google常設"))</f>
        <v/>
      </c>
      <c r="O245" s="15" t="str">
        <f aca="false">IF(N245="","",IFERROR(N245/L245,""))</f>
        <v/>
      </c>
      <c r="P245" s="37" t="str">
        <f aca="false">IF(N245=0,"",IFERROR(C245/N245,""))</f>
        <v/>
      </c>
      <c r="Q245" s="38" t="str">
        <f aca="false">IF(N245=0,"",IFERROR(IF(C245/N245&lt;=用語集!$B$22,"◎ 許容内","✗ 超過"),"—"))</f>
        <v>—</v>
      </c>
      <c r="R245" s="39" t="str">
        <f aca="false">IFERROR(用語集!$B$22/P245,"")</f>
        <v/>
      </c>
    </row>
    <row r="246" customFormat="false" ht="15" hidden="false" customHeight="false" outlineLevel="0" collapsed="false">
      <c r="A246" s="34" t="s">
        <v>92</v>
      </c>
      <c r="B246" s="35" t="s">
        <v>93</v>
      </c>
      <c r="C246" s="41" t="str">
        <f aca="false">IF(COUNTIFS(日次入力!$A$4:$A$1500,"&gt;="&amp;DATE(2026,7,28),日次入力!$A$4:$A$1500,"&lt;="&amp;DATE(2026,8,3),日次入力!$C$4:$C$1500,"Google常設")=0,"",SUMIFS(日次入力!$D$4:$D$1500,日次入力!$A$4:$A$1500,"&gt;="&amp;DATE(2026,7,28),日次入力!$A$4:$A$1500,"&lt;="&amp;DATE(2026,8,3),日次入力!$C$4:$C$1500,"Google常設"))</f>
        <v/>
      </c>
      <c r="D246" s="42" t="str">
        <f aca="false">IF(COUNTIFS(日次入力!$A$4:$A$1500,"&gt;="&amp;DATE(2026,7,28),日次入力!$A$4:$A$1500,"&lt;="&amp;DATE(2026,8,3),日次入力!$C$4:$C$1500,"Google常設")=0,"",SUMIFS(日次入力!$E$4:$E$1500,日次入力!$A$4:$A$1500,"&gt;="&amp;DATE(2026,7,28),日次入力!$A$4:$A$1500,"&lt;="&amp;DATE(2026,8,3),日次入力!$C$4:$C$1500,"Google常設"))</f>
        <v/>
      </c>
      <c r="E246" s="42" t="str">
        <f aca="false">IF(COUNTIFS(日次入力!$A$4:$A$1500,"&gt;="&amp;DATE(2026,7,28),日次入力!$A$4:$A$1500,"&lt;="&amp;DATE(2026,8,3),日次入力!$C$4:$C$1500,"Google常設")=0,"",SUMIFS(日次入力!$F$4:$F$1500,日次入力!$A$4:$A$1500,"&gt;="&amp;DATE(2026,7,28),日次入力!$A$4:$A$1500,"&lt;="&amp;DATE(2026,8,3),日次入力!$C$4:$C$1500,"Google常設"))</f>
        <v/>
      </c>
      <c r="F246" s="42" t="str">
        <f aca="false">IF(COUNTIFS(日次入力!$A$4:$A$1500,"&gt;="&amp;DATE(2026,7,28),日次入力!$A$4:$A$1500,"&lt;="&amp;DATE(2026,8,3),日次入力!$C$4:$C$1500,"Google常設")=0,"",SUMIFS(日次入力!$G$4:$G$1500,日次入力!$A$4:$A$1500,"&gt;="&amp;DATE(2026,7,28),日次入力!$A$4:$A$1500,"&lt;="&amp;DATE(2026,8,3),日次入力!$C$4:$C$1500,"Google常設"))</f>
        <v/>
      </c>
      <c r="G246" s="15" t="str">
        <f aca="false">IFERROR(E246/D246,"")</f>
        <v/>
      </c>
      <c r="H246" s="37" t="str">
        <f aca="false">IFERROR(C246/E246,"")</f>
        <v/>
      </c>
      <c r="I246" s="37" t="str">
        <f aca="false">IFERROR(C246/D246*1000,"")</f>
        <v/>
      </c>
      <c r="J246" s="15" t="str">
        <f aca="false">IFERROR(F246/E246,"")</f>
        <v/>
      </c>
      <c r="K246" s="37" t="str">
        <f aca="false">IFERROR(C246/F246,"")</f>
        <v/>
      </c>
      <c r="L246" s="42" t="str">
        <f aca="false">IF(COUNTIFS(日次入力!$A$4:$A$1500,"&gt;="&amp;DATE(2026,7,28),日次入力!$A$4:$A$1500,"&lt;="&amp;DATE(2026,8,3),日次入力!$C$4:$C$1500,"Google常設")=0,"",SUMIFS(日次入力!$H$4:$H$1500,日次入力!$A$4:$A$1500,"&gt;="&amp;DATE(2026,7,28),日次入力!$A$4:$A$1500,"&lt;="&amp;DATE(2026,8,3),日次入力!$C$4:$C$1500,"Google常設"))</f>
        <v/>
      </c>
      <c r="M246" s="15" t="str">
        <f aca="false">IF(L246="","",IFERROR(L246/F246,""))</f>
        <v/>
      </c>
      <c r="N246" s="42" t="str">
        <f aca="false">IF(COUNTIFS(日次入力!$A$4:$A$1500,"&gt;="&amp;DATE(2026,7,28),日次入力!$A$4:$A$1500,"&lt;="&amp;DATE(2026,8,3),日次入力!$C$4:$C$1500,"Google常設")=0,"",SUMIFS(日次入力!$I$4:$I$1500,日次入力!$A$4:$A$1500,"&gt;="&amp;DATE(2026,7,28),日次入力!$A$4:$A$1500,"&lt;="&amp;DATE(2026,8,3),日次入力!$C$4:$C$1500,"Google常設"))</f>
        <v/>
      </c>
      <c r="O246" s="15" t="str">
        <f aca="false">IF(N246="","",IFERROR(N246/L246,""))</f>
        <v/>
      </c>
      <c r="P246" s="37" t="str">
        <f aca="false">IF(N246=0,"",IFERROR(C246/N246,""))</f>
        <v/>
      </c>
      <c r="Q246" s="38" t="str">
        <f aca="false">IF(N246=0,"",IFERROR(IF(C246/N246&lt;=用語集!$B$22,"◎ 許容内","✗ 超過"),"—"))</f>
        <v>—</v>
      </c>
      <c r="R246" s="39" t="str">
        <f aca="false">IFERROR(用語集!$B$22/P246,"")</f>
        <v/>
      </c>
    </row>
    <row r="247" customFormat="false" ht="15" hidden="false" customHeight="false" outlineLevel="0" collapsed="false">
      <c r="A247" s="34" t="s">
        <v>94</v>
      </c>
      <c r="B247" s="35" t="s">
        <v>95</v>
      </c>
      <c r="C247" s="41" t="str">
        <f aca="false">IF(COUNTIFS(日次入力!$A$4:$A$1500,"&gt;="&amp;DATE(2026,8,4),日次入力!$A$4:$A$1500,"&lt;="&amp;DATE(2026,8,10),日次入力!$C$4:$C$1500,"Google常設")=0,"",SUMIFS(日次入力!$D$4:$D$1500,日次入力!$A$4:$A$1500,"&gt;="&amp;DATE(2026,8,4),日次入力!$A$4:$A$1500,"&lt;="&amp;DATE(2026,8,10),日次入力!$C$4:$C$1500,"Google常設"))</f>
        <v/>
      </c>
      <c r="D247" s="42" t="str">
        <f aca="false">IF(COUNTIFS(日次入力!$A$4:$A$1500,"&gt;="&amp;DATE(2026,8,4),日次入力!$A$4:$A$1500,"&lt;="&amp;DATE(2026,8,10),日次入力!$C$4:$C$1500,"Google常設")=0,"",SUMIFS(日次入力!$E$4:$E$1500,日次入力!$A$4:$A$1500,"&gt;="&amp;DATE(2026,8,4),日次入力!$A$4:$A$1500,"&lt;="&amp;DATE(2026,8,10),日次入力!$C$4:$C$1500,"Google常設"))</f>
        <v/>
      </c>
      <c r="E247" s="42" t="str">
        <f aca="false">IF(COUNTIFS(日次入力!$A$4:$A$1500,"&gt;="&amp;DATE(2026,8,4),日次入力!$A$4:$A$1500,"&lt;="&amp;DATE(2026,8,10),日次入力!$C$4:$C$1500,"Google常設")=0,"",SUMIFS(日次入力!$F$4:$F$1500,日次入力!$A$4:$A$1500,"&gt;="&amp;DATE(2026,8,4),日次入力!$A$4:$A$1500,"&lt;="&amp;DATE(2026,8,10),日次入力!$C$4:$C$1500,"Google常設"))</f>
        <v/>
      </c>
      <c r="F247" s="42" t="str">
        <f aca="false">IF(COUNTIFS(日次入力!$A$4:$A$1500,"&gt;="&amp;DATE(2026,8,4),日次入力!$A$4:$A$1500,"&lt;="&amp;DATE(2026,8,10),日次入力!$C$4:$C$1500,"Google常設")=0,"",SUMIFS(日次入力!$G$4:$G$1500,日次入力!$A$4:$A$1500,"&gt;="&amp;DATE(2026,8,4),日次入力!$A$4:$A$1500,"&lt;="&amp;DATE(2026,8,10),日次入力!$C$4:$C$1500,"Google常設"))</f>
        <v/>
      </c>
      <c r="G247" s="15" t="str">
        <f aca="false">IFERROR(E247/D247,"")</f>
        <v/>
      </c>
      <c r="H247" s="37" t="str">
        <f aca="false">IFERROR(C247/E247,"")</f>
        <v/>
      </c>
      <c r="I247" s="37" t="str">
        <f aca="false">IFERROR(C247/D247*1000,"")</f>
        <v/>
      </c>
      <c r="J247" s="15" t="str">
        <f aca="false">IFERROR(F247/E247,"")</f>
        <v/>
      </c>
      <c r="K247" s="37" t="str">
        <f aca="false">IFERROR(C247/F247,"")</f>
        <v/>
      </c>
      <c r="L247" s="42" t="str">
        <f aca="false">IF(COUNTIFS(日次入力!$A$4:$A$1500,"&gt;="&amp;DATE(2026,8,4),日次入力!$A$4:$A$1500,"&lt;="&amp;DATE(2026,8,10),日次入力!$C$4:$C$1500,"Google常設")=0,"",SUMIFS(日次入力!$H$4:$H$1500,日次入力!$A$4:$A$1500,"&gt;="&amp;DATE(2026,8,4),日次入力!$A$4:$A$1500,"&lt;="&amp;DATE(2026,8,10),日次入力!$C$4:$C$1500,"Google常設"))</f>
        <v/>
      </c>
      <c r="M247" s="15" t="str">
        <f aca="false">IF(L247="","",IFERROR(L247/F247,""))</f>
        <v/>
      </c>
      <c r="N247" s="42" t="str">
        <f aca="false">IF(COUNTIFS(日次入力!$A$4:$A$1500,"&gt;="&amp;DATE(2026,8,4),日次入力!$A$4:$A$1500,"&lt;="&amp;DATE(2026,8,10),日次入力!$C$4:$C$1500,"Google常設")=0,"",SUMIFS(日次入力!$I$4:$I$1500,日次入力!$A$4:$A$1500,"&gt;="&amp;DATE(2026,8,4),日次入力!$A$4:$A$1500,"&lt;="&amp;DATE(2026,8,10),日次入力!$C$4:$C$1500,"Google常設"))</f>
        <v/>
      </c>
      <c r="O247" s="15" t="str">
        <f aca="false">IF(N247="","",IFERROR(N247/L247,""))</f>
        <v/>
      </c>
      <c r="P247" s="37" t="str">
        <f aca="false">IF(N247=0,"",IFERROR(C247/N247,""))</f>
        <v/>
      </c>
      <c r="Q247" s="38" t="str">
        <f aca="false">IF(N247=0,"",IFERROR(IF(C247/N247&lt;=用語集!$B$22,"◎ 許容内","✗ 超過"),"—"))</f>
        <v>—</v>
      </c>
      <c r="R247" s="39" t="str">
        <f aca="false">IFERROR(用語集!$B$22/P247,"")</f>
        <v/>
      </c>
    </row>
    <row r="248" customFormat="false" ht="15" hidden="false" customHeight="false" outlineLevel="0" collapsed="false">
      <c r="A248" s="34" t="s">
        <v>96</v>
      </c>
      <c r="B248" s="35" t="s">
        <v>97</v>
      </c>
      <c r="C248" s="41" t="str">
        <f aca="false">IF(COUNTIFS(日次入力!$A$4:$A$1500,"&gt;="&amp;DATE(2026,8,11),日次入力!$A$4:$A$1500,"&lt;="&amp;DATE(2026,8,17),日次入力!$C$4:$C$1500,"Google常設")=0,"",SUMIFS(日次入力!$D$4:$D$1500,日次入力!$A$4:$A$1500,"&gt;="&amp;DATE(2026,8,11),日次入力!$A$4:$A$1500,"&lt;="&amp;DATE(2026,8,17),日次入力!$C$4:$C$1500,"Google常設"))</f>
        <v/>
      </c>
      <c r="D248" s="42" t="str">
        <f aca="false">IF(COUNTIFS(日次入力!$A$4:$A$1500,"&gt;="&amp;DATE(2026,8,11),日次入力!$A$4:$A$1500,"&lt;="&amp;DATE(2026,8,17),日次入力!$C$4:$C$1500,"Google常設")=0,"",SUMIFS(日次入力!$E$4:$E$1500,日次入力!$A$4:$A$1500,"&gt;="&amp;DATE(2026,8,11),日次入力!$A$4:$A$1500,"&lt;="&amp;DATE(2026,8,17),日次入力!$C$4:$C$1500,"Google常設"))</f>
        <v/>
      </c>
      <c r="E248" s="42" t="str">
        <f aca="false">IF(COUNTIFS(日次入力!$A$4:$A$1500,"&gt;="&amp;DATE(2026,8,11),日次入力!$A$4:$A$1500,"&lt;="&amp;DATE(2026,8,17),日次入力!$C$4:$C$1500,"Google常設")=0,"",SUMIFS(日次入力!$F$4:$F$1500,日次入力!$A$4:$A$1500,"&gt;="&amp;DATE(2026,8,11),日次入力!$A$4:$A$1500,"&lt;="&amp;DATE(2026,8,17),日次入力!$C$4:$C$1500,"Google常設"))</f>
        <v/>
      </c>
      <c r="F248" s="42" t="str">
        <f aca="false">IF(COUNTIFS(日次入力!$A$4:$A$1500,"&gt;="&amp;DATE(2026,8,11),日次入力!$A$4:$A$1500,"&lt;="&amp;DATE(2026,8,17),日次入力!$C$4:$C$1500,"Google常設")=0,"",SUMIFS(日次入力!$G$4:$G$1500,日次入力!$A$4:$A$1500,"&gt;="&amp;DATE(2026,8,11),日次入力!$A$4:$A$1500,"&lt;="&amp;DATE(2026,8,17),日次入力!$C$4:$C$1500,"Google常設"))</f>
        <v/>
      </c>
      <c r="G248" s="15" t="str">
        <f aca="false">IFERROR(E248/D248,"")</f>
        <v/>
      </c>
      <c r="H248" s="37" t="str">
        <f aca="false">IFERROR(C248/E248,"")</f>
        <v/>
      </c>
      <c r="I248" s="37" t="str">
        <f aca="false">IFERROR(C248/D248*1000,"")</f>
        <v/>
      </c>
      <c r="J248" s="15" t="str">
        <f aca="false">IFERROR(F248/E248,"")</f>
        <v/>
      </c>
      <c r="K248" s="37" t="str">
        <f aca="false">IFERROR(C248/F248,"")</f>
        <v/>
      </c>
      <c r="L248" s="42" t="str">
        <f aca="false">IF(COUNTIFS(日次入力!$A$4:$A$1500,"&gt;="&amp;DATE(2026,8,11),日次入力!$A$4:$A$1500,"&lt;="&amp;DATE(2026,8,17),日次入力!$C$4:$C$1500,"Google常設")=0,"",SUMIFS(日次入力!$H$4:$H$1500,日次入力!$A$4:$A$1500,"&gt;="&amp;DATE(2026,8,11),日次入力!$A$4:$A$1500,"&lt;="&amp;DATE(2026,8,17),日次入力!$C$4:$C$1500,"Google常設"))</f>
        <v/>
      </c>
      <c r="M248" s="15" t="str">
        <f aca="false">IF(L248="","",IFERROR(L248/F248,""))</f>
        <v/>
      </c>
      <c r="N248" s="42" t="str">
        <f aca="false">IF(COUNTIFS(日次入力!$A$4:$A$1500,"&gt;="&amp;DATE(2026,8,11),日次入力!$A$4:$A$1500,"&lt;="&amp;DATE(2026,8,17),日次入力!$C$4:$C$1500,"Google常設")=0,"",SUMIFS(日次入力!$I$4:$I$1500,日次入力!$A$4:$A$1500,"&gt;="&amp;DATE(2026,8,11),日次入力!$A$4:$A$1500,"&lt;="&amp;DATE(2026,8,17),日次入力!$C$4:$C$1500,"Google常設"))</f>
        <v/>
      </c>
      <c r="O248" s="15" t="str">
        <f aca="false">IF(N248="","",IFERROR(N248/L248,""))</f>
        <v/>
      </c>
      <c r="P248" s="37" t="str">
        <f aca="false">IF(N248=0,"",IFERROR(C248/N248,""))</f>
        <v/>
      </c>
      <c r="Q248" s="38" t="str">
        <f aca="false">IF(N248=0,"",IFERROR(IF(C248/N248&lt;=用語集!$B$22,"◎ 許容内","✗ 超過"),"—"))</f>
        <v>—</v>
      </c>
      <c r="R248" s="39" t="str">
        <f aca="false">IFERROR(用語集!$B$22/P248,"")</f>
        <v/>
      </c>
    </row>
    <row r="249" customFormat="false" ht="15" hidden="false" customHeight="false" outlineLevel="0" collapsed="false">
      <c r="A249" s="34" t="s">
        <v>98</v>
      </c>
      <c r="B249" s="35" t="s">
        <v>99</v>
      </c>
      <c r="C249" s="41" t="str">
        <f aca="false">IF(COUNTIFS(日次入力!$A$4:$A$1500,"&gt;="&amp;DATE(2026,8,18),日次入力!$A$4:$A$1500,"&lt;="&amp;DATE(2026,8,24),日次入力!$C$4:$C$1500,"Google常設")=0,"",SUMIFS(日次入力!$D$4:$D$1500,日次入力!$A$4:$A$1500,"&gt;="&amp;DATE(2026,8,18),日次入力!$A$4:$A$1500,"&lt;="&amp;DATE(2026,8,24),日次入力!$C$4:$C$1500,"Google常設"))</f>
        <v/>
      </c>
      <c r="D249" s="42" t="str">
        <f aca="false">IF(COUNTIFS(日次入力!$A$4:$A$1500,"&gt;="&amp;DATE(2026,8,18),日次入力!$A$4:$A$1500,"&lt;="&amp;DATE(2026,8,24),日次入力!$C$4:$C$1500,"Google常設")=0,"",SUMIFS(日次入力!$E$4:$E$1500,日次入力!$A$4:$A$1500,"&gt;="&amp;DATE(2026,8,18),日次入力!$A$4:$A$1500,"&lt;="&amp;DATE(2026,8,24),日次入力!$C$4:$C$1500,"Google常設"))</f>
        <v/>
      </c>
      <c r="E249" s="42" t="str">
        <f aca="false">IF(COUNTIFS(日次入力!$A$4:$A$1500,"&gt;="&amp;DATE(2026,8,18),日次入力!$A$4:$A$1500,"&lt;="&amp;DATE(2026,8,24),日次入力!$C$4:$C$1500,"Google常設")=0,"",SUMIFS(日次入力!$F$4:$F$1500,日次入力!$A$4:$A$1500,"&gt;="&amp;DATE(2026,8,18),日次入力!$A$4:$A$1500,"&lt;="&amp;DATE(2026,8,24),日次入力!$C$4:$C$1500,"Google常設"))</f>
        <v/>
      </c>
      <c r="F249" s="42" t="str">
        <f aca="false">IF(COUNTIFS(日次入力!$A$4:$A$1500,"&gt;="&amp;DATE(2026,8,18),日次入力!$A$4:$A$1500,"&lt;="&amp;DATE(2026,8,24),日次入力!$C$4:$C$1500,"Google常設")=0,"",SUMIFS(日次入力!$G$4:$G$1500,日次入力!$A$4:$A$1500,"&gt;="&amp;DATE(2026,8,18),日次入力!$A$4:$A$1500,"&lt;="&amp;DATE(2026,8,24),日次入力!$C$4:$C$1500,"Google常設"))</f>
        <v/>
      </c>
      <c r="G249" s="15" t="str">
        <f aca="false">IFERROR(E249/D249,"")</f>
        <v/>
      </c>
      <c r="H249" s="37" t="str">
        <f aca="false">IFERROR(C249/E249,"")</f>
        <v/>
      </c>
      <c r="I249" s="37" t="str">
        <f aca="false">IFERROR(C249/D249*1000,"")</f>
        <v/>
      </c>
      <c r="J249" s="15" t="str">
        <f aca="false">IFERROR(F249/E249,"")</f>
        <v/>
      </c>
      <c r="K249" s="37" t="str">
        <f aca="false">IFERROR(C249/F249,"")</f>
        <v/>
      </c>
      <c r="L249" s="42" t="str">
        <f aca="false">IF(COUNTIFS(日次入力!$A$4:$A$1500,"&gt;="&amp;DATE(2026,8,18),日次入力!$A$4:$A$1500,"&lt;="&amp;DATE(2026,8,24),日次入力!$C$4:$C$1500,"Google常設")=0,"",SUMIFS(日次入力!$H$4:$H$1500,日次入力!$A$4:$A$1500,"&gt;="&amp;DATE(2026,8,18),日次入力!$A$4:$A$1500,"&lt;="&amp;DATE(2026,8,24),日次入力!$C$4:$C$1500,"Google常設"))</f>
        <v/>
      </c>
      <c r="M249" s="15" t="str">
        <f aca="false">IF(L249="","",IFERROR(L249/F249,""))</f>
        <v/>
      </c>
      <c r="N249" s="42" t="str">
        <f aca="false">IF(COUNTIFS(日次入力!$A$4:$A$1500,"&gt;="&amp;DATE(2026,8,18),日次入力!$A$4:$A$1500,"&lt;="&amp;DATE(2026,8,24),日次入力!$C$4:$C$1500,"Google常設")=0,"",SUMIFS(日次入力!$I$4:$I$1500,日次入力!$A$4:$A$1500,"&gt;="&amp;DATE(2026,8,18),日次入力!$A$4:$A$1500,"&lt;="&amp;DATE(2026,8,24),日次入力!$C$4:$C$1500,"Google常設"))</f>
        <v/>
      </c>
      <c r="O249" s="15" t="str">
        <f aca="false">IF(N249="","",IFERROR(N249/L249,""))</f>
        <v/>
      </c>
      <c r="P249" s="37" t="str">
        <f aca="false">IF(N249=0,"",IFERROR(C249/N249,""))</f>
        <v/>
      </c>
      <c r="Q249" s="38" t="str">
        <f aca="false">IF(N249=0,"",IFERROR(IF(C249/N249&lt;=用語集!$B$22,"◎ 許容内","✗ 超過"),"—"))</f>
        <v>—</v>
      </c>
      <c r="R249" s="39" t="str">
        <f aca="false">IFERROR(用語集!$B$22/P249,"")</f>
        <v/>
      </c>
    </row>
    <row r="250" customFormat="false" ht="15" hidden="false" customHeight="false" outlineLevel="0" collapsed="false">
      <c r="A250" s="34" t="s">
        <v>100</v>
      </c>
      <c r="B250" s="35" t="s">
        <v>101</v>
      </c>
      <c r="C250" s="41" t="str">
        <f aca="false">IF(COUNTIFS(日次入力!$A$4:$A$1500,"&gt;="&amp;DATE(2026,8,25),日次入力!$A$4:$A$1500,"&lt;="&amp;DATE(2026,8,31),日次入力!$C$4:$C$1500,"Google常設")=0,"",SUMIFS(日次入力!$D$4:$D$1500,日次入力!$A$4:$A$1500,"&gt;="&amp;DATE(2026,8,25),日次入力!$A$4:$A$1500,"&lt;="&amp;DATE(2026,8,31),日次入力!$C$4:$C$1500,"Google常設"))</f>
        <v/>
      </c>
      <c r="D250" s="42" t="str">
        <f aca="false">IF(COUNTIFS(日次入力!$A$4:$A$1500,"&gt;="&amp;DATE(2026,8,25),日次入力!$A$4:$A$1500,"&lt;="&amp;DATE(2026,8,31),日次入力!$C$4:$C$1500,"Google常設")=0,"",SUMIFS(日次入力!$E$4:$E$1500,日次入力!$A$4:$A$1500,"&gt;="&amp;DATE(2026,8,25),日次入力!$A$4:$A$1500,"&lt;="&amp;DATE(2026,8,31),日次入力!$C$4:$C$1500,"Google常設"))</f>
        <v/>
      </c>
      <c r="E250" s="42" t="str">
        <f aca="false">IF(COUNTIFS(日次入力!$A$4:$A$1500,"&gt;="&amp;DATE(2026,8,25),日次入力!$A$4:$A$1500,"&lt;="&amp;DATE(2026,8,31),日次入力!$C$4:$C$1500,"Google常設")=0,"",SUMIFS(日次入力!$F$4:$F$1500,日次入力!$A$4:$A$1500,"&gt;="&amp;DATE(2026,8,25),日次入力!$A$4:$A$1500,"&lt;="&amp;DATE(2026,8,31),日次入力!$C$4:$C$1500,"Google常設"))</f>
        <v/>
      </c>
      <c r="F250" s="42" t="str">
        <f aca="false">IF(COUNTIFS(日次入力!$A$4:$A$1500,"&gt;="&amp;DATE(2026,8,25),日次入力!$A$4:$A$1500,"&lt;="&amp;DATE(2026,8,31),日次入力!$C$4:$C$1500,"Google常設")=0,"",SUMIFS(日次入力!$G$4:$G$1500,日次入力!$A$4:$A$1500,"&gt;="&amp;DATE(2026,8,25),日次入力!$A$4:$A$1500,"&lt;="&amp;DATE(2026,8,31),日次入力!$C$4:$C$1500,"Google常設"))</f>
        <v/>
      </c>
      <c r="G250" s="15" t="str">
        <f aca="false">IFERROR(E250/D250,"")</f>
        <v/>
      </c>
      <c r="H250" s="37" t="str">
        <f aca="false">IFERROR(C250/E250,"")</f>
        <v/>
      </c>
      <c r="I250" s="37" t="str">
        <f aca="false">IFERROR(C250/D250*1000,"")</f>
        <v/>
      </c>
      <c r="J250" s="15" t="str">
        <f aca="false">IFERROR(F250/E250,"")</f>
        <v/>
      </c>
      <c r="K250" s="37" t="str">
        <f aca="false">IFERROR(C250/F250,"")</f>
        <v/>
      </c>
      <c r="L250" s="42" t="str">
        <f aca="false">IF(COUNTIFS(日次入力!$A$4:$A$1500,"&gt;="&amp;DATE(2026,8,25),日次入力!$A$4:$A$1500,"&lt;="&amp;DATE(2026,8,31),日次入力!$C$4:$C$1500,"Google常設")=0,"",SUMIFS(日次入力!$H$4:$H$1500,日次入力!$A$4:$A$1500,"&gt;="&amp;DATE(2026,8,25),日次入力!$A$4:$A$1500,"&lt;="&amp;DATE(2026,8,31),日次入力!$C$4:$C$1500,"Google常設"))</f>
        <v/>
      </c>
      <c r="M250" s="15" t="str">
        <f aca="false">IF(L250="","",IFERROR(L250/F250,""))</f>
        <v/>
      </c>
      <c r="N250" s="42" t="str">
        <f aca="false">IF(COUNTIFS(日次入力!$A$4:$A$1500,"&gt;="&amp;DATE(2026,8,25),日次入力!$A$4:$A$1500,"&lt;="&amp;DATE(2026,8,31),日次入力!$C$4:$C$1500,"Google常設")=0,"",SUMIFS(日次入力!$I$4:$I$1500,日次入力!$A$4:$A$1500,"&gt;="&amp;DATE(2026,8,25),日次入力!$A$4:$A$1500,"&lt;="&amp;DATE(2026,8,31),日次入力!$C$4:$C$1500,"Google常設"))</f>
        <v/>
      </c>
      <c r="O250" s="15" t="str">
        <f aca="false">IF(N250="","",IFERROR(N250/L250,""))</f>
        <v/>
      </c>
      <c r="P250" s="37" t="str">
        <f aca="false">IF(N250=0,"",IFERROR(C250/N250,""))</f>
        <v/>
      </c>
      <c r="Q250" s="38" t="str">
        <f aca="false">IF(N250=0,"",IFERROR(IF(C250/N250&lt;=用語集!$B$22,"◎ 許容内","✗ 超過"),"—"))</f>
        <v>—</v>
      </c>
      <c r="R250" s="39" t="str">
        <f aca="false">IFERROR(用語集!$B$22/P250,"")</f>
        <v/>
      </c>
    </row>
    <row r="251" customFormat="false" ht="15" hidden="false" customHeight="false" outlineLevel="0" collapsed="false">
      <c r="A251" s="34" t="s">
        <v>102</v>
      </c>
      <c r="B251" s="35" t="s">
        <v>103</v>
      </c>
      <c r="C251" s="41" t="str">
        <f aca="false">IF(COUNTIFS(日次入力!$A$4:$A$1500,"&gt;="&amp;DATE(2026,9,1),日次入力!$A$4:$A$1500,"&lt;="&amp;DATE(2026,9,7),日次入力!$C$4:$C$1500,"Google常設")=0,"",SUMIFS(日次入力!$D$4:$D$1500,日次入力!$A$4:$A$1500,"&gt;="&amp;DATE(2026,9,1),日次入力!$A$4:$A$1500,"&lt;="&amp;DATE(2026,9,7),日次入力!$C$4:$C$1500,"Google常設"))</f>
        <v/>
      </c>
      <c r="D251" s="42" t="str">
        <f aca="false">IF(COUNTIFS(日次入力!$A$4:$A$1500,"&gt;="&amp;DATE(2026,9,1),日次入力!$A$4:$A$1500,"&lt;="&amp;DATE(2026,9,7),日次入力!$C$4:$C$1500,"Google常設")=0,"",SUMIFS(日次入力!$E$4:$E$1500,日次入力!$A$4:$A$1500,"&gt;="&amp;DATE(2026,9,1),日次入力!$A$4:$A$1500,"&lt;="&amp;DATE(2026,9,7),日次入力!$C$4:$C$1500,"Google常設"))</f>
        <v/>
      </c>
      <c r="E251" s="42" t="str">
        <f aca="false">IF(COUNTIFS(日次入力!$A$4:$A$1500,"&gt;="&amp;DATE(2026,9,1),日次入力!$A$4:$A$1500,"&lt;="&amp;DATE(2026,9,7),日次入力!$C$4:$C$1500,"Google常設")=0,"",SUMIFS(日次入力!$F$4:$F$1500,日次入力!$A$4:$A$1500,"&gt;="&amp;DATE(2026,9,1),日次入力!$A$4:$A$1500,"&lt;="&amp;DATE(2026,9,7),日次入力!$C$4:$C$1500,"Google常設"))</f>
        <v/>
      </c>
      <c r="F251" s="42" t="str">
        <f aca="false">IF(COUNTIFS(日次入力!$A$4:$A$1500,"&gt;="&amp;DATE(2026,9,1),日次入力!$A$4:$A$1500,"&lt;="&amp;DATE(2026,9,7),日次入力!$C$4:$C$1500,"Google常設")=0,"",SUMIFS(日次入力!$G$4:$G$1500,日次入力!$A$4:$A$1500,"&gt;="&amp;DATE(2026,9,1),日次入力!$A$4:$A$1500,"&lt;="&amp;DATE(2026,9,7),日次入力!$C$4:$C$1500,"Google常設"))</f>
        <v/>
      </c>
      <c r="G251" s="15" t="str">
        <f aca="false">IFERROR(E251/D251,"")</f>
        <v/>
      </c>
      <c r="H251" s="37" t="str">
        <f aca="false">IFERROR(C251/E251,"")</f>
        <v/>
      </c>
      <c r="I251" s="37" t="str">
        <f aca="false">IFERROR(C251/D251*1000,"")</f>
        <v/>
      </c>
      <c r="J251" s="15" t="str">
        <f aca="false">IFERROR(F251/E251,"")</f>
        <v/>
      </c>
      <c r="K251" s="37" t="str">
        <f aca="false">IFERROR(C251/F251,"")</f>
        <v/>
      </c>
      <c r="L251" s="42" t="str">
        <f aca="false">IF(COUNTIFS(日次入力!$A$4:$A$1500,"&gt;="&amp;DATE(2026,9,1),日次入力!$A$4:$A$1500,"&lt;="&amp;DATE(2026,9,7),日次入力!$C$4:$C$1500,"Google常設")=0,"",SUMIFS(日次入力!$H$4:$H$1500,日次入力!$A$4:$A$1500,"&gt;="&amp;DATE(2026,9,1),日次入力!$A$4:$A$1500,"&lt;="&amp;DATE(2026,9,7),日次入力!$C$4:$C$1500,"Google常設"))</f>
        <v/>
      </c>
      <c r="M251" s="15" t="str">
        <f aca="false">IF(L251="","",IFERROR(L251/F251,""))</f>
        <v/>
      </c>
      <c r="N251" s="42" t="str">
        <f aca="false">IF(COUNTIFS(日次入力!$A$4:$A$1500,"&gt;="&amp;DATE(2026,9,1),日次入力!$A$4:$A$1500,"&lt;="&amp;DATE(2026,9,7),日次入力!$C$4:$C$1500,"Google常設")=0,"",SUMIFS(日次入力!$I$4:$I$1500,日次入力!$A$4:$A$1500,"&gt;="&amp;DATE(2026,9,1),日次入力!$A$4:$A$1500,"&lt;="&amp;DATE(2026,9,7),日次入力!$C$4:$C$1500,"Google常設"))</f>
        <v/>
      </c>
      <c r="O251" s="15" t="str">
        <f aca="false">IF(N251="","",IFERROR(N251/L251,""))</f>
        <v/>
      </c>
      <c r="P251" s="37" t="str">
        <f aca="false">IF(N251=0,"",IFERROR(C251/N251,""))</f>
        <v/>
      </c>
      <c r="Q251" s="38" t="str">
        <f aca="false">IF(N251=0,"",IFERROR(IF(C251/N251&lt;=用語集!$B$22,"◎ 許容内","✗ 超過"),"—"))</f>
        <v>—</v>
      </c>
      <c r="R251" s="39" t="str">
        <f aca="false">IFERROR(用語集!$B$22/P251,"")</f>
        <v/>
      </c>
    </row>
    <row r="252" customFormat="false" ht="15" hidden="false" customHeight="false" outlineLevel="0" collapsed="false">
      <c r="A252" s="34" t="s">
        <v>104</v>
      </c>
      <c r="B252" s="35" t="s">
        <v>105</v>
      </c>
      <c r="C252" s="41" t="str">
        <f aca="false">IF(COUNTIFS(日次入力!$A$4:$A$1500,"&gt;="&amp;DATE(2026,9,8),日次入力!$A$4:$A$1500,"&lt;="&amp;DATE(2026,9,14),日次入力!$C$4:$C$1500,"Google常設")=0,"",SUMIFS(日次入力!$D$4:$D$1500,日次入力!$A$4:$A$1500,"&gt;="&amp;DATE(2026,9,8),日次入力!$A$4:$A$1500,"&lt;="&amp;DATE(2026,9,14),日次入力!$C$4:$C$1500,"Google常設"))</f>
        <v/>
      </c>
      <c r="D252" s="42" t="str">
        <f aca="false">IF(COUNTIFS(日次入力!$A$4:$A$1500,"&gt;="&amp;DATE(2026,9,8),日次入力!$A$4:$A$1500,"&lt;="&amp;DATE(2026,9,14),日次入力!$C$4:$C$1500,"Google常設")=0,"",SUMIFS(日次入力!$E$4:$E$1500,日次入力!$A$4:$A$1500,"&gt;="&amp;DATE(2026,9,8),日次入力!$A$4:$A$1500,"&lt;="&amp;DATE(2026,9,14),日次入力!$C$4:$C$1500,"Google常設"))</f>
        <v/>
      </c>
      <c r="E252" s="42" t="str">
        <f aca="false">IF(COUNTIFS(日次入力!$A$4:$A$1500,"&gt;="&amp;DATE(2026,9,8),日次入力!$A$4:$A$1500,"&lt;="&amp;DATE(2026,9,14),日次入力!$C$4:$C$1500,"Google常設")=0,"",SUMIFS(日次入力!$F$4:$F$1500,日次入力!$A$4:$A$1500,"&gt;="&amp;DATE(2026,9,8),日次入力!$A$4:$A$1500,"&lt;="&amp;DATE(2026,9,14),日次入力!$C$4:$C$1500,"Google常設"))</f>
        <v/>
      </c>
      <c r="F252" s="42" t="str">
        <f aca="false">IF(COUNTIFS(日次入力!$A$4:$A$1500,"&gt;="&amp;DATE(2026,9,8),日次入力!$A$4:$A$1500,"&lt;="&amp;DATE(2026,9,14),日次入力!$C$4:$C$1500,"Google常設")=0,"",SUMIFS(日次入力!$G$4:$G$1500,日次入力!$A$4:$A$1500,"&gt;="&amp;DATE(2026,9,8),日次入力!$A$4:$A$1500,"&lt;="&amp;DATE(2026,9,14),日次入力!$C$4:$C$1500,"Google常設"))</f>
        <v/>
      </c>
      <c r="G252" s="15" t="str">
        <f aca="false">IFERROR(E252/D252,"")</f>
        <v/>
      </c>
      <c r="H252" s="37" t="str">
        <f aca="false">IFERROR(C252/E252,"")</f>
        <v/>
      </c>
      <c r="I252" s="37" t="str">
        <f aca="false">IFERROR(C252/D252*1000,"")</f>
        <v/>
      </c>
      <c r="J252" s="15" t="str">
        <f aca="false">IFERROR(F252/E252,"")</f>
        <v/>
      </c>
      <c r="K252" s="37" t="str">
        <f aca="false">IFERROR(C252/F252,"")</f>
        <v/>
      </c>
      <c r="L252" s="42" t="str">
        <f aca="false">IF(COUNTIFS(日次入力!$A$4:$A$1500,"&gt;="&amp;DATE(2026,9,8),日次入力!$A$4:$A$1500,"&lt;="&amp;DATE(2026,9,14),日次入力!$C$4:$C$1500,"Google常設")=0,"",SUMIFS(日次入力!$H$4:$H$1500,日次入力!$A$4:$A$1500,"&gt;="&amp;DATE(2026,9,8),日次入力!$A$4:$A$1500,"&lt;="&amp;DATE(2026,9,14),日次入力!$C$4:$C$1500,"Google常設"))</f>
        <v/>
      </c>
      <c r="M252" s="15" t="str">
        <f aca="false">IF(L252="","",IFERROR(L252/F252,""))</f>
        <v/>
      </c>
      <c r="N252" s="42" t="str">
        <f aca="false">IF(COUNTIFS(日次入力!$A$4:$A$1500,"&gt;="&amp;DATE(2026,9,8),日次入力!$A$4:$A$1500,"&lt;="&amp;DATE(2026,9,14),日次入力!$C$4:$C$1500,"Google常設")=0,"",SUMIFS(日次入力!$I$4:$I$1500,日次入力!$A$4:$A$1500,"&gt;="&amp;DATE(2026,9,8),日次入力!$A$4:$A$1500,"&lt;="&amp;DATE(2026,9,14),日次入力!$C$4:$C$1500,"Google常設"))</f>
        <v/>
      </c>
      <c r="O252" s="15" t="str">
        <f aca="false">IF(N252="","",IFERROR(N252/L252,""))</f>
        <v/>
      </c>
      <c r="P252" s="37" t="str">
        <f aca="false">IF(N252=0,"",IFERROR(C252/N252,""))</f>
        <v/>
      </c>
      <c r="Q252" s="38" t="str">
        <f aca="false">IF(N252=0,"",IFERROR(IF(C252/N252&lt;=用語集!$B$22,"◎ 許容内","✗ 超過"),"—"))</f>
        <v>—</v>
      </c>
      <c r="R252" s="39" t="str">
        <f aca="false">IFERROR(用語集!$B$22/P252,"")</f>
        <v/>
      </c>
    </row>
    <row r="253" customFormat="false" ht="15" hidden="false" customHeight="false" outlineLevel="0" collapsed="false">
      <c r="A253" s="34" t="s">
        <v>106</v>
      </c>
      <c r="B253" s="35" t="s">
        <v>107</v>
      </c>
      <c r="C253" s="41" t="str">
        <f aca="false">IF(COUNTIFS(日次入力!$A$4:$A$1500,"&gt;="&amp;DATE(2026,9,15),日次入力!$A$4:$A$1500,"&lt;="&amp;DATE(2026,9,21),日次入力!$C$4:$C$1500,"Google常設")=0,"",SUMIFS(日次入力!$D$4:$D$1500,日次入力!$A$4:$A$1500,"&gt;="&amp;DATE(2026,9,15),日次入力!$A$4:$A$1500,"&lt;="&amp;DATE(2026,9,21),日次入力!$C$4:$C$1500,"Google常設"))</f>
        <v/>
      </c>
      <c r="D253" s="42" t="str">
        <f aca="false">IF(COUNTIFS(日次入力!$A$4:$A$1500,"&gt;="&amp;DATE(2026,9,15),日次入力!$A$4:$A$1500,"&lt;="&amp;DATE(2026,9,21),日次入力!$C$4:$C$1500,"Google常設")=0,"",SUMIFS(日次入力!$E$4:$E$1500,日次入力!$A$4:$A$1500,"&gt;="&amp;DATE(2026,9,15),日次入力!$A$4:$A$1500,"&lt;="&amp;DATE(2026,9,21),日次入力!$C$4:$C$1500,"Google常設"))</f>
        <v/>
      </c>
      <c r="E253" s="42" t="str">
        <f aca="false">IF(COUNTIFS(日次入力!$A$4:$A$1500,"&gt;="&amp;DATE(2026,9,15),日次入力!$A$4:$A$1500,"&lt;="&amp;DATE(2026,9,21),日次入力!$C$4:$C$1500,"Google常設")=0,"",SUMIFS(日次入力!$F$4:$F$1500,日次入力!$A$4:$A$1500,"&gt;="&amp;DATE(2026,9,15),日次入力!$A$4:$A$1500,"&lt;="&amp;DATE(2026,9,21),日次入力!$C$4:$C$1500,"Google常設"))</f>
        <v/>
      </c>
      <c r="F253" s="42" t="str">
        <f aca="false">IF(COUNTIFS(日次入力!$A$4:$A$1500,"&gt;="&amp;DATE(2026,9,15),日次入力!$A$4:$A$1500,"&lt;="&amp;DATE(2026,9,21),日次入力!$C$4:$C$1500,"Google常設")=0,"",SUMIFS(日次入力!$G$4:$G$1500,日次入力!$A$4:$A$1500,"&gt;="&amp;DATE(2026,9,15),日次入力!$A$4:$A$1500,"&lt;="&amp;DATE(2026,9,21),日次入力!$C$4:$C$1500,"Google常設"))</f>
        <v/>
      </c>
      <c r="G253" s="15" t="str">
        <f aca="false">IFERROR(E253/D253,"")</f>
        <v/>
      </c>
      <c r="H253" s="37" t="str">
        <f aca="false">IFERROR(C253/E253,"")</f>
        <v/>
      </c>
      <c r="I253" s="37" t="str">
        <f aca="false">IFERROR(C253/D253*1000,"")</f>
        <v/>
      </c>
      <c r="J253" s="15" t="str">
        <f aca="false">IFERROR(F253/E253,"")</f>
        <v/>
      </c>
      <c r="K253" s="37" t="str">
        <f aca="false">IFERROR(C253/F253,"")</f>
        <v/>
      </c>
      <c r="L253" s="42" t="str">
        <f aca="false">IF(COUNTIFS(日次入力!$A$4:$A$1500,"&gt;="&amp;DATE(2026,9,15),日次入力!$A$4:$A$1500,"&lt;="&amp;DATE(2026,9,21),日次入力!$C$4:$C$1500,"Google常設")=0,"",SUMIFS(日次入力!$H$4:$H$1500,日次入力!$A$4:$A$1500,"&gt;="&amp;DATE(2026,9,15),日次入力!$A$4:$A$1500,"&lt;="&amp;DATE(2026,9,21),日次入力!$C$4:$C$1500,"Google常設"))</f>
        <v/>
      </c>
      <c r="M253" s="15" t="str">
        <f aca="false">IF(L253="","",IFERROR(L253/F253,""))</f>
        <v/>
      </c>
      <c r="N253" s="42" t="str">
        <f aca="false">IF(COUNTIFS(日次入力!$A$4:$A$1500,"&gt;="&amp;DATE(2026,9,15),日次入力!$A$4:$A$1500,"&lt;="&amp;DATE(2026,9,21),日次入力!$C$4:$C$1500,"Google常設")=0,"",SUMIFS(日次入力!$I$4:$I$1500,日次入力!$A$4:$A$1500,"&gt;="&amp;DATE(2026,9,15),日次入力!$A$4:$A$1500,"&lt;="&amp;DATE(2026,9,21),日次入力!$C$4:$C$1500,"Google常設"))</f>
        <v/>
      </c>
      <c r="O253" s="15" t="str">
        <f aca="false">IF(N253="","",IFERROR(N253/L253,""))</f>
        <v/>
      </c>
      <c r="P253" s="37" t="str">
        <f aca="false">IF(N253=0,"",IFERROR(C253/N253,""))</f>
        <v/>
      </c>
      <c r="Q253" s="38" t="str">
        <f aca="false">IF(N253=0,"",IFERROR(IF(C253/N253&lt;=用語集!$B$22,"◎ 許容内","✗ 超過"),"—"))</f>
        <v>—</v>
      </c>
      <c r="R253" s="39" t="str">
        <f aca="false">IFERROR(用語集!$B$22/P253,"")</f>
        <v/>
      </c>
    </row>
    <row r="254" customFormat="false" ht="15" hidden="false" customHeight="false" outlineLevel="0" collapsed="false">
      <c r="A254" s="34" t="s">
        <v>108</v>
      </c>
      <c r="B254" s="35" t="s">
        <v>109</v>
      </c>
      <c r="C254" s="41" t="str">
        <f aca="false">IF(COUNTIFS(日次入力!$A$4:$A$1500,"&gt;="&amp;DATE(2026,9,22),日次入力!$A$4:$A$1500,"&lt;="&amp;DATE(2026,9,28),日次入力!$C$4:$C$1500,"Google常設")=0,"",SUMIFS(日次入力!$D$4:$D$1500,日次入力!$A$4:$A$1500,"&gt;="&amp;DATE(2026,9,22),日次入力!$A$4:$A$1500,"&lt;="&amp;DATE(2026,9,28),日次入力!$C$4:$C$1500,"Google常設"))</f>
        <v/>
      </c>
      <c r="D254" s="42" t="str">
        <f aca="false">IF(COUNTIFS(日次入力!$A$4:$A$1500,"&gt;="&amp;DATE(2026,9,22),日次入力!$A$4:$A$1500,"&lt;="&amp;DATE(2026,9,28),日次入力!$C$4:$C$1500,"Google常設")=0,"",SUMIFS(日次入力!$E$4:$E$1500,日次入力!$A$4:$A$1500,"&gt;="&amp;DATE(2026,9,22),日次入力!$A$4:$A$1500,"&lt;="&amp;DATE(2026,9,28),日次入力!$C$4:$C$1500,"Google常設"))</f>
        <v/>
      </c>
      <c r="E254" s="42" t="str">
        <f aca="false">IF(COUNTIFS(日次入力!$A$4:$A$1500,"&gt;="&amp;DATE(2026,9,22),日次入力!$A$4:$A$1500,"&lt;="&amp;DATE(2026,9,28),日次入力!$C$4:$C$1500,"Google常設")=0,"",SUMIFS(日次入力!$F$4:$F$1500,日次入力!$A$4:$A$1500,"&gt;="&amp;DATE(2026,9,22),日次入力!$A$4:$A$1500,"&lt;="&amp;DATE(2026,9,28),日次入力!$C$4:$C$1500,"Google常設"))</f>
        <v/>
      </c>
      <c r="F254" s="42" t="str">
        <f aca="false">IF(COUNTIFS(日次入力!$A$4:$A$1500,"&gt;="&amp;DATE(2026,9,22),日次入力!$A$4:$A$1500,"&lt;="&amp;DATE(2026,9,28),日次入力!$C$4:$C$1500,"Google常設")=0,"",SUMIFS(日次入力!$G$4:$G$1500,日次入力!$A$4:$A$1500,"&gt;="&amp;DATE(2026,9,22),日次入力!$A$4:$A$1500,"&lt;="&amp;DATE(2026,9,28),日次入力!$C$4:$C$1500,"Google常設"))</f>
        <v/>
      </c>
      <c r="G254" s="15" t="str">
        <f aca="false">IFERROR(E254/D254,"")</f>
        <v/>
      </c>
      <c r="H254" s="37" t="str">
        <f aca="false">IFERROR(C254/E254,"")</f>
        <v/>
      </c>
      <c r="I254" s="37" t="str">
        <f aca="false">IFERROR(C254/D254*1000,"")</f>
        <v/>
      </c>
      <c r="J254" s="15" t="str">
        <f aca="false">IFERROR(F254/E254,"")</f>
        <v/>
      </c>
      <c r="K254" s="37" t="str">
        <f aca="false">IFERROR(C254/F254,"")</f>
        <v/>
      </c>
      <c r="L254" s="42" t="str">
        <f aca="false">IF(COUNTIFS(日次入力!$A$4:$A$1500,"&gt;="&amp;DATE(2026,9,22),日次入力!$A$4:$A$1500,"&lt;="&amp;DATE(2026,9,28),日次入力!$C$4:$C$1500,"Google常設")=0,"",SUMIFS(日次入力!$H$4:$H$1500,日次入力!$A$4:$A$1500,"&gt;="&amp;DATE(2026,9,22),日次入力!$A$4:$A$1500,"&lt;="&amp;DATE(2026,9,28),日次入力!$C$4:$C$1500,"Google常設"))</f>
        <v/>
      </c>
      <c r="M254" s="15" t="str">
        <f aca="false">IF(L254="","",IFERROR(L254/F254,""))</f>
        <v/>
      </c>
      <c r="N254" s="42" t="str">
        <f aca="false">IF(COUNTIFS(日次入力!$A$4:$A$1500,"&gt;="&amp;DATE(2026,9,22),日次入力!$A$4:$A$1500,"&lt;="&amp;DATE(2026,9,28),日次入力!$C$4:$C$1500,"Google常設")=0,"",SUMIFS(日次入力!$I$4:$I$1500,日次入力!$A$4:$A$1500,"&gt;="&amp;DATE(2026,9,22),日次入力!$A$4:$A$1500,"&lt;="&amp;DATE(2026,9,28),日次入力!$C$4:$C$1500,"Google常設"))</f>
        <v/>
      </c>
      <c r="O254" s="15" t="str">
        <f aca="false">IF(N254="","",IFERROR(N254/L254,""))</f>
        <v/>
      </c>
      <c r="P254" s="37" t="str">
        <f aca="false">IF(N254=0,"",IFERROR(C254/N254,""))</f>
        <v/>
      </c>
      <c r="Q254" s="38" t="str">
        <f aca="false">IF(N254=0,"",IFERROR(IF(C254/N254&lt;=用語集!$B$22,"◎ 許容内","✗ 超過"),"—"))</f>
        <v>—</v>
      </c>
      <c r="R254" s="39" t="str">
        <f aca="false">IFERROR(用語集!$B$22/P254,"")</f>
        <v/>
      </c>
    </row>
    <row r="255" customFormat="false" ht="15" hidden="false" customHeight="false" outlineLevel="0" collapsed="false">
      <c r="A255" s="34" t="s">
        <v>110</v>
      </c>
      <c r="B255" s="35" t="s">
        <v>111</v>
      </c>
      <c r="C255" s="41" t="str">
        <f aca="false">IF(COUNTIFS(日次入力!$A$4:$A$1500,"&gt;="&amp;DATE(2026,9,29),日次入力!$A$4:$A$1500,"&lt;="&amp;DATE(2026,10,5),日次入力!$C$4:$C$1500,"Google常設")=0,"",SUMIFS(日次入力!$D$4:$D$1500,日次入力!$A$4:$A$1500,"&gt;="&amp;DATE(2026,9,29),日次入力!$A$4:$A$1500,"&lt;="&amp;DATE(2026,10,5),日次入力!$C$4:$C$1500,"Google常設"))</f>
        <v/>
      </c>
      <c r="D255" s="42" t="str">
        <f aca="false">IF(COUNTIFS(日次入力!$A$4:$A$1500,"&gt;="&amp;DATE(2026,9,29),日次入力!$A$4:$A$1500,"&lt;="&amp;DATE(2026,10,5),日次入力!$C$4:$C$1500,"Google常設")=0,"",SUMIFS(日次入力!$E$4:$E$1500,日次入力!$A$4:$A$1500,"&gt;="&amp;DATE(2026,9,29),日次入力!$A$4:$A$1500,"&lt;="&amp;DATE(2026,10,5),日次入力!$C$4:$C$1500,"Google常設"))</f>
        <v/>
      </c>
      <c r="E255" s="42" t="str">
        <f aca="false">IF(COUNTIFS(日次入力!$A$4:$A$1500,"&gt;="&amp;DATE(2026,9,29),日次入力!$A$4:$A$1500,"&lt;="&amp;DATE(2026,10,5),日次入力!$C$4:$C$1500,"Google常設")=0,"",SUMIFS(日次入力!$F$4:$F$1500,日次入力!$A$4:$A$1500,"&gt;="&amp;DATE(2026,9,29),日次入力!$A$4:$A$1500,"&lt;="&amp;DATE(2026,10,5),日次入力!$C$4:$C$1500,"Google常設"))</f>
        <v/>
      </c>
      <c r="F255" s="42" t="str">
        <f aca="false">IF(COUNTIFS(日次入力!$A$4:$A$1500,"&gt;="&amp;DATE(2026,9,29),日次入力!$A$4:$A$1500,"&lt;="&amp;DATE(2026,10,5),日次入力!$C$4:$C$1500,"Google常設")=0,"",SUMIFS(日次入力!$G$4:$G$1500,日次入力!$A$4:$A$1500,"&gt;="&amp;DATE(2026,9,29),日次入力!$A$4:$A$1500,"&lt;="&amp;DATE(2026,10,5),日次入力!$C$4:$C$1500,"Google常設"))</f>
        <v/>
      </c>
      <c r="G255" s="15" t="str">
        <f aca="false">IFERROR(E255/D255,"")</f>
        <v/>
      </c>
      <c r="H255" s="37" t="str">
        <f aca="false">IFERROR(C255/E255,"")</f>
        <v/>
      </c>
      <c r="I255" s="37" t="str">
        <f aca="false">IFERROR(C255/D255*1000,"")</f>
        <v/>
      </c>
      <c r="J255" s="15" t="str">
        <f aca="false">IFERROR(F255/E255,"")</f>
        <v/>
      </c>
      <c r="K255" s="37" t="str">
        <f aca="false">IFERROR(C255/F255,"")</f>
        <v/>
      </c>
      <c r="L255" s="42" t="str">
        <f aca="false">IF(COUNTIFS(日次入力!$A$4:$A$1500,"&gt;="&amp;DATE(2026,9,29),日次入力!$A$4:$A$1500,"&lt;="&amp;DATE(2026,10,5),日次入力!$C$4:$C$1500,"Google常設")=0,"",SUMIFS(日次入力!$H$4:$H$1500,日次入力!$A$4:$A$1500,"&gt;="&amp;DATE(2026,9,29),日次入力!$A$4:$A$1500,"&lt;="&amp;DATE(2026,10,5),日次入力!$C$4:$C$1500,"Google常設"))</f>
        <v/>
      </c>
      <c r="M255" s="15" t="str">
        <f aca="false">IF(L255="","",IFERROR(L255/F255,""))</f>
        <v/>
      </c>
      <c r="N255" s="42" t="str">
        <f aca="false">IF(COUNTIFS(日次入力!$A$4:$A$1500,"&gt;="&amp;DATE(2026,9,29),日次入力!$A$4:$A$1500,"&lt;="&amp;DATE(2026,10,5),日次入力!$C$4:$C$1500,"Google常設")=0,"",SUMIFS(日次入力!$I$4:$I$1500,日次入力!$A$4:$A$1500,"&gt;="&amp;DATE(2026,9,29),日次入力!$A$4:$A$1500,"&lt;="&amp;DATE(2026,10,5),日次入力!$C$4:$C$1500,"Google常設"))</f>
        <v/>
      </c>
      <c r="O255" s="15" t="str">
        <f aca="false">IF(N255="","",IFERROR(N255/L255,""))</f>
        <v/>
      </c>
      <c r="P255" s="37" t="str">
        <f aca="false">IF(N255=0,"",IFERROR(C255/N255,""))</f>
        <v/>
      </c>
      <c r="Q255" s="38" t="str">
        <f aca="false">IF(N255=0,"",IFERROR(IF(C255/N255&lt;=用語集!$B$22,"◎ 許容内","✗ 超過"),"—"))</f>
        <v>—</v>
      </c>
      <c r="R255" s="39" t="str">
        <f aca="false">IFERROR(用語集!$B$22/P255,"")</f>
        <v/>
      </c>
    </row>
    <row r="256" customFormat="false" ht="15" hidden="false" customHeight="false" outlineLevel="0" collapsed="false">
      <c r="A256" s="34" t="s">
        <v>112</v>
      </c>
      <c r="B256" s="35" t="s">
        <v>113</v>
      </c>
      <c r="C256" s="41" t="str">
        <f aca="false">IF(COUNTIFS(日次入力!$A$4:$A$1500,"&gt;="&amp;DATE(2026,10,6),日次入力!$A$4:$A$1500,"&lt;="&amp;DATE(2026,10,12),日次入力!$C$4:$C$1500,"Google常設")=0,"",SUMIFS(日次入力!$D$4:$D$1500,日次入力!$A$4:$A$1500,"&gt;="&amp;DATE(2026,10,6),日次入力!$A$4:$A$1500,"&lt;="&amp;DATE(2026,10,12),日次入力!$C$4:$C$1500,"Google常設"))</f>
        <v/>
      </c>
      <c r="D256" s="42" t="str">
        <f aca="false">IF(COUNTIFS(日次入力!$A$4:$A$1500,"&gt;="&amp;DATE(2026,10,6),日次入力!$A$4:$A$1500,"&lt;="&amp;DATE(2026,10,12),日次入力!$C$4:$C$1500,"Google常設")=0,"",SUMIFS(日次入力!$E$4:$E$1500,日次入力!$A$4:$A$1500,"&gt;="&amp;DATE(2026,10,6),日次入力!$A$4:$A$1500,"&lt;="&amp;DATE(2026,10,12),日次入力!$C$4:$C$1500,"Google常設"))</f>
        <v/>
      </c>
      <c r="E256" s="42" t="str">
        <f aca="false">IF(COUNTIFS(日次入力!$A$4:$A$1500,"&gt;="&amp;DATE(2026,10,6),日次入力!$A$4:$A$1500,"&lt;="&amp;DATE(2026,10,12),日次入力!$C$4:$C$1500,"Google常設")=0,"",SUMIFS(日次入力!$F$4:$F$1500,日次入力!$A$4:$A$1500,"&gt;="&amp;DATE(2026,10,6),日次入力!$A$4:$A$1500,"&lt;="&amp;DATE(2026,10,12),日次入力!$C$4:$C$1500,"Google常設"))</f>
        <v/>
      </c>
      <c r="F256" s="42" t="str">
        <f aca="false">IF(COUNTIFS(日次入力!$A$4:$A$1500,"&gt;="&amp;DATE(2026,10,6),日次入力!$A$4:$A$1500,"&lt;="&amp;DATE(2026,10,12),日次入力!$C$4:$C$1500,"Google常設")=0,"",SUMIFS(日次入力!$G$4:$G$1500,日次入力!$A$4:$A$1500,"&gt;="&amp;DATE(2026,10,6),日次入力!$A$4:$A$1500,"&lt;="&amp;DATE(2026,10,12),日次入力!$C$4:$C$1500,"Google常設"))</f>
        <v/>
      </c>
      <c r="G256" s="15" t="str">
        <f aca="false">IFERROR(E256/D256,"")</f>
        <v/>
      </c>
      <c r="H256" s="37" t="str">
        <f aca="false">IFERROR(C256/E256,"")</f>
        <v/>
      </c>
      <c r="I256" s="37" t="str">
        <f aca="false">IFERROR(C256/D256*1000,"")</f>
        <v/>
      </c>
      <c r="J256" s="15" t="str">
        <f aca="false">IFERROR(F256/E256,"")</f>
        <v/>
      </c>
      <c r="K256" s="37" t="str">
        <f aca="false">IFERROR(C256/F256,"")</f>
        <v/>
      </c>
      <c r="L256" s="42" t="str">
        <f aca="false">IF(COUNTIFS(日次入力!$A$4:$A$1500,"&gt;="&amp;DATE(2026,10,6),日次入力!$A$4:$A$1500,"&lt;="&amp;DATE(2026,10,12),日次入力!$C$4:$C$1500,"Google常設")=0,"",SUMIFS(日次入力!$H$4:$H$1500,日次入力!$A$4:$A$1500,"&gt;="&amp;DATE(2026,10,6),日次入力!$A$4:$A$1500,"&lt;="&amp;DATE(2026,10,12),日次入力!$C$4:$C$1500,"Google常設"))</f>
        <v/>
      </c>
      <c r="M256" s="15" t="str">
        <f aca="false">IF(L256="","",IFERROR(L256/F256,""))</f>
        <v/>
      </c>
      <c r="N256" s="42" t="str">
        <f aca="false">IF(COUNTIFS(日次入力!$A$4:$A$1500,"&gt;="&amp;DATE(2026,10,6),日次入力!$A$4:$A$1500,"&lt;="&amp;DATE(2026,10,12),日次入力!$C$4:$C$1500,"Google常設")=0,"",SUMIFS(日次入力!$I$4:$I$1500,日次入力!$A$4:$A$1500,"&gt;="&amp;DATE(2026,10,6),日次入力!$A$4:$A$1500,"&lt;="&amp;DATE(2026,10,12),日次入力!$C$4:$C$1500,"Google常設"))</f>
        <v/>
      </c>
      <c r="O256" s="15" t="str">
        <f aca="false">IF(N256="","",IFERROR(N256/L256,""))</f>
        <v/>
      </c>
      <c r="P256" s="37" t="str">
        <f aca="false">IF(N256=0,"",IFERROR(C256/N256,""))</f>
        <v/>
      </c>
      <c r="Q256" s="38" t="str">
        <f aca="false">IF(N256=0,"",IFERROR(IF(C256/N256&lt;=用語集!$B$22,"◎ 許容内","✗ 超過"),"—"))</f>
        <v>—</v>
      </c>
      <c r="R256" s="39" t="str">
        <f aca="false">IFERROR(用語集!$B$22/P256,"")</f>
        <v/>
      </c>
    </row>
    <row r="257" customFormat="false" ht="15" hidden="false" customHeight="false" outlineLevel="0" collapsed="false">
      <c r="A257" s="34" t="s">
        <v>114</v>
      </c>
      <c r="B257" s="35" t="s">
        <v>115</v>
      </c>
      <c r="C257" s="41" t="str">
        <f aca="false">IF(COUNTIFS(日次入力!$A$4:$A$1500,"&gt;="&amp;DATE(2026,10,13),日次入力!$A$4:$A$1500,"&lt;="&amp;DATE(2026,10,19),日次入力!$C$4:$C$1500,"Google常設")=0,"",SUMIFS(日次入力!$D$4:$D$1500,日次入力!$A$4:$A$1500,"&gt;="&amp;DATE(2026,10,13),日次入力!$A$4:$A$1500,"&lt;="&amp;DATE(2026,10,19),日次入力!$C$4:$C$1500,"Google常設"))</f>
        <v/>
      </c>
      <c r="D257" s="42" t="str">
        <f aca="false">IF(COUNTIFS(日次入力!$A$4:$A$1500,"&gt;="&amp;DATE(2026,10,13),日次入力!$A$4:$A$1500,"&lt;="&amp;DATE(2026,10,19),日次入力!$C$4:$C$1500,"Google常設")=0,"",SUMIFS(日次入力!$E$4:$E$1500,日次入力!$A$4:$A$1500,"&gt;="&amp;DATE(2026,10,13),日次入力!$A$4:$A$1500,"&lt;="&amp;DATE(2026,10,19),日次入力!$C$4:$C$1500,"Google常設"))</f>
        <v/>
      </c>
      <c r="E257" s="42" t="str">
        <f aca="false">IF(COUNTIFS(日次入力!$A$4:$A$1500,"&gt;="&amp;DATE(2026,10,13),日次入力!$A$4:$A$1500,"&lt;="&amp;DATE(2026,10,19),日次入力!$C$4:$C$1500,"Google常設")=0,"",SUMIFS(日次入力!$F$4:$F$1500,日次入力!$A$4:$A$1500,"&gt;="&amp;DATE(2026,10,13),日次入力!$A$4:$A$1500,"&lt;="&amp;DATE(2026,10,19),日次入力!$C$4:$C$1500,"Google常設"))</f>
        <v/>
      </c>
      <c r="F257" s="42" t="str">
        <f aca="false">IF(COUNTIFS(日次入力!$A$4:$A$1500,"&gt;="&amp;DATE(2026,10,13),日次入力!$A$4:$A$1500,"&lt;="&amp;DATE(2026,10,19),日次入力!$C$4:$C$1500,"Google常設")=0,"",SUMIFS(日次入力!$G$4:$G$1500,日次入力!$A$4:$A$1500,"&gt;="&amp;DATE(2026,10,13),日次入力!$A$4:$A$1500,"&lt;="&amp;DATE(2026,10,19),日次入力!$C$4:$C$1500,"Google常設"))</f>
        <v/>
      </c>
      <c r="G257" s="15" t="str">
        <f aca="false">IFERROR(E257/D257,"")</f>
        <v/>
      </c>
      <c r="H257" s="37" t="str">
        <f aca="false">IFERROR(C257/E257,"")</f>
        <v/>
      </c>
      <c r="I257" s="37" t="str">
        <f aca="false">IFERROR(C257/D257*1000,"")</f>
        <v/>
      </c>
      <c r="J257" s="15" t="str">
        <f aca="false">IFERROR(F257/E257,"")</f>
        <v/>
      </c>
      <c r="K257" s="37" t="str">
        <f aca="false">IFERROR(C257/F257,"")</f>
        <v/>
      </c>
      <c r="L257" s="42" t="str">
        <f aca="false">IF(COUNTIFS(日次入力!$A$4:$A$1500,"&gt;="&amp;DATE(2026,10,13),日次入力!$A$4:$A$1500,"&lt;="&amp;DATE(2026,10,19),日次入力!$C$4:$C$1500,"Google常設")=0,"",SUMIFS(日次入力!$H$4:$H$1500,日次入力!$A$4:$A$1500,"&gt;="&amp;DATE(2026,10,13),日次入力!$A$4:$A$1500,"&lt;="&amp;DATE(2026,10,19),日次入力!$C$4:$C$1500,"Google常設"))</f>
        <v/>
      </c>
      <c r="M257" s="15" t="str">
        <f aca="false">IF(L257="","",IFERROR(L257/F257,""))</f>
        <v/>
      </c>
      <c r="N257" s="42" t="str">
        <f aca="false">IF(COUNTIFS(日次入力!$A$4:$A$1500,"&gt;="&amp;DATE(2026,10,13),日次入力!$A$4:$A$1500,"&lt;="&amp;DATE(2026,10,19),日次入力!$C$4:$C$1500,"Google常設")=0,"",SUMIFS(日次入力!$I$4:$I$1500,日次入力!$A$4:$A$1500,"&gt;="&amp;DATE(2026,10,13),日次入力!$A$4:$A$1500,"&lt;="&amp;DATE(2026,10,19),日次入力!$C$4:$C$1500,"Google常設"))</f>
        <v/>
      </c>
      <c r="O257" s="15" t="str">
        <f aca="false">IF(N257="","",IFERROR(N257/L257,""))</f>
        <v/>
      </c>
      <c r="P257" s="37" t="str">
        <f aca="false">IF(N257=0,"",IFERROR(C257/N257,""))</f>
        <v/>
      </c>
      <c r="Q257" s="38" t="str">
        <f aca="false">IF(N257=0,"",IFERROR(IF(C257/N257&lt;=用語集!$B$22,"◎ 許容内","✗ 超過"),"—"))</f>
        <v>—</v>
      </c>
      <c r="R257" s="39" t="str">
        <f aca="false">IFERROR(用語集!$B$22/P257,"")</f>
        <v/>
      </c>
    </row>
    <row r="258" customFormat="false" ht="15" hidden="false" customHeight="false" outlineLevel="0" collapsed="false">
      <c r="A258" s="34" t="s">
        <v>116</v>
      </c>
      <c r="B258" s="35" t="s">
        <v>117</v>
      </c>
      <c r="C258" s="41" t="str">
        <f aca="false">IF(COUNTIFS(日次入力!$A$4:$A$1500,"&gt;="&amp;DATE(2026,10,20),日次入力!$A$4:$A$1500,"&lt;="&amp;DATE(2026,10,26),日次入力!$C$4:$C$1500,"Google常設")=0,"",SUMIFS(日次入力!$D$4:$D$1500,日次入力!$A$4:$A$1500,"&gt;="&amp;DATE(2026,10,20),日次入力!$A$4:$A$1500,"&lt;="&amp;DATE(2026,10,26),日次入力!$C$4:$C$1500,"Google常設"))</f>
        <v/>
      </c>
      <c r="D258" s="42" t="str">
        <f aca="false">IF(COUNTIFS(日次入力!$A$4:$A$1500,"&gt;="&amp;DATE(2026,10,20),日次入力!$A$4:$A$1500,"&lt;="&amp;DATE(2026,10,26),日次入力!$C$4:$C$1500,"Google常設")=0,"",SUMIFS(日次入力!$E$4:$E$1500,日次入力!$A$4:$A$1500,"&gt;="&amp;DATE(2026,10,20),日次入力!$A$4:$A$1500,"&lt;="&amp;DATE(2026,10,26),日次入力!$C$4:$C$1500,"Google常設"))</f>
        <v/>
      </c>
      <c r="E258" s="42" t="str">
        <f aca="false">IF(COUNTIFS(日次入力!$A$4:$A$1500,"&gt;="&amp;DATE(2026,10,20),日次入力!$A$4:$A$1500,"&lt;="&amp;DATE(2026,10,26),日次入力!$C$4:$C$1500,"Google常設")=0,"",SUMIFS(日次入力!$F$4:$F$1500,日次入力!$A$4:$A$1500,"&gt;="&amp;DATE(2026,10,20),日次入力!$A$4:$A$1500,"&lt;="&amp;DATE(2026,10,26),日次入力!$C$4:$C$1500,"Google常設"))</f>
        <v/>
      </c>
      <c r="F258" s="42" t="str">
        <f aca="false">IF(COUNTIFS(日次入力!$A$4:$A$1500,"&gt;="&amp;DATE(2026,10,20),日次入力!$A$4:$A$1500,"&lt;="&amp;DATE(2026,10,26),日次入力!$C$4:$C$1500,"Google常設")=0,"",SUMIFS(日次入力!$G$4:$G$1500,日次入力!$A$4:$A$1500,"&gt;="&amp;DATE(2026,10,20),日次入力!$A$4:$A$1500,"&lt;="&amp;DATE(2026,10,26),日次入力!$C$4:$C$1500,"Google常設"))</f>
        <v/>
      </c>
      <c r="G258" s="15" t="str">
        <f aca="false">IFERROR(E258/D258,"")</f>
        <v/>
      </c>
      <c r="H258" s="37" t="str">
        <f aca="false">IFERROR(C258/E258,"")</f>
        <v/>
      </c>
      <c r="I258" s="37" t="str">
        <f aca="false">IFERROR(C258/D258*1000,"")</f>
        <v/>
      </c>
      <c r="J258" s="15" t="str">
        <f aca="false">IFERROR(F258/E258,"")</f>
        <v/>
      </c>
      <c r="K258" s="37" t="str">
        <f aca="false">IFERROR(C258/F258,"")</f>
        <v/>
      </c>
      <c r="L258" s="42" t="str">
        <f aca="false">IF(COUNTIFS(日次入力!$A$4:$A$1500,"&gt;="&amp;DATE(2026,10,20),日次入力!$A$4:$A$1500,"&lt;="&amp;DATE(2026,10,26),日次入力!$C$4:$C$1500,"Google常設")=0,"",SUMIFS(日次入力!$H$4:$H$1500,日次入力!$A$4:$A$1500,"&gt;="&amp;DATE(2026,10,20),日次入力!$A$4:$A$1500,"&lt;="&amp;DATE(2026,10,26),日次入力!$C$4:$C$1500,"Google常設"))</f>
        <v/>
      </c>
      <c r="M258" s="15" t="str">
        <f aca="false">IF(L258="","",IFERROR(L258/F258,""))</f>
        <v/>
      </c>
      <c r="N258" s="42" t="str">
        <f aca="false">IF(COUNTIFS(日次入力!$A$4:$A$1500,"&gt;="&amp;DATE(2026,10,20),日次入力!$A$4:$A$1500,"&lt;="&amp;DATE(2026,10,26),日次入力!$C$4:$C$1500,"Google常設")=0,"",SUMIFS(日次入力!$I$4:$I$1500,日次入力!$A$4:$A$1500,"&gt;="&amp;DATE(2026,10,20),日次入力!$A$4:$A$1500,"&lt;="&amp;DATE(2026,10,26),日次入力!$C$4:$C$1500,"Google常設"))</f>
        <v/>
      </c>
      <c r="O258" s="15" t="str">
        <f aca="false">IF(N258="","",IFERROR(N258/L258,""))</f>
        <v/>
      </c>
      <c r="P258" s="37" t="str">
        <f aca="false">IF(N258=0,"",IFERROR(C258/N258,""))</f>
        <v/>
      </c>
      <c r="Q258" s="38" t="str">
        <f aca="false">IF(N258=0,"",IFERROR(IF(C258/N258&lt;=用語集!$B$22,"◎ 許容内","✗ 超過"),"—"))</f>
        <v>—</v>
      </c>
      <c r="R258" s="39" t="str">
        <f aca="false">IFERROR(用語集!$B$22/P258,"")</f>
        <v/>
      </c>
    </row>
    <row r="259" customFormat="false" ht="15" hidden="false" customHeight="false" outlineLevel="0" collapsed="false">
      <c r="A259" s="34" t="s">
        <v>118</v>
      </c>
      <c r="B259" s="35" t="s">
        <v>119</v>
      </c>
      <c r="C259" s="41" t="str">
        <f aca="false">IF(COUNTIFS(日次入力!$A$4:$A$1500,"&gt;="&amp;DATE(2026,10,27),日次入力!$A$4:$A$1500,"&lt;="&amp;DATE(2026,11,2),日次入力!$C$4:$C$1500,"Google常設")=0,"",SUMIFS(日次入力!$D$4:$D$1500,日次入力!$A$4:$A$1500,"&gt;="&amp;DATE(2026,10,27),日次入力!$A$4:$A$1500,"&lt;="&amp;DATE(2026,11,2),日次入力!$C$4:$C$1500,"Google常設"))</f>
        <v/>
      </c>
      <c r="D259" s="42" t="str">
        <f aca="false">IF(COUNTIFS(日次入力!$A$4:$A$1500,"&gt;="&amp;DATE(2026,10,27),日次入力!$A$4:$A$1500,"&lt;="&amp;DATE(2026,11,2),日次入力!$C$4:$C$1500,"Google常設")=0,"",SUMIFS(日次入力!$E$4:$E$1500,日次入力!$A$4:$A$1500,"&gt;="&amp;DATE(2026,10,27),日次入力!$A$4:$A$1500,"&lt;="&amp;DATE(2026,11,2),日次入力!$C$4:$C$1500,"Google常設"))</f>
        <v/>
      </c>
      <c r="E259" s="42" t="str">
        <f aca="false">IF(COUNTIFS(日次入力!$A$4:$A$1500,"&gt;="&amp;DATE(2026,10,27),日次入力!$A$4:$A$1500,"&lt;="&amp;DATE(2026,11,2),日次入力!$C$4:$C$1500,"Google常設")=0,"",SUMIFS(日次入力!$F$4:$F$1500,日次入力!$A$4:$A$1500,"&gt;="&amp;DATE(2026,10,27),日次入力!$A$4:$A$1500,"&lt;="&amp;DATE(2026,11,2),日次入力!$C$4:$C$1500,"Google常設"))</f>
        <v/>
      </c>
      <c r="F259" s="42" t="str">
        <f aca="false">IF(COUNTIFS(日次入力!$A$4:$A$1500,"&gt;="&amp;DATE(2026,10,27),日次入力!$A$4:$A$1500,"&lt;="&amp;DATE(2026,11,2),日次入力!$C$4:$C$1500,"Google常設")=0,"",SUMIFS(日次入力!$G$4:$G$1500,日次入力!$A$4:$A$1500,"&gt;="&amp;DATE(2026,10,27),日次入力!$A$4:$A$1500,"&lt;="&amp;DATE(2026,11,2),日次入力!$C$4:$C$1500,"Google常設"))</f>
        <v/>
      </c>
      <c r="G259" s="15" t="str">
        <f aca="false">IFERROR(E259/D259,"")</f>
        <v/>
      </c>
      <c r="H259" s="37" t="str">
        <f aca="false">IFERROR(C259/E259,"")</f>
        <v/>
      </c>
      <c r="I259" s="37" t="str">
        <f aca="false">IFERROR(C259/D259*1000,"")</f>
        <v/>
      </c>
      <c r="J259" s="15" t="str">
        <f aca="false">IFERROR(F259/E259,"")</f>
        <v/>
      </c>
      <c r="K259" s="37" t="str">
        <f aca="false">IFERROR(C259/F259,"")</f>
        <v/>
      </c>
      <c r="L259" s="42" t="str">
        <f aca="false">IF(COUNTIFS(日次入力!$A$4:$A$1500,"&gt;="&amp;DATE(2026,10,27),日次入力!$A$4:$A$1500,"&lt;="&amp;DATE(2026,11,2),日次入力!$C$4:$C$1500,"Google常設")=0,"",SUMIFS(日次入力!$H$4:$H$1500,日次入力!$A$4:$A$1500,"&gt;="&amp;DATE(2026,10,27),日次入力!$A$4:$A$1500,"&lt;="&amp;DATE(2026,11,2),日次入力!$C$4:$C$1500,"Google常設"))</f>
        <v/>
      </c>
      <c r="M259" s="15" t="str">
        <f aca="false">IF(L259="","",IFERROR(L259/F259,""))</f>
        <v/>
      </c>
      <c r="N259" s="42" t="str">
        <f aca="false">IF(COUNTIFS(日次入力!$A$4:$A$1500,"&gt;="&amp;DATE(2026,10,27),日次入力!$A$4:$A$1500,"&lt;="&amp;DATE(2026,11,2),日次入力!$C$4:$C$1500,"Google常設")=0,"",SUMIFS(日次入力!$I$4:$I$1500,日次入力!$A$4:$A$1500,"&gt;="&amp;DATE(2026,10,27),日次入力!$A$4:$A$1500,"&lt;="&amp;DATE(2026,11,2),日次入力!$C$4:$C$1500,"Google常設"))</f>
        <v/>
      </c>
      <c r="O259" s="15" t="str">
        <f aca="false">IF(N259="","",IFERROR(N259/L259,""))</f>
        <v/>
      </c>
      <c r="P259" s="37" t="str">
        <f aca="false">IF(N259=0,"",IFERROR(C259/N259,""))</f>
        <v/>
      </c>
      <c r="Q259" s="38" t="str">
        <f aca="false">IF(N259=0,"",IFERROR(IF(C259/N259&lt;=用語集!$B$22,"◎ 許容内","✗ 超過"),"—"))</f>
        <v>—</v>
      </c>
      <c r="R259" s="39" t="str">
        <f aca="false">IFERROR(用語集!$B$22/P259,"")</f>
        <v/>
      </c>
    </row>
    <row r="260" customFormat="false" ht="15" hidden="false" customHeight="false" outlineLevel="0" collapsed="false">
      <c r="A260" s="34" t="s">
        <v>120</v>
      </c>
      <c r="B260" s="35" t="s">
        <v>121</v>
      </c>
      <c r="C260" s="41" t="str">
        <f aca="false">IF(COUNTIFS(日次入力!$A$4:$A$1500,"&gt;="&amp;DATE(2026,11,3),日次入力!$A$4:$A$1500,"&lt;="&amp;DATE(2026,11,9),日次入力!$C$4:$C$1500,"Google常設")=0,"",SUMIFS(日次入力!$D$4:$D$1500,日次入力!$A$4:$A$1500,"&gt;="&amp;DATE(2026,11,3),日次入力!$A$4:$A$1500,"&lt;="&amp;DATE(2026,11,9),日次入力!$C$4:$C$1500,"Google常設"))</f>
        <v/>
      </c>
      <c r="D260" s="42" t="str">
        <f aca="false">IF(COUNTIFS(日次入力!$A$4:$A$1500,"&gt;="&amp;DATE(2026,11,3),日次入力!$A$4:$A$1500,"&lt;="&amp;DATE(2026,11,9),日次入力!$C$4:$C$1500,"Google常設")=0,"",SUMIFS(日次入力!$E$4:$E$1500,日次入力!$A$4:$A$1500,"&gt;="&amp;DATE(2026,11,3),日次入力!$A$4:$A$1500,"&lt;="&amp;DATE(2026,11,9),日次入力!$C$4:$C$1500,"Google常設"))</f>
        <v/>
      </c>
      <c r="E260" s="42" t="str">
        <f aca="false">IF(COUNTIFS(日次入力!$A$4:$A$1500,"&gt;="&amp;DATE(2026,11,3),日次入力!$A$4:$A$1500,"&lt;="&amp;DATE(2026,11,9),日次入力!$C$4:$C$1500,"Google常設")=0,"",SUMIFS(日次入力!$F$4:$F$1500,日次入力!$A$4:$A$1500,"&gt;="&amp;DATE(2026,11,3),日次入力!$A$4:$A$1500,"&lt;="&amp;DATE(2026,11,9),日次入力!$C$4:$C$1500,"Google常設"))</f>
        <v/>
      </c>
      <c r="F260" s="42" t="str">
        <f aca="false">IF(COUNTIFS(日次入力!$A$4:$A$1500,"&gt;="&amp;DATE(2026,11,3),日次入力!$A$4:$A$1500,"&lt;="&amp;DATE(2026,11,9),日次入力!$C$4:$C$1500,"Google常設")=0,"",SUMIFS(日次入力!$G$4:$G$1500,日次入力!$A$4:$A$1500,"&gt;="&amp;DATE(2026,11,3),日次入力!$A$4:$A$1500,"&lt;="&amp;DATE(2026,11,9),日次入力!$C$4:$C$1500,"Google常設"))</f>
        <v/>
      </c>
      <c r="G260" s="15" t="str">
        <f aca="false">IFERROR(E260/D260,"")</f>
        <v/>
      </c>
      <c r="H260" s="37" t="str">
        <f aca="false">IFERROR(C260/E260,"")</f>
        <v/>
      </c>
      <c r="I260" s="37" t="str">
        <f aca="false">IFERROR(C260/D260*1000,"")</f>
        <v/>
      </c>
      <c r="J260" s="15" t="str">
        <f aca="false">IFERROR(F260/E260,"")</f>
        <v/>
      </c>
      <c r="K260" s="37" t="str">
        <f aca="false">IFERROR(C260/F260,"")</f>
        <v/>
      </c>
      <c r="L260" s="42" t="str">
        <f aca="false">IF(COUNTIFS(日次入力!$A$4:$A$1500,"&gt;="&amp;DATE(2026,11,3),日次入力!$A$4:$A$1500,"&lt;="&amp;DATE(2026,11,9),日次入力!$C$4:$C$1500,"Google常設")=0,"",SUMIFS(日次入力!$H$4:$H$1500,日次入力!$A$4:$A$1500,"&gt;="&amp;DATE(2026,11,3),日次入力!$A$4:$A$1500,"&lt;="&amp;DATE(2026,11,9),日次入力!$C$4:$C$1500,"Google常設"))</f>
        <v/>
      </c>
      <c r="M260" s="15" t="str">
        <f aca="false">IF(L260="","",IFERROR(L260/F260,""))</f>
        <v/>
      </c>
      <c r="N260" s="42" t="str">
        <f aca="false">IF(COUNTIFS(日次入力!$A$4:$A$1500,"&gt;="&amp;DATE(2026,11,3),日次入力!$A$4:$A$1500,"&lt;="&amp;DATE(2026,11,9),日次入力!$C$4:$C$1500,"Google常設")=0,"",SUMIFS(日次入力!$I$4:$I$1500,日次入力!$A$4:$A$1500,"&gt;="&amp;DATE(2026,11,3),日次入力!$A$4:$A$1500,"&lt;="&amp;DATE(2026,11,9),日次入力!$C$4:$C$1500,"Google常設"))</f>
        <v/>
      </c>
      <c r="O260" s="15" t="str">
        <f aca="false">IF(N260="","",IFERROR(N260/L260,""))</f>
        <v/>
      </c>
      <c r="P260" s="37" t="str">
        <f aca="false">IF(N260=0,"",IFERROR(C260/N260,""))</f>
        <v/>
      </c>
      <c r="Q260" s="38" t="str">
        <f aca="false">IF(N260=0,"",IFERROR(IF(C260/N260&lt;=用語集!$B$22,"◎ 許容内","✗ 超過"),"—"))</f>
        <v>—</v>
      </c>
      <c r="R260" s="39" t="str">
        <f aca="false">IFERROR(用語集!$B$22/P260,"")</f>
        <v/>
      </c>
    </row>
    <row r="261" customFormat="false" ht="15" hidden="false" customHeight="false" outlineLevel="0" collapsed="false">
      <c r="A261" s="34" t="s">
        <v>122</v>
      </c>
      <c r="B261" s="35" t="s">
        <v>123</v>
      </c>
      <c r="C261" s="41" t="str">
        <f aca="false">IF(COUNTIFS(日次入力!$A$4:$A$1500,"&gt;="&amp;DATE(2026,11,10),日次入力!$A$4:$A$1500,"&lt;="&amp;DATE(2026,11,16),日次入力!$C$4:$C$1500,"Google常設")=0,"",SUMIFS(日次入力!$D$4:$D$1500,日次入力!$A$4:$A$1500,"&gt;="&amp;DATE(2026,11,10),日次入力!$A$4:$A$1500,"&lt;="&amp;DATE(2026,11,16),日次入力!$C$4:$C$1500,"Google常設"))</f>
        <v/>
      </c>
      <c r="D261" s="42" t="str">
        <f aca="false">IF(COUNTIFS(日次入力!$A$4:$A$1500,"&gt;="&amp;DATE(2026,11,10),日次入力!$A$4:$A$1500,"&lt;="&amp;DATE(2026,11,16),日次入力!$C$4:$C$1500,"Google常設")=0,"",SUMIFS(日次入力!$E$4:$E$1500,日次入力!$A$4:$A$1500,"&gt;="&amp;DATE(2026,11,10),日次入力!$A$4:$A$1500,"&lt;="&amp;DATE(2026,11,16),日次入力!$C$4:$C$1500,"Google常設"))</f>
        <v/>
      </c>
      <c r="E261" s="42" t="str">
        <f aca="false">IF(COUNTIFS(日次入力!$A$4:$A$1500,"&gt;="&amp;DATE(2026,11,10),日次入力!$A$4:$A$1500,"&lt;="&amp;DATE(2026,11,16),日次入力!$C$4:$C$1500,"Google常設")=0,"",SUMIFS(日次入力!$F$4:$F$1500,日次入力!$A$4:$A$1500,"&gt;="&amp;DATE(2026,11,10),日次入力!$A$4:$A$1500,"&lt;="&amp;DATE(2026,11,16),日次入力!$C$4:$C$1500,"Google常設"))</f>
        <v/>
      </c>
      <c r="F261" s="42" t="str">
        <f aca="false">IF(COUNTIFS(日次入力!$A$4:$A$1500,"&gt;="&amp;DATE(2026,11,10),日次入力!$A$4:$A$1500,"&lt;="&amp;DATE(2026,11,16),日次入力!$C$4:$C$1500,"Google常設")=0,"",SUMIFS(日次入力!$G$4:$G$1500,日次入力!$A$4:$A$1500,"&gt;="&amp;DATE(2026,11,10),日次入力!$A$4:$A$1500,"&lt;="&amp;DATE(2026,11,16),日次入力!$C$4:$C$1500,"Google常設"))</f>
        <v/>
      </c>
      <c r="G261" s="15" t="str">
        <f aca="false">IFERROR(E261/D261,"")</f>
        <v/>
      </c>
      <c r="H261" s="37" t="str">
        <f aca="false">IFERROR(C261/E261,"")</f>
        <v/>
      </c>
      <c r="I261" s="37" t="str">
        <f aca="false">IFERROR(C261/D261*1000,"")</f>
        <v/>
      </c>
      <c r="J261" s="15" t="str">
        <f aca="false">IFERROR(F261/E261,"")</f>
        <v/>
      </c>
      <c r="K261" s="37" t="str">
        <f aca="false">IFERROR(C261/F261,"")</f>
        <v/>
      </c>
      <c r="L261" s="42" t="str">
        <f aca="false">IF(COUNTIFS(日次入力!$A$4:$A$1500,"&gt;="&amp;DATE(2026,11,10),日次入力!$A$4:$A$1500,"&lt;="&amp;DATE(2026,11,16),日次入力!$C$4:$C$1500,"Google常設")=0,"",SUMIFS(日次入力!$H$4:$H$1500,日次入力!$A$4:$A$1500,"&gt;="&amp;DATE(2026,11,10),日次入力!$A$4:$A$1500,"&lt;="&amp;DATE(2026,11,16),日次入力!$C$4:$C$1500,"Google常設"))</f>
        <v/>
      </c>
      <c r="M261" s="15" t="str">
        <f aca="false">IF(L261="","",IFERROR(L261/F261,""))</f>
        <v/>
      </c>
      <c r="N261" s="42" t="str">
        <f aca="false">IF(COUNTIFS(日次入力!$A$4:$A$1500,"&gt;="&amp;DATE(2026,11,10),日次入力!$A$4:$A$1500,"&lt;="&amp;DATE(2026,11,16),日次入力!$C$4:$C$1500,"Google常設")=0,"",SUMIFS(日次入力!$I$4:$I$1500,日次入力!$A$4:$A$1500,"&gt;="&amp;DATE(2026,11,10),日次入力!$A$4:$A$1500,"&lt;="&amp;DATE(2026,11,16),日次入力!$C$4:$C$1500,"Google常設"))</f>
        <v/>
      </c>
      <c r="O261" s="15" t="str">
        <f aca="false">IF(N261="","",IFERROR(N261/L261,""))</f>
        <v/>
      </c>
      <c r="P261" s="37" t="str">
        <f aca="false">IF(N261=0,"",IFERROR(C261/N261,""))</f>
        <v/>
      </c>
      <c r="Q261" s="38" t="str">
        <f aca="false">IF(N261=0,"",IFERROR(IF(C261/N261&lt;=用語集!$B$22,"◎ 許容内","✗ 超過"),"—"))</f>
        <v>—</v>
      </c>
      <c r="R261" s="39" t="str">
        <f aca="false">IFERROR(用語集!$B$22/P261,"")</f>
        <v/>
      </c>
    </row>
    <row r="262" customFormat="false" ht="15" hidden="false" customHeight="false" outlineLevel="0" collapsed="false">
      <c r="A262" s="34" t="s">
        <v>124</v>
      </c>
      <c r="B262" s="35" t="s">
        <v>125</v>
      </c>
      <c r="C262" s="41" t="str">
        <f aca="false">IF(COUNTIFS(日次入力!$A$4:$A$1500,"&gt;="&amp;DATE(2026,11,17),日次入力!$A$4:$A$1500,"&lt;="&amp;DATE(2026,11,23),日次入力!$C$4:$C$1500,"Google常設")=0,"",SUMIFS(日次入力!$D$4:$D$1500,日次入力!$A$4:$A$1500,"&gt;="&amp;DATE(2026,11,17),日次入力!$A$4:$A$1500,"&lt;="&amp;DATE(2026,11,23),日次入力!$C$4:$C$1500,"Google常設"))</f>
        <v/>
      </c>
      <c r="D262" s="42" t="str">
        <f aca="false">IF(COUNTIFS(日次入力!$A$4:$A$1500,"&gt;="&amp;DATE(2026,11,17),日次入力!$A$4:$A$1500,"&lt;="&amp;DATE(2026,11,23),日次入力!$C$4:$C$1500,"Google常設")=0,"",SUMIFS(日次入力!$E$4:$E$1500,日次入力!$A$4:$A$1500,"&gt;="&amp;DATE(2026,11,17),日次入力!$A$4:$A$1500,"&lt;="&amp;DATE(2026,11,23),日次入力!$C$4:$C$1500,"Google常設"))</f>
        <v/>
      </c>
      <c r="E262" s="42" t="str">
        <f aca="false">IF(COUNTIFS(日次入力!$A$4:$A$1500,"&gt;="&amp;DATE(2026,11,17),日次入力!$A$4:$A$1500,"&lt;="&amp;DATE(2026,11,23),日次入力!$C$4:$C$1500,"Google常設")=0,"",SUMIFS(日次入力!$F$4:$F$1500,日次入力!$A$4:$A$1500,"&gt;="&amp;DATE(2026,11,17),日次入力!$A$4:$A$1500,"&lt;="&amp;DATE(2026,11,23),日次入力!$C$4:$C$1500,"Google常設"))</f>
        <v/>
      </c>
      <c r="F262" s="42" t="str">
        <f aca="false">IF(COUNTIFS(日次入力!$A$4:$A$1500,"&gt;="&amp;DATE(2026,11,17),日次入力!$A$4:$A$1500,"&lt;="&amp;DATE(2026,11,23),日次入力!$C$4:$C$1500,"Google常設")=0,"",SUMIFS(日次入力!$G$4:$G$1500,日次入力!$A$4:$A$1500,"&gt;="&amp;DATE(2026,11,17),日次入力!$A$4:$A$1500,"&lt;="&amp;DATE(2026,11,23),日次入力!$C$4:$C$1500,"Google常設"))</f>
        <v/>
      </c>
      <c r="G262" s="15" t="str">
        <f aca="false">IFERROR(E262/D262,"")</f>
        <v/>
      </c>
      <c r="H262" s="37" t="str">
        <f aca="false">IFERROR(C262/E262,"")</f>
        <v/>
      </c>
      <c r="I262" s="37" t="str">
        <f aca="false">IFERROR(C262/D262*1000,"")</f>
        <v/>
      </c>
      <c r="J262" s="15" t="str">
        <f aca="false">IFERROR(F262/E262,"")</f>
        <v/>
      </c>
      <c r="K262" s="37" t="str">
        <f aca="false">IFERROR(C262/F262,"")</f>
        <v/>
      </c>
      <c r="L262" s="42" t="str">
        <f aca="false">IF(COUNTIFS(日次入力!$A$4:$A$1500,"&gt;="&amp;DATE(2026,11,17),日次入力!$A$4:$A$1500,"&lt;="&amp;DATE(2026,11,23),日次入力!$C$4:$C$1500,"Google常設")=0,"",SUMIFS(日次入力!$H$4:$H$1500,日次入力!$A$4:$A$1500,"&gt;="&amp;DATE(2026,11,17),日次入力!$A$4:$A$1500,"&lt;="&amp;DATE(2026,11,23),日次入力!$C$4:$C$1500,"Google常設"))</f>
        <v/>
      </c>
      <c r="M262" s="15" t="str">
        <f aca="false">IF(L262="","",IFERROR(L262/F262,""))</f>
        <v/>
      </c>
      <c r="N262" s="42" t="str">
        <f aca="false">IF(COUNTIFS(日次入力!$A$4:$A$1500,"&gt;="&amp;DATE(2026,11,17),日次入力!$A$4:$A$1500,"&lt;="&amp;DATE(2026,11,23),日次入力!$C$4:$C$1500,"Google常設")=0,"",SUMIFS(日次入力!$I$4:$I$1500,日次入力!$A$4:$A$1500,"&gt;="&amp;DATE(2026,11,17),日次入力!$A$4:$A$1500,"&lt;="&amp;DATE(2026,11,23),日次入力!$C$4:$C$1500,"Google常設"))</f>
        <v/>
      </c>
      <c r="O262" s="15" t="str">
        <f aca="false">IF(N262="","",IFERROR(N262/L262,""))</f>
        <v/>
      </c>
      <c r="P262" s="37" t="str">
        <f aca="false">IF(N262=0,"",IFERROR(C262/N262,""))</f>
        <v/>
      </c>
      <c r="Q262" s="38" t="str">
        <f aca="false">IF(N262=0,"",IFERROR(IF(C262/N262&lt;=用語集!$B$22,"◎ 許容内","✗ 超過"),"—"))</f>
        <v>—</v>
      </c>
      <c r="R262" s="39" t="str">
        <f aca="false">IFERROR(用語集!$B$22/P262,"")</f>
        <v/>
      </c>
    </row>
    <row r="263" customFormat="false" ht="15" hidden="false" customHeight="false" outlineLevel="0" collapsed="false">
      <c r="A263" s="34" t="s">
        <v>126</v>
      </c>
      <c r="B263" s="35" t="s">
        <v>127</v>
      </c>
      <c r="C263" s="41" t="str">
        <f aca="false">IF(COUNTIFS(日次入力!$A$4:$A$1500,"&gt;="&amp;DATE(2026,11,24),日次入力!$A$4:$A$1500,"&lt;="&amp;DATE(2026,11,30),日次入力!$C$4:$C$1500,"Google常設")=0,"",SUMIFS(日次入力!$D$4:$D$1500,日次入力!$A$4:$A$1500,"&gt;="&amp;DATE(2026,11,24),日次入力!$A$4:$A$1500,"&lt;="&amp;DATE(2026,11,30),日次入力!$C$4:$C$1500,"Google常設"))</f>
        <v/>
      </c>
      <c r="D263" s="42" t="str">
        <f aca="false">IF(COUNTIFS(日次入力!$A$4:$A$1500,"&gt;="&amp;DATE(2026,11,24),日次入力!$A$4:$A$1500,"&lt;="&amp;DATE(2026,11,30),日次入力!$C$4:$C$1500,"Google常設")=0,"",SUMIFS(日次入力!$E$4:$E$1500,日次入力!$A$4:$A$1500,"&gt;="&amp;DATE(2026,11,24),日次入力!$A$4:$A$1500,"&lt;="&amp;DATE(2026,11,30),日次入力!$C$4:$C$1500,"Google常設"))</f>
        <v/>
      </c>
      <c r="E263" s="42" t="str">
        <f aca="false">IF(COUNTIFS(日次入力!$A$4:$A$1500,"&gt;="&amp;DATE(2026,11,24),日次入力!$A$4:$A$1500,"&lt;="&amp;DATE(2026,11,30),日次入力!$C$4:$C$1500,"Google常設")=0,"",SUMIFS(日次入力!$F$4:$F$1500,日次入力!$A$4:$A$1500,"&gt;="&amp;DATE(2026,11,24),日次入力!$A$4:$A$1500,"&lt;="&amp;DATE(2026,11,30),日次入力!$C$4:$C$1500,"Google常設"))</f>
        <v/>
      </c>
      <c r="F263" s="42" t="str">
        <f aca="false">IF(COUNTIFS(日次入力!$A$4:$A$1500,"&gt;="&amp;DATE(2026,11,24),日次入力!$A$4:$A$1500,"&lt;="&amp;DATE(2026,11,30),日次入力!$C$4:$C$1500,"Google常設")=0,"",SUMIFS(日次入力!$G$4:$G$1500,日次入力!$A$4:$A$1500,"&gt;="&amp;DATE(2026,11,24),日次入力!$A$4:$A$1500,"&lt;="&amp;DATE(2026,11,30),日次入力!$C$4:$C$1500,"Google常設"))</f>
        <v/>
      </c>
      <c r="G263" s="15" t="str">
        <f aca="false">IFERROR(E263/D263,"")</f>
        <v/>
      </c>
      <c r="H263" s="37" t="str">
        <f aca="false">IFERROR(C263/E263,"")</f>
        <v/>
      </c>
      <c r="I263" s="37" t="str">
        <f aca="false">IFERROR(C263/D263*1000,"")</f>
        <v/>
      </c>
      <c r="J263" s="15" t="str">
        <f aca="false">IFERROR(F263/E263,"")</f>
        <v/>
      </c>
      <c r="K263" s="37" t="str">
        <f aca="false">IFERROR(C263/F263,"")</f>
        <v/>
      </c>
      <c r="L263" s="42" t="str">
        <f aca="false">IF(COUNTIFS(日次入力!$A$4:$A$1500,"&gt;="&amp;DATE(2026,11,24),日次入力!$A$4:$A$1500,"&lt;="&amp;DATE(2026,11,30),日次入力!$C$4:$C$1500,"Google常設")=0,"",SUMIFS(日次入力!$H$4:$H$1500,日次入力!$A$4:$A$1500,"&gt;="&amp;DATE(2026,11,24),日次入力!$A$4:$A$1500,"&lt;="&amp;DATE(2026,11,30),日次入力!$C$4:$C$1500,"Google常設"))</f>
        <v/>
      </c>
      <c r="M263" s="15" t="str">
        <f aca="false">IF(L263="","",IFERROR(L263/F263,""))</f>
        <v/>
      </c>
      <c r="N263" s="42" t="str">
        <f aca="false">IF(COUNTIFS(日次入力!$A$4:$A$1500,"&gt;="&amp;DATE(2026,11,24),日次入力!$A$4:$A$1500,"&lt;="&amp;DATE(2026,11,30),日次入力!$C$4:$C$1500,"Google常設")=0,"",SUMIFS(日次入力!$I$4:$I$1500,日次入力!$A$4:$A$1500,"&gt;="&amp;DATE(2026,11,24),日次入力!$A$4:$A$1500,"&lt;="&amp;DATE(2026,11,30),日次入力!$C$4:$C$1500,"Google常設"))</f>
        <v/>
      </c>
      <c r="O263" s="15" t="str">
        <f aca="false">IF(N263="","",IFERROR(N263/L263,""))</f>
        <v/>
      </c>
      <c r="P263" s="37" t="str">
        <f aca="false">IF(N263=0,"",IFERROR(C263/N263,""))</f>
        <v/>
      </c>
      <c r="Q263" s="38" t="str">
        <f aca="false">IF(N263=0,"",IFERROR(IF(C263/N263&lt;=用語集!$B$22,"◎ 許容内","✗ 超過"),"—"))</f>
        <v>—</v>
      </c>
      <c r="R263" s="39" t="str">
        <f aca="false">IFERROR(用語集!$B$22/P263,"")</f>
        <v/>
      </c>
    </row>
    <row r="264" customFormat="false" ht="15" hidden="false" customHeight="false" outlineLevel="0" collapsed="false">
      <c r="A264" s="34" t="s">
        <v>128</v>
      </c>
      <c r="B264" s="35" t="s">
        <v>129</v>
      </c>
      <c r="C264" s="41" t="str">
        <f aca="false">IF(COUNTIFS(日次入力!$A$4:$A$1500,"&gt;="&amp;DATE(2026,12,1),日次入力!$A$4:$A$1500,"&lt;="&amp;DATE(2026,12,7),日次入力!$C$4:$C$1500,"Google常設")=0,"",SUMIFS(日次入力!$D$4:$D$1500,日次入力!$A$4:$A$1500,"&gt;="&amp;DATE(2026,12,1),日次入力!$A$4:$A$1500,"&lt;="&amp;DATE(2026,12,7),日次入力!$C$4:$C$1500,"Google常設"))</f>
        <v/>
      </c>
      <c r="D264" s="42" t="str">
        <f aca="false">IF(COUNTIFS(日次入力!$A$4:$A$1500,"&gt;="&amp;DATE(2026,12,1),日次入力!$A$4:$A$1500,"&lt;="&amp;DATE(2026,12,7),日次入力!$C$4:$C$1500,"Google常設")=0,"",SUMIFS(日次入力!$E$4:$E$1500,日次入力!$A$4:$A$1500,"&gt;="&amp;DATE(2026,12,1),日次入力!$A$4:$A$1500,"&lt;="&amp;DATE(2026,12,7),日次入力!$C$4:$C$1500,"Google常設"))</f>
        <v/>
      </c>
      <c r="E264" s="42" t="str">
        <f aca="false">IF(COUNTIFS(日次入力!$A$4:$A$1500,"&gt;="&amp;DATE(2026,12,1),日次入力!$A$4:$A$1500,"&lt;="&amp;DATE(2026,12,7),日次入力!$C$4:$C$1500,"Google常設")=0,"",SUMIFS(日次入力!$F$4:$F$1500,日次入力!$A$4:$A$1500,"&gt;="&amp;DATE(2026,12,1),日次入力!$A$4:$A$1500,"&lt;="&amp;DATE(2026,12,7),日次入力!$C$4:$C$1500,"Google常設"))</f>
        <v/>
      </c>
      <c r="F264" s="42" t="str">
        <f aca="false">IF(COUNTIFS(日次入力!$A$4:$A$1500,"&gt;="&amp;DATE(2026,12,1),日次入力!$A$4:$A$1500,"&lt;="&amp;DATE(2026,12,7),日次入力!$C$4:$C$1500,"Google常設")=0,"",SUMIFS(日次入力!$G$4:$G$1500,日次入力!$A$4:$A$1500,"&gt;="&amp;DATE(2026,12,1),日次入力!$A$4:$A$1500,"&lt;="&amp;DATE(2026,12,7),日次入力!$C$4:$C$1500,"Google常設"))</f>
        <v/>
      </c>
      <c r="G264" s="15" t="str">
        <f aca="false">IFERROR(E264/D264,"")</f>
        <v/>
      </c>
      <c r="H264" s="37" t="str">
        <f aca="false">IFERROR(C264/E264,"")</f>
        <v/>
      </c>
      <c r="I264" s="37" t="str">
        <f aca="false">IFERROR(C264/D264*1000,"")</f>
        <v/>
      </c>
      <c r="J264" s="15" t="str">
        <f aca="false">IFERROR(F264/E264,"")</f>
        <v/>
      </c>
      <c r="K264" s="37" t="str">
        <f aca="false">IFERROR(C264/F264,"")</f>
        <v/>
      </c>
      <c r="L264" s="42" t="str">
        <f aca="false">IF(COUNTIFS(日次入力!$A$4:$A$1500,"&gt;="&amp;DATE(2026,12,1),日次入力!$A$4:$A$1500,"&lt;="&amp;DATE(2026,12,7),日次入力!$C$4:$C$1500,"Google常設")=0,"",SUMIFS(日次入力!$H$4:$H$1500,日次入力!$A$4:$A$1500,"&gt;="&amp;DATE(2026,12,1),日次入力!$A$4:$A$1500,"&lt;="&amp;DATE(2026,12,7),日次入力!$C$4:$C$1500,"Google常設"))</f>
        <v/>
      </c>
      <c r="M264" s="15" t="str">
        <f aca="false">IF(L264="","",IFERROR(L264/F264,""))</f>
        <v/>
      </c>
      <c r="N264" s="42" t="str">
        <f aca="false">IF(COUNTIFS(日次入力!$A$4:$A$1500,"&gt;="&amp;DATE(2026,12,1),日次入力!$A$4:$A$1500,"&lt;="&amp;DATE(2026,12,7),日次入力!$C$4:$C$1500,"Google常設")=0,"",SUMIFS(日次入力!$I$4:$I$1500,日次入力!$A$4:$A$1500,"&gt;="&amp;DATE(2026,12,1),日次入力!$A$4:$A$1500,"&lt;="&amp;DATE(2026,12,7),日次入力!$C$4:$C$1500,"Google常設"))</f>
        <v/>
      </c>
      <c r="O264" s="15" t="str">
        <f aca="false">IF(N264="","",IFERROR(N264/L264,""))</f>
        <v/>
      </c>
      <c r="P264" s="37" t="str">
        <f aca="false">IF(N264=0,"",IFERROR(C264/N264,""))</f>
        <v/>
      </c>
      <c r="Q264" s="38" t="str">
        <f aca="false">IF(N264=0,"",IFERROR(IF(C264/N264&lt;=用語集!$B$22,"◎ 許容内","✗ 超過"),"—"))</f>
        <v>—</v>
      </c>
      <c r="R264" s="39" t="str">
        <f aca="false">IFERROR(用語集!$B$22/P264,"")</f>
        <v/>
      </c>
    </row>
    <row r="265" customFormat="false" ht="15" hidden="false" customHeight="false" outlineLevel="0" collapsed="false">
      <c r="A265" s="34" t="s">
        <v>130</v>
      </c>
      <c r="B265" s="35" t="s">
        <v>131</v>
      </c>
      <c r="C265" s="41" t="str">
        <f aca="false">IF(COUNTIFS(日次入力!$A$4:$A$1500,"&gt;="&amp;DATE(2026,12,8),日次入力!$A$4:$A$1500,"&lt;="&amp;DATE(2026,12,14),日次入力!$C$4:$C$1500,"Google常設")=0,"",SUMIFS(日次入力!$D$4:$D$1500,日次入力!$A$4:$A$1500,"&gt;="&amp;DATE(2026,12,8),日次入力!$A$4:$A$1500,"&lt;="&amp;DATE(2026,12,14),日次入力!$C$4:$C$1500,"Google常設"))</f>
        <v/>
      </c>
      <c r="D265" s="42" t="str">
        <f aca="false">IF(COUNTIFS(日次入力!$A$4:$A$1500,"&gt;="&amp;DATE(2026,12,8),日次入力!$A$4:$A$1500,"&lt;="&amp;DATE(2026,12,14),日次入力!$C$4:$C$1500,"Google常設")=0,"",SUMIFS(日次入力!$E$4:$E$1500,日次入力!$A$4:$A$1500,"&gt;="&amp;DATE(2026,12,8),日次入力!$A$4:$A$1500,"&lt;="&amp;DATE(2026,12,14),日次入力!$C$4:$C$1500,"Google常設"))</f>
        <v/>
      </c>
      <c r="E265" s="42" t="str">
        <f aca="false">IF(COUNTIFS(日次入力!$A$4:$A$1500,"&gt;="&amp;DATE(2026,12,8),日次入力!$A$4:$A$1500,"&lt;="&amp;DATE(2026,12,14),日次入力!$C$4:$C$1500,"Google常設")=0,"",SUMIFS(日次入力!$F$4:$F$1500,日次入力!$A$4:$A$1500,"&gt;="&amp;DATE(2026,12,8),日次入力!$A$4:$A$1500,"&lt;="&amp;DATE(2026,12,14),日次入力!$C$4:$C$1500,"Google常設"))</f>
        <v/>
      </c>
      <c r="F265" s="42" t="str">
        <f aca="false">IF(COUNTIFS(日次入力!$A$4:$A$1500,"&gt;="&amp;DATE(2026,12,8),日次入力!$A$4:$A$1500,"&lt;="&amp;DATE(2026,12,14),日次入力!$C$4:$C$1500,"Google常設")=0,"",SUMIFS(日次入力!$G$4:$G$1500,日次入力!$A$4:$A$1500,"&gt;="&amp;DATE(2026,12,8),日次入力!$A$4:$A$1500,"&lt;="&amp;DATE(2026,12,14),日次入力!$C$4:$C$1500,"Google常設"))</f>
        <v/>
      </c>
      <c r="G265" s="15" t="str">
        <f aca="false">IFERROR(E265/D265,"")</f>
        <v/>
      </c>
      <c r="H265" s="37" t="str">
        <f aca="false">IFERROR(C265/E265,"")</f>
        <v/>
      </c>
      <c r="I265" s="37" t="str">
        <f aca="false">IFERROR(C265/D265*1000,"")</f>
        <v/>
      </c>
      <c r="J265" s="15" t="str">
        <f aca="false">IFERROR(F265/E265,"")</f>
        <v/>
      </c>
      <c r="K265" s="37" t="str">
        <f aca="false">IFERROR(C265/F265,"")</f>
        <v/>
      </c>
      <c r="L265" s="42" t="str">
        <f aca="false">IF(COUNTIFS(日次入力!$A$4:$A$1500,"&gt;="&amp;DATE(2026,12,8),日次入力!$A$4:$A$1500,"&lt;="&amp;DATE(2026,12,14),日次入力!$C$4:$C$1500,"Google常設")=0,"",SUMIFS(日次入力!$H$4:$H$1500,日次入力!$A$4:$A$1500,"&gt;="&amp;DATE(2026,12,8),日次入力!$A$4:$A$1500,"&lt;="&amp;DATE(2026,12,14),日次入力!$C$4:$C$1500,"Google常設"))</f>
        <v/>
      </c>
      <c r="M265" s="15" t="str">
        <f aca="false">IF(L265="","",IFERROR(L265/F265,""))</f>
        <v/>
      </c>
      <c r="N265" s="42" t="str">
        <f aca="false">IF(COUNTIFS(日次入力!$A$4:$A$1500,"&gt;="&amp;DATE(2026,12,8),日次入力!$A$4:$A$1500,"&lt;="&amp;DATE(2026,12,14),日次入力!$C$4:$C$1500,"Google常設")=0,"",SUMIFS(日次入力!$I$4:$I$1500,日次入力!$A$4:$A$1500,"&gt;="&amp;DATE(2026,12,8),日次入力!$A$4:$A$1500,"&lt;="&amp;DATE(2026,12,14),日次入力!$C$4:$C$1500,"Google常設"))</f>
        <v/>
      </c>
      <c r="O265" s="15" t="str">
        <f aca="false">IF(N265="","",IFERROR(N265/L265,""))</f>
        <v/>
      </c>
      <c r="P265" s="37" t="str">
        <f aca="false">IF(N265=0,"",IFERROR(C265/N265,""))</f>
        <v/>
      </c>
      <c r="Q265" s="38" t="str">
        <f aca="false">IF(N265=0,"",IFERROR(IF(C265/N265&lt;=用語集!$B$22,"◎ 許容内","✗ 超過"),"—"))</f>
        <v>—</v>
      </c>
      <c r="R265" s="39" t="str">
        <f aca="false">IFERROR(用語集!$B$22/P265,"")</f>
        <v/>
      </c>
    </row>
    <row r="266" customFormat="false" ht="15" hidden="false" customHeight="false" outlineLevel="0" collapsed="false">
      <c r="A266" s="34" t="s">
        <v>132</v>
      </c>
      <c r="B266" s="35" t="s">
        <v>133</v>
      </c>
      <c r="C266" s="41" t="str">
        <f aca="false">IF(COUNTIFS(日次入力!$A$4:$A$1500,"&gt;="&amp;DATE(2026,12,15),日次入力!$A$4:$A$1500,"&lt;="&amp;DATE(2026,12,21),日次入力!$C$4:$C$1500,"Google常設")=0,"",SUMIFS(日次入力!$D$4:$D$1500,日次入力!$A$4:$A$1500,"&gt;="&amp;DATE(2026,12,15),日次入力!$A$4:$A$1500,"&lt;="&amp;DATE(2026,12,21),日次入力!$C$4:$C$1500,"Google常設"))</f>
        <v/>
      </c>
      <c r="D266" s="42" t="str">
        <f aca="false">IF(COUNTIFS(日次入力!$A$4:$A$1500,"&gt;="&amp;DATE(2026,12,15),日次入力!$A$4:$A$1500,"&lt;="&amp;DATE(2026,12,21),日次入力!$C$4:$C$1500,"Google常設")=0,"",SUMIFS(日次入力!$E$4:$E$1500,日次入力!$A$4:$A$1500,"&gt;="&amp;DATE(2026,12,15),日次入力!$A$4:$A$1500,"&lt;="&amp;DATE(2026,12,21),日次入力!$C$4:$C$1500,"Google常設"))</f>
        <v/>
      </c>
      <c r="E266" s="42" t="str">
        <f aca="false">IF(COUNTIFS(日次入力!$A$4:$A$1500,"&gt;="&amp;DATE(2026,12,15),日次入力!$A$4:$A$1500,"&lt;="&amp;DATE(2026,12,21),日次入力!$C$4:$C$1500,"Google常設")=0,"",SUMIFS(日次入力!$F$4:$F$1500,日次入力!$A$4:$A$1500,"&gt;="&amp;DATE(2026,12,15),日次入力!$A$4:$A$1500,"&lt;="&amp;DATE(2026,12,21),日次入力!$C$4:$C$1500,"Google常設"))</f>
        <v/>
      </c>
      <c r="F266" s="42" t="str">
        <f aca="false">IF(COUNTIFS(日次入力!$A$4:$A$1500,"&gt;="&amp;DATE(2026,12,15),日次入力!$A$4:$A$1500,"&lt;="&amp;DATE(2026,12,21),日次入力!$C$4:$C$1500,"Google常設")=0,"",SUMIFS(日次入力!$G$4:$G$1500,日次入力!$A$4:$A$1500,"&gt;="&amp;DATE(2026,12,15),日次入力!$A$4:$A$1500,"&lt;="&amp;DATE(2026,12,21),日次入力!$C$4:$C$1500,"Google常設"))</f>
        <v/>
      </c>
      <c r="G266" s="15" t="str">
        <f aca="false">IFERROR(E266/D266,"")</f>
        <v/>
      </c>
      <c r="H266" s="37" t="str">
        <f aca="false">IFERROR(C266/E266,"")</f>
        <v/>
      </c>
      <c r="I266" s="37" t="str">
        <f aca="false">IFERROR(C266/D266*1000,"")</f>
        <v/>
      </c>
      <c r="J266" s="15" t="str">
        <f aca="false">IFERROR(F266/E266,"")</f>
        <v/>
      </c>
      <c r="K266" s="37" t="str">
        <f aca="false">IFERROR(C266/F266,"")</f>
        <v/>
      </c>
      <c r="L266" s="42" t="str">
        <f aca="false">IF(COUNTIFS(日次入力!$A$4:$A$1500,"&gt;="&amp;DATE(2026,12,15),日次入力!$A$4:$A$1500,"&lt;="&amp;DATE(2026,12,21),日次入力!$C$4:$C$1500,"Google常設")=0,"",SUMIFS(日次入力!$H$4:$H$1500,日次入力!$A$4:$A$1500,"&gt;="&amp;DATE(2026,12,15),日次入力!$A$4:$A$1500,"&lt;="&amp;DATE(2026,12,21),日次入力!$C$4:$C$1500,"Google常設"))</f>
        <v/>
      </c>
      <c r="M266" s="15" t="str">
        <f aca="false">IF(L266="","",IFERROR(L266/F266,""))</f>
        <v/>
      </c>
      <c r="N266" s="42" t="str">
        <f aca="false">IF(COUNTIFS(日次入力!$A$4:$A$1500,"&gt;="&amp;DATE(2026,12,15),日次入力!$A$4:$A$1500,"&lt;="&amp;DATE(2026,12,21),日次入力!$C$4:$C$1500,"Google常設")=0,"",SUMIFS(日次入力!$I$4:$I$1500,日次入力!$A$4:$A$1500,"&gt;="&amp;DATE(2026,12,15),日次入力!$A$4:$A$1500,"&lt;="&amp;DATE(2026,12,21),日次入力!$C$4:$C$1500,"Google常設"))</f>
        <v/>
      </c>
      <c r="O266" s="15" t="str">
        <f aca="false">IF(N266="","",IFERROR(N266/L266,""))</f>
        <v/>
      </c>
      <c r="P266" s="37" t="str">
        <f aca="false">IF(N266=0,"",IFERROR(C266/N266,""))</f>
        <v/>
      </c>
      <c r="Q266" s="38" t="str">
        <f aca="false">IF(N266=0,"",IFERROR(IF(C266/N266&lt;=用語集!$B$22,"◎ 許容内","✗ 超過"),"—"))</f>
        <v>—</v>
      </c>
      <c r="R266" s="39" t="str">
        <f aca="false">IFERROR(用語集!$B$22/P266,"")</f>
        <v/>
      </c>
    </row>
    <row r="267" customFormat="false" ht="15" hidden="false" customHeight="false" outlineLevel="0" collapsed="false">
      <c r="A267" s="34" t="s">
        <v>134</v>
      </c>
      <c r="B267" s="35" t="s">
        <v>135</v>
      </c>
      <c r="C267" s="41" t="str">
        <f aca="false">IF(COUNTIFS(日次入力!$A$4:$A$1500,"&gt;="&amp;DATE(2026,12,22),日次入力!$A$4:$A$1500,"&lt;="&amp;DATE(2026,12,28),日次入力!$C$4:$C$1500,"Google常設")=0,"",SUMIFS(日次入力!$D$4:$D$1500,日次入力!$A$4:$A$1500,"&gt;="&amp;DATE(2026,12,22),日次入力!$A$4:$A$1500,"&lt;="&amp;DATE(2026,12,28),日次入力!$C$4:$C$1500,"Google常設"))</f>
        <v/>
      </c>
      <c r="D267" s="42" t="str">
        <f aca="false">IF(COUNTIFS(日次入力!$A$4:$A$1500,"&gt;="&amp;DATE(2026,12,22),日次入力!$A$4:$A$1500,"&lt;="&amp;DATE(2026,12,28),日次入力!$C$4:$C$1500,"Google常設")=0,"",SUMIFS(日次入力!$E$4:$E$1500,日次入力!$A$4:$A$1500,"&gt;="&amp;DATE(2026,12,22),日次入力!$A$4:$A$1500,"&lt;="&amp;DATE(2026,12,28),日次入力!$C$4:$C$1500,"Google常設"))</f>
        <v/>
      </c>
      <c r="E267" s="42" t="str">
        <f aca="false">IF(COUNTIFS(日次入力!$A$4:$A$1500,"&gt;="&amp;DATE(2026,12,22),日次入力!$A$4:$A$1500,"&lt;="&amp;DATE(2026,12,28),日次入力!$C$4:$C$1500,"Google常設")=0,"",SUMIFS(日次入力!$F$4:$F$1500,日次入力!$A$4:$A$1500,"&gt;="&amp;DATE(2026,12,22),日次入力!$A$4:$A$1500,"&lt;="&amp;DATE(2026,12,28),日次入力!$C$4:$C$1500,"Google常設"))</f>
        <v/>
      </c>
      <c r="F267" s="42" t="str">
        <f aca="false">IF(COUNTIFS(日次入力!$A$4:$A$1500,"&gt;="&amp;DATE(2026,12,22),日次入力!$A$4:$A$1500,"&lt;="&amp;DATE(2026,12,28),日次入力!$C$4:$C$1500,"Google常設")=0,"",SUMIFS(日次入力!$G$4:$G$1500,日次入力!$A$4:$A$1500,"&gt;="&amp;DATE(2026,12,22),日次入力!$A$4:$A$1500,"&lt;="&amp;DATE(2026,12,28),日次入力!$C$4:$C$1500,"Google常設"))</f>
        <v/>
      </c>
      <c r="G267" s="15" t="str">
        <f aca="false">IFERROR(E267/D267,"")</f>
        <v/>
      </c>
      <c r="H267" s="37" t="str">
        <f aca="false">IFERROR(C267/E267,"")</f>
        <v/>
      </c>
      <c r="I267" s="37" t="str">
        <f aca="false">IFERROR(C267/D267*1000,"")</f>
        <v/>
      </c>
      <c r="J267" s="15" t="str">
        <f aca="false">IFERROR(F267/E267,"")</f>
        <v/>
      </c>
      <c r="K267" s="37" t="str">
        <f aca="false">IFERROR(C267/F267,"")</f>
        <v/>
      </c>
      <c r="L267" s="42" t="str">
        <f aca="false">IF(COUNTIFS(日次入力!$A$4:$A$1500,"&gt;="&amp;DATE(2026,12,22),日次入力!$A$4:$A$1500,"&lt;="&amp;DATE(2026,12,28),日次入力!$C$4:$C$1500,"Google常設")=0,"",SUMIFS(日次入力!$H$4:$H$1500,日次入力!$A$4:$A$1500,"&gt;="&amp;DATE(2026,12,22),日次入力!$A$4:$A$1500,"&lt;="&amp;DATE(2026,12,28),日次入力!$C$4:$C$1500,"Google常設"))</f>
        <v/>
      </c>
      <c r="M267" s="15" t="str">
        <f aca="false">IF(L267="","",IFERROR(L267/F267,""))</f>
        <v/>
      </c>
      <c r="N267" s="42" t="str">
        <f aca="false">IF(COUNTIFS(日次入力!$A$4:$A$1500,"&gt;="&amp;DATE(2026,12,22),日次入力!$A$4:$A$1500,"&lt;="&amp;DATE(2026,12,28),日次入力!$C$4:$C$1500,"Google常設")=0,"",SUMIFS(日次入力!$I$4:$I$1500,日次入力!$A$4:$A$1500,"&gt;="&amp;DATE(2026,12,22),日次入力!$A$4:$A$1500,"&lt;="&amp;DATE(2026,12,28),日次入力!$C$4:$C$1500,"Google常設"))</f>
        <v/>
      </c>
      <c r="O267" s="15" t="str">
        <f aca="false">IF(N267="","",IFERROR(N267/L267,""))</f>
        <v/>
      </c>
      <c r="P267" s="37" t="str">
        <f aca="false">IF(N267=0,"",IFERROR(C267/N267,""))</f>
        <v/>
      </c>
      <c r="Q267" s="38" t="str">
        <f aca="false">IF(N267=0,"",IFERROR(IF(C267/N267&lt;=用語集!$B$22,"◎ 許容内","✗ 超過"),"—"))</f>
        <v>—</v>
      </c>
      <c r="R267" s="39" t="str">
        <f aca="false">IFERROR(用語集!$B$22/P267,"")</f>
        <v/>
      </c>
    </row>
    <row r="268" customFormat="false" ht="15" hidden="false" customHeight="false" outlineLevel="0" collapsed="false">
      <c r="A268" s="34" t="s">
        <v>136</v>
      </c>
      <c r="B268" s="35" t="s">
        <v>137</v>
      </c>
      <c r="C268" s="41" t="str">
        <f aca="false">IF(COUNTIFS(日次入力!$A$4:$A$1500,"&gt;="&amp;DATE(2026,12,29),日次入力!$A$4:$A$1500,"&lt;="&amp;DATE(2027,1,4),日次入力!$C$4:$C$1500,"Google常設")=0,"",SUMIFS(日次入力!$D$4:$D$1500,日次入力!$A$4:$A$1500,"&gt;="&amp;DATE(2026,12,29),日次入力!$A$4:$A$1500,"&lt;="&amp;DATE(2027,1,4),日次入力!$C$4:$C$1500,"Google常設"))</f>
        <v/>
      </c>
      <c r="D268" s="42" t="str">
        <f aca="false">IF(COUNTIFS(日次入力!$A$4:$A$1500,"&gt;="&amp;DATE(2026,12,29),日次入力!$A$4:$A$1500,"&lt;="&amp;DATE(2027,1,4),日次入力!$C$4:$C$1500,"Google常設")=0,"",SUMIFS(日次入力!$E$4:$E$1500,日次入力!$A$4:$A$1500,"&gt;="&amp;DATE(2026,12,29),日次入力!$A$4:$A$1500,"&lt;="&amp;DATE(2027,1,4),日次入力!$C$4:$C$1500,"Google常設"))</f>
        <v/>
      </c>
      <c r="E268" s="42" t="str">
        <f aca="false">IF(COUNTIFS(日次入力!$A$4:$A$1500,"&gt;="&amp;DATE(2026,12,29),日次入力!$A$4:$A$1500,"&lt;="&amp;DATE(2027,1,4),日次入力!$C$4:$C$1500,"Google常設")=0,"",SUMIFS(日次入力!$F$4:$F$1500,日次入力!$A$4:$A$1500,"&gt;="&amp;DATE(2026,12,29),日次入力!$A$4:$A$1500,"&lt;="&amp;DATE(2027,1,4),日次入力!$C$4:$C$1500,"Google常設"))</f>
        <v/>
      </c>
      <c r="F268" s="42" t="str">
        <f aca="false">IF(COUNTIFS(日次入力!$A$4:$A$1500,"&gt;="&amp;DATE(2026,12,29),日次入力!$A$4:$A$1500,"&lt;="&amp;DATE(2027,1,4),日次入力!$C$4:$C$1500,"Google常設")=0,"",SUMIFS(日次入力!$G$4:$G$1500,日次入力!$A$4:$A$1500,"&gt;="&amp;DATE(2026,12,29),日次入力!$A$4:$A$1500,"&lt;="&amp;DATE(2027,1,4),日次入力!$C$4:$C$1500,"Google常設"))</f>
        <v/>
      </c>
      <c r="G268" s="15" t="str">
        <f aca="false">IFERROR(E268/D268,"")</f>
        <v/>
      </c>
      <c r="H268" s="37" t="str">
        <f aca="false">IFERROR(C268/E268,"")</f>
        <v/>
      </c>
      <c r="I268" s="37" t="str">
        <f aca="false">IFERROR(C268/D268*1000,"")</f>
        <v/>
      </c>
      <c r="J268" s="15" t="str">
        <f aca="false">IFERROR(F268/E268,"")</f>
        <v/>
      </c>
      <c r="K268" s="37" t="str">
        <f aca="false">IFERROR(C268/F268,"")</f>
        <v/>
      </c>
      <c r="L268" s="42" t="str">
        <f aca="false">IF(COUNTIFS(日次入力!$A$4:$A$1500,"&gt;="&amp;DATE(2026,12,29),日次入力!$A$4:$A$1500,"&lt;="&amp;DATE(2027,1,4),日次入力!$C$4:$C$1500,"Google常設")=0,"",SUMIFS(日次入力!$H$4:$H$1500,日次入力!$A$4:$A$1500,"&gt;="&amp;DATE(2026,12,29),日次入力!$A$4:$A$1500,"&lt;="&amp;DATE(2027,1,4),日次入力!$C$4:$C$1500,"Google常設"))</f>
        <v/>
      </c>
      <c r="M268" s="15" t="str">
        <f aca="false">IF(L268="","",IFERROR(L268/F268,""))</f>
        <v/>
      </c>
      <c r="N268" s="42" t="str">
        <f aca="false">IF(COUNTIFS(日次入力!$A$4:$A$1500,"&gt;="&amp;DATE(2026,12,29),日次入力!$A$4:$A$1500,"&lt;="&amp;DATE(2027,1,4),日次入力!$C$4:$C$1500,"Google常設")=0,"",SUMIFS(日次入力!$I$4:$I$1500,日次入力!$A$4:$A$1500,"&gt;="&amp;DATE(2026,12,29),日次入力!$A$4:$A$1500,"&lt;="&amp;DATE(2027,1,4),日次入力!$C$4:$C$1500,"Google常設"))</f>
        <v/>
      </c>
      <c r="O268" s="15" t="str">
        <f aca="false">IF(N268="","",IFERROR(N268/L268,""))</f>
        <v/>
      </c>
      <c r="P268" s="37" t="str">
        <f aca="false">IF(N268=0,"",IFERROR(C268/N268,""))</f>
        <v/>
      </c>
      <c r="Q268" s="38" t="str">
        <f aca="false">IF(N268=0,"",IFERROR(IF(C268/N268&lt;=用語集!$B$22,"◎ 許容内","✗ 超過"),"—"))</f>
        <v>—</v>
      </c>
      <c r="R268" s="39" t="str">
        <f aca="false">IFERROR(用語集!$B$22/P268,"")</f>
        <v/>
      </c>
    </row>
    <row r="269" customFormat="false" ht="15" hidden="false" customHeight="false" outlineLevel="0" collapsed="false">
      <c r="A269" s="34" t="s">
        <v>138</v>
      </c>
      <c r="B269" s="35" t="s">
        <v>139</v>
      </c>
      <c r="C269" s="41" t="str">
        <f aca="false">IF(COUNTIFS(日次入力!$A$4:$A$1500,"&gt;="&amp;DATE(2027,1,5),日次入力!$A$4:$A$1500,"&lt;="&amp;DATE(2027,1,11),日次入力!$C$4:$C$1500,"Google常設")=0,"",SUMIFS(日次入力!$D$4:$D$1500,日次入力!$A$4:$A$1500,"&gt;="&amp;DATE(2027,1,5),日次入力!$A$4:$A$1500,"&lt;="&amp;DATE(2027,1,11),日次入力!$C$4:$C$1500,"Google常設"))</f>
        <v/>
      </c>
      <c r="D269" s="42" t="str">
        <f aca="false">IF(COUNTIFS(日次入力!$A$4:$A$1500,"&gt;="&amp;DATE(2027,1,5),日次入力!$A$4:$A$1500,"&lt;="&amp;DATE(2027,1,11),日次入力!$C$4:$C$1500,"Google常設")=0,"",SUMIFS(日次入力!$E$4:$E$1500,日次入力!$A$4:$A$1500,"&gt;="&amp;DATE(2027,1,5),日次入力!$A$4:$A$1500,"&lt;="&amp;DATE(2027,1,11),日次入力!$C$4:$C$1500,"Google常設"))</f>
        <v/>
      </c>
      <c r="E269" s="42" t="str">
        <f aca="false">IF(COUNTIFS(日次入力!$A$4:$A$1500,"&gt;="&amp;DATE(2027,1,5),日次入力!$A$4:$A$1500,"&lt;="&amp;DATE(2027,1,11),日次入力!$C$4:$C$1500,"Google常設")=0,"",SUMIFS(日次入力!$F$4:$F$1500,日次入力!$A$4:$A$1500,"&gt;="&amp;DATE(2027,1,5),日次入力!$A$4:$A$1500,"&lt;="&amp;DATE(2027,1,11),日次入力!$C$4:$C$1500,"Google常設"))</f>
        <v/>
      </c>
      <c r="F269" s="42" t="str">
        <f aca="false">IF(COUNTIFS(日次入力!$A$4:$A$1500,"&gt;="&amp;DATE(2027,1,5),日次入力!$A$4:$A$1500,"&lt;="&amp;DATE(2027,1,11),日次入力!$C$4:$C$1500,"Google常設")=0,"",SUMIFS(日次入力!$G$4:$G$1500,日次入力!$A$4:$A$1500,"&gt;="&amp;DATE(2027,1,5),日次入力!$A$4:$A$1500,"&lt;="&amp;DATE(2027,1,11),日次入力!$C$4:$C$1500,"Google常設"))</f>
        <v/>
      </c>
      <c r="G269" s="15" t="str">
        <f aca="false">IFERROR(E269/D269,"")</f>
        <v/>
      </c>
      <c r="H269" s="37" t="str">
        <f aca="false">IFERROR(C269/E269,"")</f>
        <v/>
      </c>
      <c r="I269" s="37" t="str">
        <f aca="false">IFERROR(C269/D269*1000,"")</f>
        <v/>
      </c>
      <c r="J269" s="15" t="str">
        <f aca="false">IFERROR(F269/E269,"")</f>
        <v/>
      </c>
      <c r="K269" s="37" t="str">
        <f aca="false">IFERROR(C269/F269,"")</f>
        <v/>
      </c>
      <c r="L269" s="42" t="str">
        <f aca="false">IF(COUNTIFS(日次入力!$A$4:$A$1500,"&gt;="&amp;DATE(2027,1,5),日次入力!$A$4:$A$1500,"&lt;="&amp;DATE(2027,1,11),日次入力!$C$4:$C$1500,"Google常設")=0,"",SUMIFS(日次入力!$H$4:$H$1500,日次入力!$A$4:$A$1500,"&gt;="&amp;DATE(2027,1,5),日次入力!$A$4:$A$1500,"&lt;="&amp;DATE(2027,1,11),日次入力!$C$4:$C$1500,"Google常設"))</f>
        <v/>
      </c>
      <c r="M269" s="15" t="str">
        <f aca="false">IF(L269="","",IFERROR(L269/F269,""))</f>
        <v/>
      </c>
      <c r="N269" s="42" t="str">
        <f aca="false">IF(COUNTIFS(日次入力!$A$4:$A$1500,"&gt;="&amp;DATE(2027,1,5),日次入力!$A$4:$A$1500,"&lt;="&amp;DATE(2027,1,11),日次入力!$C$4:$C$1500,"Google常設")=0,"",SUMIFS(日次入力!$I$4:$I$1500,日次入力!$A$4:$A$1500,"&gt;="&amp;DATE(2027,1,5),日次入力!$A$4:$A$1500,"&lt;="&amp;DATE(2027,1,11),日次入力!$C$4:$C$1500,"Google常設"))</f>
        <v/>
      </c>
      <c r="O269" s="15" t="str">
        <f aca="false">IF(N269="","",IFERROR(N269/L269,""))</f>
        <v/>
      </c>
      <c r="P269" s="37" t="str">
        <f aca="false">IF(N269=0,"",IFERROR(C269/N269,""))</f>
        <v/>
      </c>
      <c r="Q269" s="38" t="str">
        <f aca="false">IF(N269=0,"",IFERROR(IF(C269/N269&lt;=用語集!$B$22,"◎ 許容内","✗ 超過"),"—"))</f>
        <v>—</v>
      </c>
      <c r="R269" s="39" t="str">
        <f aca="false">IFERROR(用語集!$B$22/P269,"")</f>
        <v/>
      </c>
    </row>
    <row r="270" customFormat="false" ht="15" hidden="false" customHeight="false" outlineLevel="0" collapsed="false">
      <c r="A270" s="34" t="s">
        <v>140</v>
      </c>
      <c r="B270" s="35" t="s">
        <v>141</v>
      </c>
      <c r="C270" s="41" t="str">
        <f aca="false">IF(COUNTIFS(日次入力!$A$4:$A$1500,"&gt;="&amp;DATE(2027,1,12),日次入力!$A$4:$A$1500,"&lt;="&amp;DATE(2027,1,18),日次入力!$C$4:$C$1500,"Google常設")=0,"",SUMIFS(日次入力!$D$4:$D$1500,日次入力!$A$4:$A$1500,"&gt;="&amp;DATE(2027,1,12),日次入力!$A$4:$A$1500,"&lt;="&amp;DATE(2027,1,18),日次入力!$C$4:$C$1500,"Google常設"))</f>
        <v/>
      </c>
      <c r="D270" s="42" t="str">
        <f aca="false">IF(COUNTIFS(日次入力!$A$4:$A$1500,"&gt;="&amp;DATE(2027,1,12),日次入力!$A$4:$A$1500,"&lt;="&amp;DATE(2027,1,18),日次入力!$C$4:$C$1500,"Google常設")=0,"",SUMIFS(日次入力!$E$4:$E$1500,日次入力!$A$4:$A$1500,"&gt;="&amp;DATE(2027,1,12),日次入力!$A$4:$A$1500,"&lt;="&amp;DATE(2027,1,18),日次入力!$C$4:$C$1500,"Google常設"))</f>
        <v/>
      </c>
      <c r="E270" s="42" t="str">
        <f aca="false">IF(COUNTIFS(日次入力!$A$4:$A$1500,"&gt;="&amp;DATE(2027,1,12),日次入力!$A$4:$A$1500,"&lt;="&amp;DATE(2027,1,18),日次入力!$C$4:$C$1500,"Google常設")=0,"",SUMIFS(日次入力!$F$4:$F$1500,日次入力!$A$4:$A$1500,"&gt;="&amp;DATE(2027,1,12),日次入力!$A$4:$A$1500,"&lt;="&amp;DATE(2027,1,18),日次入力!$C$4:$C$1500,"Google常設"))</f>
        <v/>
      </c>
      <c r="F270" s="42" t="str">
        <f aca="false">IF(COUNTIFS(日次入力!$A$4:$A$1500,"&gt;="&amp;DATE(2027,1,12),日次入力!$A$4:$A$1500,"&lt;="&amp;DATE(2027,1,18),日次入力!$C$4:$C$1500,"Google常設")=0,"",SUMIFS(日次入力!$G$4:$G$1500,日次入力!$A$4:$A$1500,"&gt;="&amp;DATE(2027,1,12),日次入力!$A$4:$A$1500,"&lt;="&amp;DATE(2027,1,18),日次入力!$C$4:$C$1500,"Google常設"))</f>
        <v/>
      </c>
      <c r="G270" s="15" t="str">
        <f aca="false">IFERROR(E270/D270,"")</f>
        <v/>
      </c>
      <c r="H270" s="37" t="str">
        <f aca="false">IFERROR(C270/E270,"")</f>
        <v/>
      </c>
      <c r="I270" s="37" t="str">
        <f aca="false">IFERROR(C270/D270*1000,"")</f>
        <v/>
      </c>
      <c r="J270" s="15" t="str">
        <f aca="false">IFERROR(F270/E270,"")</f>
        <v/>
      </c>
      <c r="K270" s="37" t="str">
        <f aca="false">IFERROR(C270/F270,"")</f>
        <v/>
      </c>
      <c r="L270" s="42" t="str">
        <f aca="false">IF(COUNTIFS(日次入力!$A$4:$A$1500,"&gt;="&amp;DATE(2027,1,12),日次入力!$A$4:$A$1500,"&lt;="&amp;DATE(2027,1,18),日次入力!$C$4:$C$1500,"Google常設")=0,"",SUMIFS(日次入力!$H$4:$H$1500,日次入力!$A$4:$A$1500,"&gt;="&amp;DATE(2027,1,12),日次入力!$A$4:$A$1500,"&lt;="&amp;DATE(2027,1,18),日次入力!$C$4:$C$1500,"Google常設"))</f>
        <v/>
      </c>
      <c r="M270" s="15" t="str">
        <f aca="false">IF(L270="","",IFERROR(L270/F270,""))</f>
        <v/>
      </c>
      <c r="N270" s="42" t="str">
        <f aca="false">IF(COUNTIFS(日次入力!$A$4:$A$1500,"&gt;="&amp;DATE(2027,1,12),日次入力!$A$4:$A$1500,"&lt;="&amp;DATE(2027,1,18),日次入力!$C$4:$C$1500,"Google常設")=0,"",SUMIFS(日次入力!$I$4:$I$1500,日次入力!$A$4:$A$1500,"&gt;="&amp;DATE(2027,1,12),日次入力!$A$4:$A$1500,"&lt;="&amp;DATE(2027,1,18),日次入力!$C$4:$C$1500,"Google常設"))</f>
        <v/>
      </c>
      <c r="O270" s="15" t="str">
        <f aca="false">IF(N270="","",IFERROR(N270/L270,""))</f>
        <v/>
      </c>
      <c r="P270" s="37" t="str">
        <f aca="false">IF(N270=0,"",IFERROR(C270/N270,""))</f>
        <v/>
      </c>
      <c r="Q270" s="38" t="str">
        <f aca="false">IF(N270=0,"",IFERROR(IF(C270/N270&lt;=用語集!$B$22,"◎ 許容内","✗ 超過"),"—"))</f>
        <v>—</v>
      </c>
      <c r="R270" s="39" t="str">
        <f aca="false">IFERROR(用語集!$B$22/P270,"")</f>
        <v/>
      </c>
    </row>
    <row r="271" customFormat="false" ht="15" hidden="false" customHeight="false" outlineLevel="0" collapsed="false">
      <c r="A271" s="34" t="s">
        <v>142</v>
      </c>
      <c r="B271" s="35" t="s">
        <v>143</v>
      </c>
      <c r="C271" s="41" t="str">
        <f aca="false">IF(COUNTIFS(日次入力!$A$4:$A$1500,"&gt;="&amp;DATE(2027,1,19),日次入力!$A$4:$A$1500,"&lt;="&amp;DATE(2027,1,25),日次入力!$C$4:$C$1500,"Google常設")=0,"",SUMIFS(日次入力!$D$4:$D$1500,日次入力!$A$4:$A$1500,"&gt;="&amp;DATE(2027,1,19),日次入力!$A$4:$A$1500,"&lt;="&amp;DATE(2027,1,25),日次入力!$C$4:$C$1500,"Google常設"))</f>
        <v/>
      </c>
      <c r="D271" s="42" t="str">
        <f aca="false">IF(COUNTIFS(日次入力!$A$4:$A$1500,"&gt;="&amp;DATE(2027,1,19),日次入力!$A$4:$A$1500,"&lt;="&amp;DATE(2027,1,25),日次入力!$C$4:$C$1500,"Google常設")=0,"",SUMIFS(日次入力!$E$4:$E$1500,日次入力!$A$4:$A$1500,"&gt;="&amp;DATE(2027,1,19),日次入力!$A$4:$A$1500,"&lt;="&amp;DATE(2027,1,25),日次入力!$C$4:$C$1500,"Google常設"))</f>
        <v/>
      </c>
      <c r="E271" s="42" t="str">
        <f aca="false">IF(COUNTIFS(日次入力!$A$4:$A$1500,"&gt;="&amp;DATE(2027,1,19),日次入力!$A$4:$A$1500,"&lt;="&amp;DATE(2027,1,25),日次入力!$C$4:$C$1500,"Google常設")=0,"",SUMIFS(日次入力!$F$4:$F$1500,日次入力!$A$4:$A$1500,"&gt;="&amp;DATE(2027,1,19),日次入力!$A$4:$A$1500,"&lt;="&amp;DATE(2027,1,25),日次入力!$C$4:$C$1500,"Google常設"))</f>
        <v/>
      </c>
      <c r="F271" s="42" t="str">
        <f aca="false">IF(COUNTIFS(日次入力!$A$4:$A$1500,"&gt;="&amp;DATE(2027,1,19),日次入力!$A$4:$A$1500,"&lt;="&amp;DATE(2027,1,25),日次入力!$C$4:$C$1500,"Google常設")=0,"",SUMIFS(日次入力!$G$4:$G$1500,日次入力!$A$4:$A$1500,"&gt;="&amp;DATE(2027,1,19),日次入力!$A$4:$A$1500,"&lt;="&amp;DATE(2027,1,25),日次入力!$C$4:$C$1500,"Google常設"))</f>
        <v/>
      </c>
      <c r="G271" s="15" t="str">
        <f aca="false">IFERROR(E271/D271,"")</f>
        <v/>
      </c>
      <c r="H271" s="37" t="str">
        <f aca="false">IFERROR(C271/E271,"")</f>
        <v/>
      </c>
      <c r="I271" s="37" t="str">
        <f aca="false">IFERROR(C271/D271*1000,"")</f>
        <v/>
      </c>
      <c r="J271" s="15" t="str">
        <f aca="false">IFERROR(F271/E271,"")</f>
        <v/>
      </c>
      <c r="K271" s="37" t="str">
        <f aca="false">IFERROR(C271/F271,"")</f>
        <v/>
      </c>
      <c r="L271" s="42" t="str">
        <f aca="false">IF(COUNTIFS(日次入力!$A$4:$A$1500,"&gt;="&amp;DATE(2027,1,19),日次入力!$A$4:$A$1500,"&lt;="&amp;DATE(2027,1,25),日次入力!$C$4:$C$1500,"Google常設")=0,"",SUMIFS(日次入力!$H$4:$H$1500,日次入力!$A$4:$A$1500,"&gt;="&amp;DATE(2027,1,19),日次入力!$A$4:$A$1500,"&lt;="&amp;DATE(2027,1,25),日次入力!$C$4:$C$1500,"Google常設"))</f>
        <v/>
      </c>
      <c r="M271" s="15" t="str">
        <f aca="false">IF(L271="","",IFERROR(L271/F271,""))</f>
        <v/>
      </c>
      <c r="N271" s="42" t="str">
        <f aca="false">IF(COUNTIFS(日次入力!$A$4:$A$1500,"&gt;="&amp;DATE(2027,1,19),日次入力!$A$4:$A$1500,"&lt;="&amp;DATE(2027,1,25),日次入力!$C$4:$C$1500,"Google常設")=0,"",SUMIFS(日次入力!$I$4:$I$1500,日次入力!$A$4:$A$1500,"&gt;="&amp;DATE(2027,1,19),日次入力!$A$4:$A$1500,"&lt;="&amp;DATE(2027,1,25),日次入力!$C$4:$C$1500,"Google常設"))</f>
        <v/>
      </c>
      <c r="O271" s="15" t="str">
        <f aca="false">IF(N271="","",IFERROR(N271/L271,""))</f>
        <v/>
      </c>
      <c r="P271" s="37" t="str">
        <f aca="false">IF(N271=0,"",IFERROR(C271/N271,""))</f>
        <v/>
      </c>
      <c r="Q271" s="38" t="str">
        <f aca="false">IF(N271=0,"",IFERROR(IF(C271/N271&lt;=用語集!$B$22,"◎ 許容内","✗ 超過"),"—"))</f>
        <v>—</v>
      </c>
      <c r="R271" s="39" t="str">
        <f aca="false">IFERROR(用語集!$B$22/P271,"")</f>
        <v/>
      </c>
    </row>
    <row r="272" customFormat="false" ht="15" hidden="false" customHeight="false" outlineLevel="0" collapsed="false">
      <c r="A272" s="34" t="s">
        <v>144</v>
      </c>
      <c r="B272" s="35" t="s">
        <v>145</v>
      </c>
      <c r="C272" s="41" t="str">
        <f aca="false">IF(COUNTIFS(日次入力!$A$4:$A$1500,"&gt;="&amp;DATE(2027,1,26),日次入力!$A$4:$A$1500,"&lt;="&amp;DATE(2027,2,1),日次入力!$C$4:$C$1500,"Google常設")=0,"",SUMIFS(日次入力!$D$4:$D$1500,日次入力!$A$4:$A$1500,"&gt;="&amp;DATE(2027,1,26),日次入力!$A$4:$A$1500,"&lt;="&amp;DATE(2027,2,1),日次入力!$C$4:$C$1500,"Google常設"))</f>
        <v/>
      </c>
      <c r="D272" s="42" t="str">
        <f aca="false">IF(COUNTIFS(日次入力!$A$4:$A$1500,"&gt;="&amp;DATE(2027,1,26),日次入力!$A$4:$A$1500,"&lt;="&amp;DATE(2027,2,1),日次入力!$C$4:$C$1500,"Google常設")=0,"",SUMIFS(日次入力!$E$4:$E$1500,日次入力!$A$4:$A$1500,"&gt;="&amp;DATE(2027,1,26),日次入力!$A$4:$A$1500,"&lt;="&amp;DATE(2027,2,1),日次入力!$C$4:$C$1500,"Google常設"))</f>
        <v/>
      </c>
      <c r="E272" s="42" t="str">
        <f aca="false">IF(COUNTIFS(日次入力!$A$4:$A$1500,"&gt;="&amp;DATE(2027,1,26),日次入力!$A$4:$A$1500,"&lt;="&amp;DATE(2027,2,1),日次入力!$C$4:$C$1500,"Google常設")=0,"",SUMIFS(日次入力!$F$4:$F$1500,日次入力!$A$4:$A$1500,"&gt;="&amp;DATE(2027,1,26),日次入力!$A$4:$A$1500,"&lt;="&amp;DATE(2027,2,1),日次入力!$C$4:$C$1500,"Google常設"))</f>
        <v/>
      </c>
      <c r="F272" s="42" t="str">
        <f aca="false">IF(COUNTIFS(日次入力!$A$4:$A$1500,"&gt;="&amp;DATE(2027,1,26),日次入力!$A$4:$A$1500,"&lt;="&amp;DATE(2027,2,1),日次入力!$C$4:$C$1500,"Google常設")=0,"",SUMIFS(日次入力!$G$4:$G$1500,日次入力!$A$4:$A$1500,"&gt;="&amp;DATE(2027,1,26),日次入力!$A$4:$A$1500,"&lt;="&amp;DATE(2027,2,1),日次入力!$C$4:$C$1500,"Google常設"))</f>
        <v/>
      </c>
      <c r="G272" s="15" t="str">
        <f aca="false">IFERROR(E272/D272,"")</f>
        <v/>
      </c>
      <c r="H272" s="37" t="str">
        <f aca="false">IFERROR(C272/E272,"")</f>
        <v/>
      </c>
      <c r="I272" s="37" t="str">
        <f aca="false">IFERROR(C272/D272*1000,"")</f>
        <v/>
      </c>
      <c r="J272" s="15" t="str">
        <f aca="false">IFERROR(F272/E272,"")</f>
        <v/>
      </c>
      <c r="K272" s="37" t="str">
        <f aca="false">IFERROR(C272/F272,"")</f>
        <v/>
      </c>
      <c r="L272" s="42" t="str">
        <f aca="false">IF(COUNTIFS(日次入力!$A$4:$A$1500,"&gt;="&amp;DATE(2027,1,26),日次入力!$A$4:$A$1500,"&lt;="&amp;DATE(2027,2,1),日次入力!$C$4:$C$1500,"Google常設")=0,"",SUMIFS(日次入力!$H$4:$H$1500,日次入力!$A$4:$A$1500,"&gt;="&amp;DATE(2027,1,26),日次入力!$A$4:$A$1500,"&lt;="&amp;DATE(2027,2,1),日次入力!$C$4:$C$1500,"Google常設"))</f>
        <v/>
      </c>
      <c r="M272" s="15" t="str">
        <f aca="false">IF(L272="","",IFERROR(L272/F272,""))</f>
        <v/>
      </c>
      <c r="N272" s="42" t="str">
        <f aca="false">IF(COUNTIFS(日次入力!$A$4:$A$1500,"&gt;="&amp;DATE(2027,1,26),日次入力!$A$4:$A$1500,"&lt;="&amp;DATE(2027,2,1),日次入力!$C$4:$C$1500,"Google常設")=0,"",SUMIFS(日次入力!$I$4:$I$1500,日次入力!$A$4:$A$1500,"&gt;="&amp;DATE(2027,1,26),日次入力!$A$4:$A$1500,"&lt;="&amp;DATE(2027,2,1),日次入力!$C$4:$C$1500,"Google常設"))</f>
        <v/>
      </c>
      <c r="O272" s="15" t="str">
        <f aca="false">IF(N272="","",IFERROR(N272/L272,""))</f>
        <v/>
      </c>
      <c r="P272" s="37" t="str">
        <f aca="false">IF(N272=0,"",IFERROR(C272/N272,""))</f>
        <v/>
      </c>
      <c r="Q272" s="38" t="str">
        <f aca="false">IF(N272=0,"",IFERROR(IF(C272/N272&lt;=用語集!$B$22,"◎ 許容内","✗ 超過"),"—"))</f>
        <v>—</v>
      </c>
      <c r="R272" s="39" t="str">
        <f aca="false">IFERROR(用語集!$B$22/P272,"")</f>
        <v/>
      </c>
    </row>
    <row r="273" customFormat="false" ht="15" hidden="false" customHeight="false" outlineLevel="0" collapsed="false">
      <c r="A273" s="34" t="s">
        <v>146</v>
      </c>
      <c r="B273" s="35" t="s">
        <v>147</v>
      </c>
      <c r="C273" s="41" t="str">
        <f aca="false">IF(COUNTIFS(日次入力!$A$4:$A$1500,"&gt;="&amp;DATE(2027,2,2),日次入力!$A$4:$A$1500,"&lt;="&amp;DATE(2027,2,8),日次入力!$C$4:$C$1500,"Google常設")=0,"",SUMIFS(日次入力!$D$4:$D$1500,日次入力!$A$4:$A$1500,"&gt;="&amp;DATE(2027,2,2),日次入力!$A$4:$A$1500,"&lt;="&amp;DATE(2027,2,8),日次入力!$C$4:$C$1500,"Google常設"))</f>
        <v/>
      </c>
      <c r="D273" s="42" t="str">
        <f aca="false">IF(COUNTIFS(日次入力!$A$4:$A$1500,"&gt;="&amp;DATE(2027,2,2),日次入力!$A$4:$A$1500,"&lt;="&amp;DATE(2027,2,8),日次入力!$C$4:$C$1500,"Google常設")=0,"",SUMIFS(日次入力!$E$4:$E$1500,日次入力!$A$4:$A$1500,"&gt;="&amp;DATE(2027,2,2),日次入力!$A$4:$A$1500,"&lt;="&amp;DATE(2027,2,8),日次入力!$C$4:$C$1500,"Google常設"))</f>
        <v/>
      </c>
      <c r="E273" s="42" t="str">
        <f aca="false">IF(COUNTIFS(日次入力!$A$4:$A$1500,"&gt;="&amp;DATE(2027,2,2),日次入力!$A$4:$A$1500,"&lt;="&amp;DATE(2027,2,8),日次入力!$C$4:$C$1500,"Google常設")=0,"",SUMIFS(日次入力!$F$4:$F$1500,日次入力!$A$4:$A$1500,"&gt;="&amp;DATE(2027,2,2),日次入力!$A$4:$A$1500,"&lt;="&amp;DATE(2027,2,8),日次入力!$C$4:$C$1500,"Google常設"))</f>
        <v/>
      </c>
      <c r="F273" s="42" t="str">
        <f aca="false">IF(COUNTIFS(日次入力!$A$4:$A$1500,"&gt;="&amp;DATE(2027,2,2),日次入力!$A$4:$A$1500,"&lt;="&amp;DATE(2027,2,8),日次入力!$C$4:$C$1500,"Google常設")=0,"",SUMIFS(日次入力!$G$4:$G$1500,日次入力!$A$4:$A$1500,"&gt;="&amp;DATE(2027,2,2),日次入力!$A$4:$A$1500,"&lt;="&amp;DATE(2027,2,8),日次入力!$C$4:$C$1500,"Google常設"))</f>
        <v/>
      </c>
      <c r="G273" s="15" t="str">
        <f aca="false">IFERROR(E273/D273,"")</f>
        <v/>
      </c>
      <c r="H273" s="37" t="str">
        <f aca="false">IFERROR(C273/E273,"")</f>
        <v/>
      </c>
      <c r="I273" s="37" t="str">
        <f aca="false">IFERROR(C273/D273*1000,"")</f>
        <v/>
      </c>
      <c r="J273" s="15" t="str">
        <f aca="false">IFERROR(F273/E273,"")</f>
        <v/>
      </c>
      <c r="K273" s="37" t="str">
        <f aca="false">IFERROR(C273/F273,"")</f>
        <v/>
      </c>
      <c r="L273" s="42" t="str">
        <f aca="false">IF(COUNTIFS(日次入力!$A$4:$A$1500,"&gt;="&amp;DATE(2027,2,2),日次入力!$A$4:$A$1500,"&lt;="&amp;DATE(2027,2,8),日次入力!$C$4:$C$1500,"Google常設")=0,"",SUMIFS(日次入力!$H$4:$H$1500,日次入力!$A$4:$A$1500,"&gt;="&amp;DATE(2027,2,2),日次入力!$A$4:$A$1500,"&lt;="&amp;DATE(2027,2,8),日次入力!$C$4:$C$1500,"Google常設"))</f>
        <v/>
      </c>
      <c r="M273" s="15" t="str">
        <f aca="false">IF(L273="","",IFERROR(L273/F273,""))</f>
        <v/>
      </c>
      <c r="N273" s="42" t="str">
        <f aca="false">IF(COUNTIFS(日次入力!$A$4:$A$1500,"&gt;="&amp;DATE(2027,2,2),日次入力!$A$4:$A$1500,"&lt;="&amp;DATE(2027,2,8),日次入力!$C$4:$C$1500,"Google常設")=0,"",SUMIFS(日次入力!$I$4:$I$1500,日次入力!$A$4:$A$1500,"&gt;="&amp;DATE(2027,2,2),日次入力!$A$4:$A$1500,"&lt;="&amp;DATE(2027,2,8),日次入力!$C$4:$C$1500,"Google常設"))</f>
        <v/>
      </c>
      <c r="O273" s="15" t="str">
        <f aca="false">IF(N273="","",IFERROR(N273/L273,""))</f>
        <v/>
      </c>
      <c r="P273" s="37" t="str">
        <f aca="false">IF(N273=0,"",IFERROR(C273/N273,""))</f>
        <v/>
      </c>
      <c r="Q273" s="38" t="str">
        <f aca="false">IF(N273=0,"",IFERROR(IF(C273/N273&lt;=用語集!$B$22,"◎ 許容内","✗ 超過"),"—"))</f>
        <v>—</v>
      </c>
      <c r="R273" s="39" t="str">
        <f aca="false">IFERROR(用語集!$B$22/P273,"")</f>
        <v/>
      </c>
    </row>
    <row r="274" customFormat="false" ht="15" hidden="false" customHeight="false" outlineLevel="0" collapsed="false">
      <c r="A274" s="34" t="s">
        <v>148</v>
      </c>
      <c r="B274" s="35" t="s">
        <v>149</v>
      </c>
      <c r="C274" s="41" t="str">
        <f aca="false">IF(COUNTIFS(日次入力!$A$4:$A$1500,"&gt;="&amp;DATE(2027,2,9),日次入力!$A$4:$A$1500,"&lt;="&amp;DATE(2027,2,15),日次入力!$C$4:$C$1500,"Google常設")=0,"",SUMIFS(日次入力!$D$4:$D$1500,日次入力!$A$4:$A$1500,"&gt;="&amp;DATE(2027,2,9),日次入力!$A$4:$A$1500,"&lt;="&amp;DATE(2027,2,15),日次入力!$C$4:$C$1500,"Google常設"))</f>
        <v/>
      </c>
      <c r="D274" s="42" t="str">
        <f aca="false">IF(COUNTIFS(日次入力!$A$4:$A$1500,"&gt;="&amp;DATE(2027,2,9),日次入力!$A$4:$A$1500,"&lt;="&amp;DATE(2027,2,15),日次入力!$C$4:$C$1500,"Google常設")=0,"",SUMIFS(日次入力!$E$4:$E$1500,日次入力!$A$4:$A$1500,"&gt;="&amp;DATE(2027,2,9),日次入力!$A$4:$A$1500,"&lt;="&amp;DATE(2027,2,15),日次入力!$C$4:$C$1500,"Google常設"))</f>
        <v/>
      </c>
      <c r="E274" s="42" t="str">
        <f aca="false">IF(COUNTIFS(日次入力!$A$4:$A$1500,"&gt;="&amp;DATE(2027,2,9),日次入力!$A$4:$A$1500,"&lt;="&amp;DATE(2027,2,15),日次入力!$C$4:$C$1500,"Google常設")=0,"",SUMIFS(日次入力!$F$4:$F$1500,日次入力!$A$4:$A$1500,"&gt;="&amp;DATE(2027,2,9),日次入力!$A$4:$A$1500,"&lt;="&amp;DATE(2027,2,15),日次入力!$C$4:$C$1500,"Google常設"))</f>
        <v/>
      </c>
      <c r="F274" s="42" t="str">
        <f aca="false">IF(COUNTIFS(日次入力!$A$4:$A$1500,"&gt;="&amp;DATE(2027,2,9),日次入力!$A$4:$A$1500,"&lt;="&amp;DATE(2027,2,15),日次入力!$C$4:$C$1500,"Google常設")=0,"",SUMIFS(日次入力!$G$4:$G$1500,日次入力!$A$4:$A$1500,"&gt;="&amp;DATE(2027,2,9),日次入力!$A$4:$A$1500,"&lt;="&amp;DATE(2027,2,15),日次入力!$C$4:$C$1500,"Google常設"))</f>
        <v/>
      </c>
      <c r="G274" s="15" t="str">
        <f aca="false">IFERROR(E274/D274,"")</f>
        <v/>
      </c>
      <c r="H274" s="37" t="str">
        <f aca="false">IFERROR(C274/E274,"")</f>
        <v/>
      </c>
      <c r="I274" s="37" t="str">
        <f aca="false">IFERROR(C274/D274*1000,"")</f>
        <v/>
      </c>
      <c r="J274" s="15" t="str">
        <f aca="false">IFERROR(F274/E274,"")</f>
        <v/>
      </c>
      <c r="K274" s="37" t="str">
        <f aca="false">IFERROR(C274/F274,"")</f>
        <v/>
      </c>
      <c r="L274" s="42" t="str">
        <f aca="false">IF(COUNTIFS(日次入力!$A$4:$A$1500,"&gt;="&amp;DATE(2027,2,9),日次入力!$A$4:$A$1500,"&lt;="&amp;DATE(2027,2,15),日次入力!$C$4:$C$1500,"Google常設")=0,"",SUMIFS(日次入力!$H$4:$H$1500,日次入力!$A$4:$A$1500,"&gt;="&amp;DATE(2027,2,9),日次入力!$A$4:$A$1500,"&lt;="&amp;DATE(2027,2,15),日次入力!$C$4:$C$1500,"Google常設"))</f>
        <v/>
      </c>
      <c r="M274" s="15" t="str">
        <f aca="false">IF(L274="","",IFERROR(L274/F274,""))</f>
        <v/>
      </c>
      <c r="N274" s="42" t="str">
        <f aca="false">IF(COUNTIFS(日次入力!$A$4:$A$1500,"&gt;="&amp;DATE(2027,2,9),日次入力!$A$4:$A$1500,"&lt;="&amp;DATE(2027,2,15),日次入力!$C$4:$C$1500,"Google常設")=0,"",SUMIFS(日次入力!$I$4:$I$1500,日次入力!$A$4:$A$1500,"&gt;="&amp;DATE(2027,2,9),日次入力!$A$4:$A$1500,"&lt;="&amp;DATE(2027,2,15),日次入力!$C$4:$C$1500,"Google常設"))</f>
        <v/>
      </c>
      <c r="O274" s="15" t="str">
        <f aca="false">IF(N274="","",IFERROR(N274/L274,""))</f>
        <v/>
      </c>
      <c r="P274" s="37" t="str">
        <f aca="false">IF(N274=0,"",IFERROR(C274/N274,""))</f>
        <v/>
      </c>
      <c r="Q274" s="38" t="str">
        <f aca="false">IF(N274=0,"",IFERROR(IF(C274/N274&lt;=用語集!$B$22,"◎ 許容内","✗ 超過"),"—"))</f>
        <v>—</v>
      </c>
      <c r="R274" s="39" t="str">
        <f aca="false">IFERROR(用語集!$B$22/P274,"")</f>
        <v/>
      </c>
    </row>
    <row r="275" customFormat="false" ht="15" hidden="false" customHeight="false" outlineLevel="0" collapsed="false">
      <c r="A275" s="34" t="s">
        <v>150</v>
      </c>
      <c r="B275" s="35" t="s">
        <v>151</v>
      </c>
      <c r="C275" s="41" t="str">
        <f aca="false">IF(COUNTIFS(日次入力!$A$4:$A$1500,"&gt;="&amp;DATE(2027,2,16),日次入力!$A$4:$A$1500,"&lt;="&amp;DATE(2027,2,22),日次入力!$C$4:$C$1500,"Google常設")=0,"",SUMIFS(日次入力!$D$4:$D$1500,日次入力!$A$4:$A$1500,"&gt;="&amp;DATE(2027,2,16),日次入力!$A$4:$A$1500,"&lt;="&amp;DATE(2027,2,22),日次入力!$C$4:$C$1500,"Google常設"))</f>
        <v/>
      </c>
      <c r="D275" s="42" t="str">
        <f aca="false">IF(COUNTIFS(日次入力!$A$4:$A$1500,"&gt;="&amp;DATE(2027,2,16),日次入力!$A$4:$A$1500,"&lt;="&amp;DATE(2027,2,22),日次入力!$C$4:$C$1500,"Google常設")=0,"",SUMIFS(日次入力!$E$4:$E$1500,日次入力!$A$4:$A$1500,"&gt;="&amp;DATE(2027,2,16),日次入力!$A$4:$A$1500,"&lt;="&amp;DATE(2027,2,22),日次入力!$C$4:$C$1500,"Google常設"))</f>
        <v/>
      </c>
      <c r="E275" s="42" t="str">
        <f aca="false">IF(COUNTIFS(日次入力!$A$4:$A$1500,"&gt;="&amp;DATE(2027,2,16),日次入力!$A$4:$A$1500,"&lt;="&amp;DATE(2027,2,22),日次入力!$C$4:$C$1500,"Google常設")=0,"",SUMIFS(日次入力!$F$4:$F$1500,日次入力!$A$4:$A$1500,"&gt;="&amp;DATE(2027,2,16),日次入力!$A$4:$A$1500,"&lt;="&amp;DATE(2027,2,22),日次入力!$C$4:$C$1500,"Google常設"))</f>
        <v/>
      </c>
      <c r="F275" s="42" t="str">
        <f aca="false">IF(COUNTIFS(日次入力!$A$4:$A$1500,"&gt;="&amp;DATE(2027,2,16),日次入力!$A$4:$A$1500,"&lt;="&amp;DATE(2027,2,22),日次入力!$C$4:$C$1500,"Google常設")=0,"",SUMIFS(日次入力!$G$4:$G$1500,日次入力!$A$4:$A$1500,"&gt;="&amp;DATE(2027,2,16),日次入力!$A$4:$A$1500,"&lt;="&amp;DATE(2027,2,22),日次入力!$C$4:$C$1500,"Google常設"))</f>
        <v/>
      </c>
      <c r="G275" s="15" t="str">
        <f aca="false">IFERROR(E275/D275,"")</f>
        <v/>
      </c>
      <c r="H275" s="37" t="str">
        <f aca="false">IFERROR(C275/E275,"")</f>
        <v/>
      </c>
      <c r="I275" s="37" t="str">
        <f aca="false">IFERROR(C275/D275*1000,"")</f>
        <v/>
      </c>
      <c r="J275" s="15" t="str">
        <f aca="false">IFERROR(F275/E275,"")</f>
        <v/>
      </c>
      <c r="K275" s="37" t="str">
        <f aca="false">IFERROR(C275/F275,"")</f>
        <v/>
      </c>
      <c r="L275" s="42" t="str">
        <f aca="false">IF(COUNTIFS(日次入力!$A$4:$A$1500,"&gt;="&amp;DATE(2027,2,16),日次入力!$A$4:$A$1500,"&lt;="&amp;DATE(2027,2,22),日次入力!$C$4:$C$1500,"Google常設")=0,"",SUMIFS(日次入力!$H$4:$H$1500,日次入力!$A$4:$A$1500,"&gt;="&amp;DATE(2027,2,16),日次入力!$A$4:$A$1500,"&lt;="&amp;DATE(2027,2,22),日次入力!$C$4:$C$1500,"Google常設"))</f>
        <v/>
      </c>
      <c r="M275" s="15" t="str">
        <f aca="false">IF(L275="","",IFERROR(L275/F275,""))</f>
        <v/>
      </c>
      <c r="N275" s="42" t="str">
        <f aca="false">IF(COUNTIFS(日次入力!$A$4:$A$1500,"&gt;="&amp;DATE(2027,2,16),日次入力!$A$4:$A$1500,"&lt;="&amp;DATE(2027,2,22),日次入力!$C$4:$C$1500,"Google常設")=0,"",SUMIFS(日次入力!$I$4:$I$1500,日次入力!$A$4:$A$1500,"&gt;="&amp;DATE(2027,2,16),日次入力!$A$4:$A$1500,"&lt;="&amp;DATE(2027,2,22),日次入力!$C$4:$C$1500,"Google常設"))</f>
        <v/>
      </c>
      <c r="O275" s="15" t="str">
        <f aca="false">IF(N275="","",IFERROR(N275/L275,""))</f>
        <v/>
      </c>
      <c r="P275" s="37" t="str">
        <f aca="false">IF(N275=0,"",IFERROR(C275/N275,""))</f>
        <v/>
      </c>
      <c r="Q275" s="38" t="str">
        <f aca="false">IF(N275=0,"",IFERROR(IF(C275/N275&lt;=用語集!$B$22,"◎ 許容内","✗ 超過"),"—"))</f>
        <v>—</v>
      </c>
      <c r="R275" s="39" t="str">
        <f aca="false">IFERROR(用語集!$B$22/P275,"")</f>
        <v/>
      </c>
    </row>
    <row r="276" customFormat="false" ht="15" hidden="false" customHeight="false" outlineLevel="0" collapsed="false">
      <c r="A276" s="34" t="s">
        <v>152</v>
      </c>
      <c r="B276" s="35" t="s">
        <v>153</v>
      </c>
      <c r="C276" s="41" t="str">
        <f aca="false">IF(COUNTIFS(日次入力!$A$4:$A$1500,"&gt;="&amp;DATE(2027,2,23),日次入力!$A$4:$A$1500,"&lt;="&amp;DATE(2027,3,1),日次入力!$C$4:$C$1500,"Google常設")=0,"",SUMIFS(日次入力!$D$4:$D$1500,日次入力!$A$4:$A$1500,"&gt;="&amp;DATE(2027,2,23),日次入力!$A$4:$A$1500,"&lt;="&amp;DATE(2027,3,1),日次入力!$C$4:$C$1500,"Google常設"))</f>
        <v/>
      </c>
      <c r="D276" s="42" t="str">
        <f aca="false">IF(COUNTIFS(日次入力!$A$4:$A$1500,"&gt;="&amp;DATE(2027,2,23),日次入力!$A$4:$A$1500,"&lt;="&amp;DATE(2027,3,1),日次入力!$C$4:$C$1500,"Google常設")=0,"",SUMIFS(日次入力!$E$4:$E$1500,日次入力!$A$4:$A$1500,"&gt;="&amp;DATE(2027,2,23),日次入力!$A$4:$A$1500,"&lt;="&amp;DATE(2027,3,1),日次入力!$C$4:$C$1500,"Google常設"))</f>
        <v/>
      </c>
      <c r="E276" s="42" t="str">
        <f aca="false">IF(COUNTIFS(日次入力!$A$4:$A$1500,"&gt;="&amp;DATE(2027,2,23),日次入力!$A$4:$A$1500,"&lt;="&amp;DATE(2027,3,1),日次入力!$C$4:$C$1500,"Google常設")=0,"",SUMIFS(日次入力!$F$4:$F$1500,日次入力!$A$4:$A$1500,"&gt;="&amp;DATE(2027,2,23),日次入力!$A$4:$A$1500,"&lt;="&amp;DATE(2027,3,1),日次入力!$C$4:$C$1500,"Google常設"))</f>
        <v/>
      </c>
      <c r="F276" s="42" t="str">
        <f aca="false">IF(COUNTIFS(日次入力!$A$4:$A$1500,"&gt;="&amp;DATE(2027,2,23),日次入力!$A$4:$A$1500,"&lt;="&amp;DATE(2027,3,1),日次入力!$C$4:$C$1500,"Google常設")=0,"",SUMIFS(日次入力!$G$4:$G$1500,日次入力!$A$4:$A$1500,"&gt;="&amp;DATE(2027,2,23),日次入力!$A$4:$A$1500,"&lt;="&amp;DATE(2027,3,1),日次入力!$C$4:$C$1500,"Google常設"))</f>
        <v/>
      </c>
      <c r="G276" s="15" t="str">
        <f aca="false">IFERROR(E276/D276,"")</f>
        <v/>
      </c>
      <c r="H276" s="37" t="str">
        <f aca="false">IFERROR(C276/E276,"")</f>
        <v/>
      </c>
      <c r="I276" s="37" t="str">
        <f aca="false">IFERROR(C276/D276*1000,"")</f>
        <v/>
      </c>
      <c r="J276" s="15" t="str">
        <f aca="false">IFERROR(F276/E276,"")</f>
        <v/>
      </c>
      <c r="K276" s="37" t="str">
        <f aca="false">IFERROR(C276/F276,"")</f>
        <v/>
      </c>
      <c r="L276" s="42" t="str">
        <f aca="false">IF(COUNTIFS(日次入力!$A$4:$A$1500,"&gt;="&amp;DATE(2027,2,23),日次入力!$A$4:$A$1500,"&lt;="&amp;DATE(2027,3,1),日次入力!$C$4:$C$1500,"Google常設")=0,"",SUMIFS(日次入力!$H$4:$H$1500,日次入力!$A$4:$A$1500,"&gt;="&amp;DATE(2027,2,23),日次入力!$A$4:$A$1500,"&lt;="&amp;DATE(2027,3,1),日次入力!$C$4:$C$1500,"Google常設"))</f>
        <v/>
      </c>
      <c r="M276" s="15" t="str">
        <f aca="false">IF(L276="","",IFERROR(L276/F276,""))</f>
        <v/>
      </c>
      <c r="N276" s="42" t="str">
        <f aca="false">IF(COUNTIFS(日次入力!$A$4:$A$1500,"&gt;="&amp;DATE(2027,2,23),日次入力!$A$4:$A$1500,"&lt;="&amp;DATE(2027,3,1),日次入力!$C$4:$C$1500,"Google常設")=0,"",SUMIFS(日次入力!$I$4:$I$1500,日次入力!$A$4:$A$1500,"&gt;="&amp;DATE(2027,2,23),日次入力!$A$4:$A$1500,"&lt;="&amp;DATE(2027,3,1),日次入力!$C$4:$C$1500,"Google常設"))</f>
        <v/>
      </c>
      <c r="O276" s="15" t="str">
        <f aca="false">IF(N276="","",IFERROR(N276/L276,""))</f>
        <v/>
      </c>
      <c r="P276" s="37" t="str">
        <f aca="false">IF(N276=0,"",IFERROR(C276/N276,""))</f>
        <v/>
      </c>
      <c r="Q276" s="38" t="str">
        <f aca="false">IF(N276=0,"",IFERROR(IF(C276/N276&lt;=用語集!$B$22,"◎ 許容内","✗ 超過"),"—"))</f>
        <v>—</v>
      </c>
      <c r="R276" s="39" t="str">
        <f aca="false">IFERROR(用語集!$B$22/P276,"")</f>
        <v/>
      </c>
    </row>
    <row r="277" customFormat="false" ht="15" hidden="false" customHeight="false" outlineLevel="0" collapsed="false">
      <c r="A277" s="34" t="s">
        <v>154</v>
      </c>
      <c r="B277" s="35" t="s">
        <v>155</v>
      </c>
      <c r="C277" s="41" t="str">
        <f aca="false">IF(COUNTIFS(日次入力!$A$4:$A$1500,"&gt;="&amp;DATE(2027,3,2),日次入力!$A$4:$A$1500,"&lt;="&amp;DATE(2027,3,8),日次入力!$C$4:$C$1500,"Google常設")=0,"",SUMIFS(日次入力!$D$4:$D$1500,日次入力!$A$4:$A$1500,"&gt;="&amp;DATE(2027,3,2),日次入力!$A$4:$A$1500,"&lt;="&amp;DATE(2027,3,8),日次入力!$C$4:$C$1500,"Google常設"))</f>
        <v/>
      </c>
      <c r="D277" s="42" t="str">
        <f aca="false">IF(COUNTIFS(日次入力!$A$4:$A$1500,"&gt;="&amp;DATE(2027,3,2),日次入力!$A$4:$A$1500,"&lt;="&amp;DATE(2027,3,8),日次入力!$C$4:$C$1500,"Google常設")=0,"",SUMIFS(日次入力!$E$4:$E$1500,日次入力!$A$4:$A$1500,"&gt;="&amp;DATE(2027,3,2),日次入力!$A$4:$A$1500,"&lt;="&amp;DATE(2027,3,8),日次入力!$C$4:$C$1500,"Google常設"))</f>
        <v/>
      </c>
      <c r="E277" s="42" t="str">
        <f aca="false">IF(COUNTIFS(日次入力!$A$4:$A$1500,"&gt;="&amp;DATE(2027,3,2),日次入力!$A$4:$A$1500,"&lt;="&amp;DATE(2027,3,8),日次入力!$C$4:$C$1500,"Google常設")=0,"",SUMIFS(日次入力!$F$4:$F$1500,日次入力!$A$4:$A$1500,"&gt;="&amp;DATE(2027,3,2),日次入力!$A$4:$A$1500,"&lt;="&amp;DATE(2027,3,8),日次入力!$C$4:$C$1500,"Google常設"))</f>
        <v/>
      </c>
      <c r="F277" s="42" t="str">
        <f aca="false">IF(COUNTIFS(日次入力!$A$4:$A$1500,"&gt;="&amp;DATE(2027,3,2),日次入力!$A$4:$A$1500,"&lt;="&amp;DATE(2027,3,8),日次入力!$C$4:$C$1500,"Google常設")=0,"",SUMIFS(日次入力!$G$4:$G$1500,日次入力!$A$4:$A$1500,"&gt;="&amp;DATE(2027,3,2),日次入力!$A$4:$A$1500,"&lt;="&amp;DATE(2027,3,8),日次入力!$C$4:$C$1500,"Google常設"))</f>
        <v/>
      </c>
      <c r="G277" s="15" t="str">
        <f aca="false">IFERROR(E277/D277,"")</f>
        <v/>
      </c>
      <c r="H277" s="37" t="str">
        <f aca="false">IFERROR(C277/E277,"")</f>
        <v/>
      </c>
      <c r="I277" s="37" t="str">
        <f aca="false">IFERROR(C277/D277*1000,"")</f>
        <v/>
      </c>
      <c r="J277" s="15" t="str">
        <f aca="false">IFERROR(F277/E277,"")</f>
        <v/>
      </c>
      <c r="K277" s="37" t="str">
        <f aca="false">IFERROR(C277/F277,"")</f>
        <v/>
      </c>
      <c r="L277" s="42" t="str">
        <f aca="false">IF(COUNTIFS(日次入力!$A$4:$A$1500,"&gt;="&amp;DATE(2027,3,2),日次入力!$A$4:$A$1500,"&lt;="&amp;DATE(2027,3,8),日次入力!$C$4:$C$1500,"Google常設")=0,"",SUMIFS(日次入力!$H$4:$H$1500,日次入力!$A$4:$A$1500,"&gt;="&amp;DATE(2027,3,2),日次入力!$A$4:$A$1500,"&lt;="&amp;DATE(2027,3,8),日次入力!$C$4:$C$1500,"Google常設"))</f>
        <v/>
      </c>
      <c r="M277" s="15" t="str">
        <f aca="false">IF(L277="","",IFERROR(L277/F277,""))</f>
        <v/>
      </c>
      <c r="N277" s="42" t="str">
        <f aca="false">IF(COUNTIFS(日次入力!$A$4:$A$1500,"&gt;="&amp;DATE(2027,3,2),日次入力!$A$4:$A$1500,"&lt;="&amp;DATE(2027,3,8),日次入力!$C$4:$C$1500,"Google常設")=0,"",SUMIFS(日次入力!$I$4:$I$1500,日次入力!$A$4:$A$1500,"&gt;="&amp;DATE(2027,3,2),日次入力!$A$4:$A$1500,"&lt;="&amp;DATE(2027,3,8),日次入力!$C$4:$C$1500,"Google常設"))</f>
        <v/>
      </c>
      <c r="O277" s="15" t="str">
        <f aca="false">IF(N277="","",IFERROR(N277/L277,""))</f>
        <v/>
      </c>
      <c r="P277" s="37" t="str">
        <f aca="false">IF(N277=0,"",IFERROR(C277/N277,""))</f>
        <v/>
      </c>
      <c r="Q277" s="38" t="str">
        <f aca="false">IF(N277=0,"",IFERROR(IF(C277/N277&lt;=用語集!$B$22,"◎ 許容内","✗ 超過"),"—"))</f>
        <v>—</v>
      </c>
      <c r="R277" s="39" t="str">
        <f aca="false">IFERROR(用語集!$B$22/P277,"")</f>
        <v/>
      </c>
    </row>
    <row r="278" customFormat="false" ht="15" hidden="false" customHeight="false" outlineLevel="0" collapsed="false">
      <c r="A278" s="34" t="s">
        <v>156</v>
      </c>
      <c r="B278" s="35" t="s">
        <v>157</v>
      </c>
      <c r="C278" s="41" t="str">
        <f aca="false">IF(COUNTIFS(日次入力!$A$4:$A$1500,"&gt;="&amp;DATE(2027,3,9),日次入力!$A$4:$A$1500,"&lt;="&amp;DATE(2027,3,15),日次入力!$C$4:$C$1500,"Google常設")=0,"",SUMIFS(日次入力!$D$4:$D$1500,日次入力!$A$4:$A$1500,"&gt;="&amp;DATE(2027,3,9),日次入力!$A$4:$A$1500,"&lt;="&amp;DATE(2027,3,15),日次入力!$C$4:$C$1500,"Google常設"))</f>
        <v/>
      </c>
      <c r="D278" s="42" t="str">
        <f aca="false">IF(COUNTIFS(日次入力!$A$4:$A$1500,"&gt;="&amp;DATE(2027,3,9),日次入力!$A$4:$A$1500,"&lt;="&amp;DATE(2027,3,15),日次入力!$C$4:$C$1500,"Google常設")=0,"",SUMIFS(日次入力!$E$4:$E$1500,日次入力!$A$4:$A$1500,"&gt;="&amp;DATE(2027,3,9),日次入力!$A$4:$A$1500,"&lt;="&amp;DATE(2027,3,15),日次入力!$C$4:$C$1500,"Google常設"))</f>
        <v/>
      </c>
      <c r="E278" s="42" t="str">
        <f aca="false">IF(COUNTIFS(日次入力!$A$4:$A$1500,"&gt;="&amp;DATE(2027,3,9),日次入力!$A$4:$A$1500,"&lt;="&amp;DATE(2027,3,15),日次入力!$C$4:$C$1500,"Google常設")=0,"",SUMIFS(日次入力!$F$4:$F$1500,日次入力!$A$4:$A$1500,"&gt;="&amp;DATE(2027,3,9),日次入力!$A$4:$A$1500,"&lt;="&amp;DATE(2027,3,15),日次入力!$C$4:$C$1500,"Google常設"))</f>
        <v/>
      </c>
      <c r="F278" s="42" t="str">
        <f aca="false">IF(COUNTIFS(日次入力!$A$4:$A$1500,"&gt;="&amp;DATE(2027,3,9),日次入力!$A$4:$A$1500,"&lt;="&amp;DATE(2027,3,15),日次入力!$C$4:$C$1500,"Google常設")=0,"",SUMIFS(日次入力!$G$4:$G$1500,日次入力!$A$4:$A$1500,"&gt;="&amp;DATE(2027,3,9),日次入力!$A$4:$A$1500,"&lt;="&amp;DATE(2027,3,15),日次入力!$C$4:$C$1500,"Google常設"))</f>
        <v/>
      </c>
      <c r="G278" s="15" t="str">
        <f aca="false">IFERROR(E278/D278,"")</f>
        <v/>
      </c>
      <c r="H278" s="37" t="str">
        <f aca="false">IFERROR(C278/E278,"")</f>
        <v/>
      </c>
      <c r="I278" s="37" t="str">
        <f aca="false">IFERROR(C278/D278*1000,"")</f>
        <v/>
      </c>
      <c r="J278" s="15" t="str">
        <f aca="false">IFERROR(F278/E278,"")</f>
        <v/>
      </c>
      <c r="K278" s="37" t="str">
        <f aca="false">IFERROR(C278/F278,"")</f>
        <v/>
      </c>
      <c r="L278" s="42" t="str">
        <f aca="false">IF(COUNTIFS(日次入力!$A$4:$A$1500,"&gt;="&amp;DATE(2027,3,9),日次入力!$A$4:$A$1500,"&lt;="&amp;DATE(2027,3,15),日次入力!$C$4:$C$1500,"Google常設")=0,"",SUMIFS(日次入力!$H$4:$H$1500,日次入力!$A$4:$A$1500,"&gt;="&amp;DATE(2027,3,9),日次入力!$A$4:$A$1500,"&lt;="&amp;DATE(2027,3,15),日次入力!$C$4:$C$1500,"Google常設"))</f>
        <v/>
      </c>
      <c r="M278" s="15" t="str">
        <f aca="false">IF(L278="","",IFERROR(L278/F278,""))</f>
        <v/>
      </c>
      <c r="N278" s="42" t="str">
        <f aca="false">IF(COUNTIFS(日次入力!$A$4:$A$1500,"&gt;="&amp;DATE(2027,3,9),日次入力!$A$4:$A$1500,"&lt;="&amp;DATE(2027,3,15),日次入力!$C$4:$C$1500,"Google常設")=0,"",SUMIFS(日次入力!$I$4:$I$1500,日次入力!$A$4:$A$1500,"&gt;="&amp;DATE(2027,3,9),日次入力!$A$4:$A$1500,"&lt;="&amp;DATE(2027,3,15),日次入力!$C$4:$C$1500,"Google常設"))</f>
        <v/>
      </c>
      <c r="O278" s="15" t="str">
        <f aca="false">IF(N278="","",IFERROR(N278/L278,""))</f>
        <v/>
      </c>
      <c r="P278" s="37" t="str">
        <f aca="false">IF(N278=0,"",IFERROR(C278/N278,""))</f>
        <v/>
      </c>
      <c r="Q278" s="38" t="str">
        <f aca="false">IF(N278=0,"",IFERROR(IF(C278/N278&lt;=用語集!$B$22,"◎ 許容内","✗ 超過"),"—"))</f>
        <v>—</v>
      </c>
      <c r="R278" s="39" t="str">
        <f aca="false">IFERROR(用語集!$B$22/P278,"")</f>
        <v/>
      </c>
    </row>
    <row r="279" customFormat="false" ht="15" hidden="false" customHeight="false" outlineLevel="0" collapsed="false">
      <c r="A279" s="34" t="s">
        <v>158</v>
      </c>
      <c r="B279" s="35" t="s">
        <v>159</v>
      </c>
      <c r="C279" s="41" t="str">
        <f aca="false">IF(COUNTIFS(日次入力!$A$4:$A$1500,"&gt;="&amp;DATE(2027,3,16),日次入力!$A$4:$A$1500,"&lt;="&amp;DATE(2027,3,22),日次入力!$C$4:$C$1500,"Google常設")=0,"",SUMIFS(日次入力!$D$4:$D$1500,日次入力!$A$4:$A$1500,"&gt;="&amp;DATE(2027,3,16),日次入力!$A$4:$A$1500,"&lt;="&amp;DATE(2027,3,22),日次入力!$C$4:$C$1500,"Google常設"))</f>
        <v/>
      </c>
      <c r="D279" s="42" t="str">
        <f aca="false">IF(COUNTIFS(日次入力!$A$4:$A$1500,"&gt;="&amp;DATE(2027,3,16),日次入力!$A$4:$A$1500,"&lt;="&amp;DATE(2027,3,22),日次入力!$C$4:$C$1500,"Google常設")=0,"",SUMIFS(日次入力!$E$4:$E$1500,日次入力!$A$4:$A$1500,"&gt;="&amp;DATE(2027,3,16),日次入力!$A$4:$A$1500,"&lt;="&amp;DATE(2027,3,22),日次入力!$C$4:$C$1500,"Google常設"))</f>
        <v/>
      </c>
      <c r="E279" s="42" t="str">
        <f aca="false">IF(COUNTIFS(日次入力!$A$4:$A$1500,"&gt;="&amp;DATE(2027,3,16),日次入力!$A$4:$A$1500,"&lt;="&amp;DATE(2027,3,22),日次入力!$C$4:$C$1500,"Google常設")=0,"",SUMIFS(日次入力!$F$4:$F$1500,日次入力!$A$4:$A$1500,"&gt;="&amp;DATE(2027,3,16),日次入力!$A$4:$A$1500,"&lt;="&amp;DATE(2027,3,22),日次入力!$C$4:$C$1500,"Google常設"))</f>
        <v/>
      </c>
      <c r="F279" s="42" t="str">
        <f aca="false">IF(COUNTIFS(日次入力!$A$4:$A$1500,"&gt;="&amp;DATE(2027,3,16),日次入力!$A$4:$A$1500,"&lt;="&amp;DATE(2027,3,22),日次入力!$C$4:$C$1500,"Google常設")=0,"",SUMIFS(日次入力!$G$4:$G$1500,日次入力!$A$4:$A$1500,"&gt;="&amp;DATE(2027,3,16),日次入力!$A$4:$A$1500,"&lt;="&amp;DATE(2027,3,22),日次入力!$C$4:$C$1500,"Google常設"))</f>
        <v/>
      </c>
      <c r="G279" s="15" t="str">
        <f aca="false">IFERROR(E279/D279,"")</f>
        <v/>
      </c>
      <c r="H279" s="37" t="str">
        <f aca="false">IFERROR(C279/E279,"")</f>
        <v/>
      </c>
      <c r="I279" s="37" t="str">
        <f aca="false">IFERROR(C279/D279*1000,"")</f>
        <v/>
      </c>
      <c r="J279" s="15" t="str">
        <f aca="false">IFERROR(F279/E279,"")</f>
        <v/>
      </c>
      <c r="K279" s="37" t="str">
        <f aca="false">IFERROR(C279/F279,"")</f>
        <v/>
      </c>
      <c r="L279" s="42" t="str">
        <f aca="false">IF(COUNTIFS(日次入力!$A$4:$A$1500,"&gt;="&amp;DATE(2027,3,16),日次入力!$A$4:$A$1500,"&lt;="&amp;DATE(2027,3,22),日次入力!$C$4:$C$1500,"Google常設")=0,"",SUMIFS(日次入力!$H$4:$H$1500,日次入力!$A$4:$A$1500,"&gt;="&amp;DATE(2027,3,16),日次入力!$A$4:$A$1500,"&lt;="&amp;DATE(2027,3,22),日次入力!$C$4:$C$1500,"Google常設"))</f>
        <v/>
      </c>
      <c r="M279" s="15" t="str">
        <f aca="false">IF(L279="","",IFERROR(L279/F279,""))</f>
        <v/>
      </c>
      <c r="N279" s="42" t="str">
        <f aca="false">IF(COUNTIFS(日次入力!$A$4:$A$1500,"&gt;="&amp;DATE(2027,3,16),日次入力!$A$4:$A$1500,"&lt;="&amp;DATE(2027,3,22),日次入力!$C$4:$C$1500,"Google常設")=0,"",SUMIFS(日次入力!$I$4:$I$1500,日次入力!$A$4:$A$1500,"&gt;="&amp;DATE(2027,3,16),日次入力!$A$4:$A$1500,"&lt;="&amp;DATE(2027,3,22),日次入力!$C$4:$C$1500,"Google常設"))</f>
        <v/>
      </c>
      <c r="O279" s="15" t="str">
        <f aca="false">IF(N279="","",IFERROR(N279/L279,""))</f>
        <v/>
      </c>
      <c r="P279" s="37" t="str">
        <f aca="false">IF(N279=0,"",IFERROR(C279/N279,""))</f>
        <v/>
      </c>
      <c r="Q279" s="38" t="str">
        <f aca="false">IF(N279=0,"",IFERROR(IF(C279/N279&lt;=用語集!$B$22,"◎ 許容内","✗ 超過"),"—"))</f>
        <v>—</v>
      </c>
      <c r="R279" s="39" t="str">
        <f aca="false">IFERROR(用語集!$B$22/P279,"")</f>
        <v/>
      </c>
    </row>
    <row r="280" customFormat="false" ht="15" hidden="false" customHeight="false" outlineLevel="0" collapsed="false">
      <c r="A280" s="34" t="s">
        <v>160</v>
      </c>
      <c r="B280" s="35" t="s">
        <v>161</v>
      </c>
      <c r="C280" s="41" t="str">
        <f aca="false">IF(COUNTIFS(日次入力!$A$4:$A$1500,"&gt;="&amp;DATE(2027,3,23),日次入力!$A$4:$A$1500,"&lt;="&amp;DATE(2027,3,29),日次入力!$C$4:$C$1500,"Google常設")=0,"",SUMIFS(日次入力!$D$4:$D$1500,日次入力!$A$4:$A$1500,"&gt;="&amp;DATE(2027,3,23),日次入力!$A$4:$A$1500,"&lt;="&amp;DATE(2027,3,29),日次入力!$C$4:$C$1500,"Google常設"))</f>
        <v/>
      </c>
      <c r="D280" s="42" t="str">
        <f aca="false">IF(COUNTIFS(日次入力!$A$4:$A$1500,"&gt;="&amp;DATE(2027,3,23),日次入力!$A$4:$A$1500,"&lt;="&amp;DATE(2027,3,29),日次入力!$C$4:$C$1500,"Google常設")=0,"",SUMIFS(日次入力!$E$4:$E$1500,日次入力!$A$4:$A$1500,"&gt;="&amp;DATE(2027,3,23),日次入力!$A$4:$A$1500,"&lt;="&amp;DATE(2027,3,29),日次入力!$C$4:$C$1500,"Google常設"))</f>
        <v/>
      </c>
      <c r="E280" s="42" t="str">
        <f aca="false">IF(COUNTIFS(日次入力!$A$4:$A$1500,"&gt;="&amp;DATE(2027,3,23),日次入力!$A$4:$A$1500,"&lt;="&amp;DATE(2027,3,29),日次入力!$C$4:$C$1500,"Google常設")=0,"",SUMIFS(日次入力!$F$4:$F$1500,日次入力!$A$4:$A$1500,"&gt;="&amp;DATE(2027,3,23),日次入力!$A$4:$A$1500,"&lt;="&amp;DATE(2027,3,29),日次入力!$C$4:$C$1500,"Google常設"))</f>
        <v/>
      </c>
      <c r="F280" s="42" t="str">
        <f aca="false">IF(COUNTIFS(日次入力!$A$4:$A$1500,"&gt;="&amp;DATE(2027,3,23),日次入力!$A$4:$A$1500,"&lt;="&amp;DATE(2027,3,29),日次入力!$C$4:$C$1500,"Google常設")=0,"",SUMIFS(日次入力!$G$4:$G$1500,日次入力!$A$4:$A$1500,"&gt;="&amp;DATE(2027,3,23),日次入力!$A$4:$A$1500,"&lt;="&amp;DATE(2027,3,29),日次入力!$C$4:$C$1500,"Google常設"))</f>
        <v/>
      </c>
      <c r="G280" s="15" t="str">
        <f aca="false">IFERROR(E280/D280,"")</f>
        <v/>
      </c>
      <c r="H280" s="37" t="str">
        <f aca="false">IFERROR(C280/E280,"")</f>
        <v/>
      </c>
      <c r="I280" s="37" t="str">
        <f aca="false">IFERROR(C280/D280*1000,"")</f>
        <v/>
      </c>
      <c r="J280" s="15" t="str">
        <f aca="false">IFERROR(F280/E280,"")</f>
        <v/>
      </c>
      <c r="K280" s="37" t="str">
        <f aca="false">IFERROR(C280/F280,"")</f>
        <v/>
      </c>
      <c r="L280" s="42" t="str">
        <f aca="false">IF(COUNTIFS(日次入力!$A$4:$A$1500,"&gt;="&amp;DATE(2027,3,23),日次入力!$A$4:$A$1500,"&lt;="&amp;DATE(2027,3,29),日次入力!$C$4:$C$1500,"Google常設")=0,"",SUMIFS(日次入力!$H$4:$H$1500,日次入力!$A$4:$A$1500,"&gt;="&amp;DATE(2027,3,23),日次入力!$A$4:$A$1500,"&lt;="&amp;DATE(2027,3,29),日次入力!$C$4:$C$1500,"Google常設"))</f>
        <v/>
      </c>
      <c r="M280" s="15" t="str">
        <f aca="false">IF(L280="","",IFERROR(L280/F280,""))</f>
        <v/>
      </c>
      <c r="N280" s="42" t="str">
        <f aca="false">IF(COUNTIFS(日次入力!$A$4:$A$1500,"&gt;="&amp;DATE(2027,3,23),日次入力!$A$4:$A$1500,"&lt;="&amp;DATE(2027,3,29),日次入力!$C$4:$C$1500,"Google常設")=0,"",SUMIFS(日次入力!$I$4:$I$1500,日次入力!$A$4:$A$1500,"&gt;="&amp;DATE(2027,3,23),日次入力!$A$4:$A$1500,"&lt;="&amp;DATE(2027,3,29),日次入力!$C$4:$C$1500,"Google常設"))</f>
        <v/>
      </c>
      <c r="O280" s="15" t="str">
        <f aca="false">IF(N280="","",IFERROR(N280/L280,""))</f>
        <v/>
      </c>
      <c r="P280" s="37" t="str">
        <f aca="false">IF(N280=0,"",IFERROR(C280/N280,""))</f>
        <v/>
      </c>
      <c r="Q280" s="38" t="str">
        <f aca="false">IF(N280=0,"",IFERROR(IF(C280/N280&lt;=用語集!$B$22,"◎ 許容内","✗ 超過"),"—"))</f>
        <v>—</v>
      </c>
      <c r="R280" s="39" t="str">
        <f aca="false">IFERROR(用語集!$B$22/P280,"")</f>
        <v/>
      </c>
    </row>
    <row r="281" customFormat="false" ht="15" hidden="false" customHeight="false" outlineLevel="0" collapsed="false">
      <c r="A281" s="34" t="s">
        <v>162</v>
      </c>
      <c r="B281" s="35" t="s">
        <v>163</v>
      </c>
      <c r="C281" s="41" t="str">
        <f aca="false">IF(COUNTIFS(日次入力!$A$4:$A$1500,"&gt;="&amp;DATE(2027,3,30),日次入力!$A$4:$A$1500,"&lt;="&amp;DATE(2027,4,5),日次入力!$C$4:$C$1500,"Google常設")=0,"",SUMIFS(日次入力!$D$4:$D$1500,日次入力!$A$4:$A$1500,"&gt;="&amp;DATE(2027,3,30),日次入力!$A$4:$A$1500,"&lt;="&amp;DATE(2027,4,5),日次入力!$C$4:$C$1500,"Google常設"))</f>
        <v/>
      </c>
      <c r="D281" s="42" t="str">
        <f aca="false">IF(COUNTIFS(日次入力!$A$4:$A$1500,"&gt;="&amp;DATE(2027,3,30),日次入力!$A$4:$A$1500,"&lt;="&amp;DATE(2027,4,5),日次入力!$C$4:$C$1500,"Google常設")=0,"",SUMIFS(日次入力!$E$4:$E$1500,日次入力!$A$4:$A$1500,"&gt;="&amp;DATE(2027,3,30),日次入力!$A$4:$A$1500,"&lt;="&amp;DATE(2027,4,5),日次入力!$C$4:$C$1500,"Google常設"))</f>
        <v/>
      </c>
      <c r="E281" s="42" t="str">
        <f aca="false">IF(COUNTIFS(日次入力!$A$4:$A$1500,"&gt;="&amp;DATE(2027,3,30),日次入力!$A$4:$A$1500,"&lt;="&amp;DATE(2027,4,5),日次入力!$C$4:$C$1500,"Google常設")=0,"",SUMIFS(日次入力!$F$4:$F$1500,日次入力!$A$4:$A$1500,"&gt;="&amp;DATE(2027,3,30),日次入力!$A$4:$A$1500,"&lt;="&amp;DATE(2027,4,5),日次入力!$C$4:$C$1500,"Google常設"))</f>
        <v/>
      </c>
      <c r="F281" s="42" t="str">
        <f aca="false">IF(COUNTIFS(日次入力!$A$4:$A$1500,"&gt;="&amp;DATE(2027,3,30),日次入力!$A$4:$A$1500,"&lt;="&amp;DATE(2027,4,5),日次入力!$C$4:$C$1500,"Google常設")=0,"",SUMIFS(日次入力!$G$4:$G$1500,日次入力!$A$4:$A$1500,"&gt;="&amp;DATE(2027,3,30),日次入力!$A$4:$A$1500,"&lt;="&amp;DATE(2027,4,5),日次入力!$C$4:$C$1500,"Google常設"))</f>
        <v/>
      </c>
      <c r="G281" s="15" t="str">
        <f aca="false">IFERROR(E281/D281,"")</f>
        <v/>
      </c>
      <c r="H281" s="37" t="str">
        <f aca="false">IFERROR(C281/E281,"")</f>
        <v/>
      </c>
      <c r="I281" s="37" t="str">
        <f aca="false">IFERROR(C281/D281*1000,"")</f>
        <v/>
      </c>
      <c r="J281" s="15" t="str">
        <f aca="false">IFERROR(F281/E281,"")</f>
        <v/>
      </c>
      <c r="K281" s="37" t="str">
        <f aca="false">IFERROR(C281/F281,"")</f>
        <v/>
      </c>
      <c r="L281" s="42" t="str">
        <f aca="false">IF(COUNTIFS(日次入力!$A$4:$A$1500,"&gt;="&amp;DATE(2027,3,30),日次入力!$A$4:$A$1500,"&lt;="&amp;DATE(2027,4,5),日次入力!$C$4:$C$1500,"Google常設")=0,"",SUMIFS(日次入力!$H$4:$H$1500,日次入力!$A$4:$A$1500,"&gt;="&amp;DATE(2027,3,30),日次入力!$A$4:$A$1500,"&lt;="&amp;DATE(2027,4,5),日次入力!$C$4:$C$1500,"Google常設"))</f>
        <v/>
      </c>
      <c r="M281" s="15" t="str">
        <f aca="false">IF(L281="","",IFERROR(L281/F281,""))</f>
        <v/>
      </c>
      <c r="N281" s="42" t="str">
        <f aca="false">IF(COUNTIFS(日次入力!$A$4:$A$1500,"&gt;="&amp;DATE(2027,3,30),日次入力!$A$4:$A$1500,"&lt;="&amp;DATE(2027,4,5),日次入力!$C$4:$C$1500,"Google常設")=0,"",SUMIFS(日次入力!$I$4:$I$1500,日次入力!$A$4:$A$1500,"&gt;="&amp;DATE(2027,3,30),日次入力!$A$4:$A$1500,"&lt;="&amp;DATE(2027,4,5),日次入力!$C$4:$C$1500,"Google常設"))</f>
        <v/>
      </c>
      <c r="O281" s="15" t="str">
        <f aca="false">IF(N281="","",IFERROR(N281/L281,""))</f>
        <v/>
      </c>
      <c r="P281" s="37" t="str">
        <f aca="false">IF(N281=0,"",IFERROR(C281/N281,""))</f>
        <v/>
      </c>
      <c r="Q281" s="38" t="str">
        <f aca="false">IF(N281=0,"",IFERROR(IF(C281/N281&lt;=用語集!$B$22,"◎ 許容内","✗ 超過"),"—"))</f>
        <v>—</v>
      </c>
      <c r="R281" s="39" t="str">
        <f aca="false">IFERROR(用語集!$B$22/P281,"")</f>
        <v/>
      </c>
    </row>
    <row r="282" customFormat="false" ht="15" hidden="false" customHeight="false" outlineLevel="0" collapsed="false">
      <c r="A282" s="43" t="s">
        <v>164</v>
      </c>
      <c r="B282" s="44"/>
      <c r="C282" s="45" t="n">
        <f aca="false">SUM(C230:C281)</f>
        <v>24189</v>
      </c>
      <c r="D282" s="46" t="n">
        <f aca="false">SUM(D230:D281)</f>
        <v>948</v>
      </c>
      <c r="E282" s="46" t="n">
        <f aca="false">SUM(E230:E281)</f>
        <v>376</v>
      </c>
      <c r="F282" s="46" t="n">
        <f aca="false">SUM(F230:F281)</f>
        <v>6</v>
      </c>
      <c r="G282" s="47" t="n">
        <f aca="false">IFERROR(E282/D282,"")</f>
        <v>0.39662447257384</v>
      </c>
      <c r="H282" s="45" t="n">
        <f aca="false">IFERROR(C282/E282,"")</f>
        <v>64.3324468085106</v>
      </c>
      <c r="I282" s="45" t="n">
        <f aca="false">IFERROR(C282/D282*1000,"")</f>
        <v>25515.8227848101</v>
      </c>
      <c r="J282" s="47" t="n">
        <f aca="false">IFERROR(F282/D282,"")</f>
        <v>0.00632911392405063</v>
      </c>
      <c r="K282" s="45" t="n">
        <f aca="false">IFERROR(C282/F282,"")</f>
        <v>4031.5</v>
      </c>
      <c r="L282" s="46" t="n">
        <f aca="false">SUM(L230:L281)</f>
        <v>0</v>
      </c>
      <c r="M282" s="47" t="str">
        <f aca="false">IF(L282=0,"",IFERROR(L282/F282,""))</f>
        <v/>
      </c>
      <c r="N282" s="46" t="n">
        <f aca="false">SUM(N230:N281)</f>
        <v>0</v>
      </c>
      <c r="O282" s="47" t="str">
        <f aca="false">IF(L282=0,"",IFERROR(N282/L282,""))</f>
        <v/>
      </c>
      <c r="P282" s="45" t="str">
        <f aca="false">IF(N282=0,"",IFERROR(C282/N282,""))</f>
        <v/>
      </c>
      <c r="Q282" s="43" t="str">
        <f aca="false">IF(N282=0,"",IFERROR(IF(C282/N282&lt;=用語集!$B$22,"◎ 許容内","✗ 超過"),"—"))</f>
        <v/>
      </c>
      <c r="R282" s="48" t="str">
        <f aca="false">IFERROR(用語集!$B$22/P282,"")</f>
        <v/>
      </c>
    </row>
    <row r="284" customFormat="false" ht="17.15" hidden="false" customHeight="false" outlineLevel="0" collapsed="false">
      <c r="A284" s="31" t="s">
        <v>169</v>
      </c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</row>
    <row r="285" customFormat="false" ht="25.5" hidden="false" customHeight="true" outlineLevel="0" collapsed="false">
      <c r="A285" s="32" t="s">
        <v>48</v>
      </c>
      <c r="B285" s="32" t="s">
        <v>49</v>
      </c>
      <c r="C285" s="32" t="s">
        <v>35</v>
      </c>
      <c r="D285" s="33" t="s">
        <v>36</v>
      </c>
      <c r="E285" s="32" t="s">
        <v>37</v>
      </c>
      <c r="F285" s="33" t="s">
        <v>38</v>
      </c>
      <c r="G285" s="33" t="s">
        <v>50</v>
      </c>
      <c r="H285" s="33" t="s">
        <v>51</v>
      </c>
      <c r="I285" s="33" t="s">
        <v>52</v>
      </c>
      <c r="J285" s="33" t="s">
        <v>53</v>
      </c>
      <c r="K285" s="33" t="s">
        <v>54</v>
      </c>
      <c r="L285" s="32" t="s">
        <v>39</v>
      </c>
      <c r="M285" s="32" t="s">
        <v>55</v>
      </c>
      <c r="N285" s="32" t="s">
        <v>40</v>
      </c>
      <c r="O285" s="32" t="s">
        <v>23</v>
      </c>
      <c r="P285" s="33" t="s">
        <v>56</v>
      </c>
      <c r="Q285" s="32" t="s">
        <v>57</v>
      </c>
      <c r="R285" s="32" t="s">
        <v>58</v>
      </c>
    </row>
    <row r="286" customFormat="false" ht="15" hidden="false" customHeight="false" outlineLevel="0" collapsed="false">
      <c r="A286" s="34" t="s">
        <v>59</v>
      </c>
      <c r="B286" s="35" t="s">
        <v>60</v>
      </c>
      <c r="C286" s="36" t="n">
        <v>13144</v>
      </c>
      <c r="D286" s="12" t="n">
        <v>274591</v>
      </c>
      <c r="E286" s="12" t="n">
        <v>11891</v>
      </c>
      <c r="F286" s="12" t="n">
        <v>0</v>
      </c>
      <c r="G286" s="15" t="n">
        <f aca="false">IFERROR(E286/D286,"")</f>
        <v>0.0433044054612132</v>
      </c>
      <c r="H286" s="37" t="n">
        <f aca="false">IFERROR(C286/E286,"")</f>
        <v>1.10537381212682</v>
      </c>
      <c r="I286" s="37" t="n">
        <f aca="false">IFERROR(C286/D286*1000,"")</f>
        <v>47.8675557465467</v>
      </c>
      <c r="J286" s="15" t="n">
        <f aca="false">IFERROR(F286/E286,"")</f>
        <v>0</v>
      </c>
      <c r="K286" s="37" t="str">
        <f aca="false">IFERROR(C286/F286,"")</f>
        <v/>
      </c>
      <c r="L286" s="12"/>
      <c r="M286" s="15" t="str">
        <f aca="false">IF(L286="","",IFERROR(L286/F286,""))</f>
        <v/>
      </c>
      <c r="N286" s="12"/>
      <c r="O286" s="15" t="str">
        <f aca="false">IF(N286="","",IFERROR(N286/L286,""))</f>
        <v/>
      </c>
      <c r="P286" s="37" t="str">
        <f aca="false">IF(N286=0,"",IFERROR(C286/N286,""))</f>
        <v/>
      </c>
      <c r="Q286" s="38" t="str">
        <f aca="false">IF(N286=0,"",IFERROR(IF(C286/N286&lt;=用語集!$B$22,"◎ 許容内","✗ 超過"),"—"))</f>
        <v/>
      </c>
      <c r="R286" s="39" t="str">
        <f aca="false">IFERROR(用語集!$B$22/P286,"")</f>
        <v/>
      </c>
    </row>
    <row r="287" customFormat="false" ht="15" hidden="false" customHeight="false" outlineLevel="0" collapsed="false">
      <c r="A287" s="34" t="s">
        <v>61</v>
      </c>
      <c r="B287" s="35" t="s">
        <v>62</v>
      </c>
      <c r="C287" s="36" t="n">
        <v>13490</v>
      </c>
      <c r="D287" s="12" t="n">
        <v>277527</v>
      </c>
      <c r="E287" s="12" t="n">
        <v>15130</v>
      </c>
      <c r="F287" s="12" t="n">
        <v>0</v>
      </c>
      <c r="G287" s="15" t="n">
        <f aca="false">IFERROR(E287/D287,"")</f>
        <v>0.0545172181445409</v>
      </c>
      <c r="H287" s="37" t="n">
        <f aca="false">IFERROR(C287/E287,"")</f>
        <v>0.891606080634501</v>
      </c>
      <c r="I287" s="37" t="n">
        <f aca="false">IFERROR(C287/D287*1000,"")</f>
        <v>48.6078831969502</v>
      </c>
      <c r="J287" s="15" t="n">
        <f aca="false">IFERROR(F287/E287,"")</f>
        <v>0</v>
      </c>
      <c r="K287" s="37" t="str">
        <f aca="false">IFERROR(C287/F287,"")</f>
        <v/>
      </c>
      <c r="L287" s="12"/>
      <c r="M287" s="15" t="str">
        <f aca="false">IF(L287="","",IFERROR(L287/F287,""))</f>
        <v/>
      </c>
      <c r="N287" s="12"/>
      <c r="O287" s="15" t="str">
        <f aca="false">IF(N287="","",IFERROR(N287/L287,""))</f>
        <v/>
      </c>
      <c r="P287" s="37" t="str">
        <f aca="false">IF(N287=0,"",IFERROR(C287/N287,""))</f>
        <v/>
      </c>
      <c r="Q287" s="38" t="str">
        <f aca="false">IF(N287=0,"",IFERROR(IF(C287/N287&lt;=用語集!$B$22,"◎ 許容内","✗ 超過"),"—"))</f>
        <v/>
      </c>
      <c r="R287" s="39" t="str">
        <f aca="false">IFERROR(用語集!$B$22/P287,"")</f>
        <v/>
      </c>
    </row>
    <row r="288" customFormat="false" ht="15" hidden="false" customHeight="false" outlineLevel="0" collapsed="false">
      <c r="A288" s="34" t="s">
        <v>63</v>
      </c>
      <c r="B288" s="35" t="s">
        <v>64</v>
      </c>
      <c r="C288" s="36" t="n">
        <v>19971</v>
      </c>
      <c r="D288" s="12" t="n">
        <v>269611</v>
      </c>
      <c r="E288" s="12" t="n">
        <v>14256</v>
      </c>
      <c r="F288" s="12" t="n">
        <v>0</v>
      </c>
      <c r="G288" s="15" t="n">
        <f aca="false">IFERROR(E288/D288,"")</f>
        <v>0.0528761808679913</v>
      </c>
      <c r="H288" s="37" t="n">
        <f aca="false">IFERROR(C288/E288,"")</f>
        <v>1.40088383838384</v>
      </c>
      <c r="I288" s="37" t="n">
        <f aca="false">IFERROR(C288/D288*1000,"")</f>
        <v>74.0733872134297</v>
      </c>
      <c r="J288" s="15" t="n">
        <f aca="false">IFERROR(F288/E288,"")</f>
        <v>0</v>
      </c>
      <c r="K288" s="37" t="str">
        <f aca="false">IFERROR(C288/F288,"")</f>
        <v/>
      </c>
      <c r="L288" s="12"/>
      <c r="M288" s="15" t="str">
        <f aca="false">IF(L288="","",IFERROR(L288/F288,""))</f>
        <v/>
      </c>
      <c r="N288" s="12"/>
      <c r="O288" s="15" t="str">
        <f aca="false">IF(N288="","",IFERROR(N288/L288,""))</f>
        <v/>
      </c>
      <c r="P288" s="37" t="str">
        <f aca="false">IF(N288=0,"",IFERROR(C288/N288,""))</f>
        <v/>
      </c>
      <c r="Q288" s="38" t="str">
        <f aca="false">IF(N288=0,"",IFERROR(IF(C288/N288&lt;=用語集!$B$22,"◎ 許容内","✗ 超過"),"—"))</f>
        <v/>
      </c>
      <c r="R288" s="39" t="str">
        <f aca="false">IFERROR(用語集!$B$22/P288,"")</f>
        <v/>
      </c>
    </row>
    <row r="289" customFormat="false" ht="15" hidden="false" customHeight="false" outlineLevel="0" collapsed="false">
      <c r="A289" s="34" t="s">
        <v>65</v>
      </c>
      <c r="B289" s="35" t="s">
        <v>66</v>
      </c>
      <c r="C289" s="40" t="s">
        <v>67</v>
      </c>
      <c r="D289" s="13"/>
      <c r="E289" s="13"/>
      <c r="F289" s="13"/>
      <c r="G289" s="15" t="str">
        <f aca="false">IFERROR(E289/D289,"")</f>
        <v/>
      </c>
      <c r="H289" s="37" t="str">
        <f aca="false">IFERROR(C289/E289,"")</f>
        <v/>
      </c>
      <c r="I289" s="37" t="str">
        <f aca="false">IFERROR(C289/D289*1000,"")</f>
        <v/>
      </c>
      <c r="J289" s="15" t="str">
        <f aca="false">IFERROR(F289/E289,"")</f>
        <v/>
      </c>
      <c r="K289" s="37" t="str">
        <f aca="false">IFERROR(C289/F289,"")</f>
        <v/>
      </c>
      <c r="L289" s="12"/>
      <c r="M289" s="15" t="str">
        <f aca="false">IF(L289="","",IFERROR(L289/F289,""))</f>
        <v/>
      </c>
      <c r="N289" s="12"/>
      <c r="O289" s="15" t="str">
        <f aca="false">IF(N289="","",IFERROR(N289/L289,""))</f>
        <v/>
      </c>
      <c r="P289" s="37" t="str">
        <f aca="false">IF(N289=0,"",IFERROR(C289/N289,""))</f>
        <v/>
      </c>
      <c r="Q289" s="38" t="str">
        <f aca="false">IF(N289=0,"",IFERROR(IF(C289/N289&lt;=用語集!$B$22,"◎ 許容内","✗ 超過"),"—"))</f>
        <v/>
      </c>
      <c r="R289" s="39" t="str">
        <f aca="false">IFERROR(用語集!$B$22/P289,"")</f>
        <v/>
      </c>
    </row>
    <row r="290" customFormat="false" ht="15" hidden="false" customHeight="false" outlineLevel="0" collapsed="false">
      <c r="A290" s="34" t="s">
        <v>68</v>
      </c>
      <c r="B290" s="35" t="s">
        <v>69</v>
      </c>
      <c r="C290" s="40" t="s">
        <v>67</v>
      </c>
      <c r="D290" s="13"/>
      <c r="E290" s="13"/>
      <c r="F290" s="13"/>
      <c r="G290" s="15" t="str">
        <f aca="false">IFERROR(E290/D290,"")</f>
        <v/>
      </c>
      <c r="H290" s="37" t="str">
        <f aca="false">IFERROR(C290/E290,"")</f>
        <v/>
      </c>
      <c r="I290" s="37" t="str">
        <f aca="false">IFERROR(C290/D290*1000,"")</f>
        <v/>
      </c>
      <c r="J290" s="15" t="str">
        <f aca="false">IFERROR(F290/E290,"")</f>
        <v/>
      </c>
      <c r="K290" s="37" t="str">
        <f aca="false">IFERROR(C290/F290,"")</f>
        <v/>
      </c>
      <c r="L290" s="12"/>
      <c r="M290" s="15" t="str">
        <f aca="false">IF(L290="","",IFERROR(L290/F290,""))</f>
        <v/>
      </c>
      <c r="N290" s="12"/>
      <c r="O290" s="15" t="str">
        <f aca="false">IF(N290="","",IFERROR(N290/L290,""))</f>
        <v/>
      </c>
      <c r="P290" s="37" t="str">
        <f aca="false">IF(N290=0,"",IFERROR(C290/N290,""))</f>
        <v/>
      </c>
      <c r="Q290" s="38" t="str">
        <f aca="false">IF(N290=0,"",IFERROR(IF(C290/N290&lt;=用語集!$B$22,"◎ 許容内","✗ 超過"),"—"))</f>
        <v/>
      </c>
      <c r="R290" s="39" t="str">
        <f aca="false">IFERROR(用語集!$B$22/P290,"")</f>
        <v/>
      </c>
    </row>
    <row r="291" customFormat="false" ht="15" hidden="false" customHeight="false" outlineLevel="0" collapsed="false">
      <c r="A291" s="34" t="s">
        <v>70</v>
      </c>
      <c r="B291" s="35" t="s">
        <v>71</v>
      </c>
      <c r="C291" s="40" t="s">
        <v>67</v>
      </c>
      <c r="D291" s="13"/>
      <c r="E291" s="13"/>
      <c r="F291" s="13"/>
      <c r="G291" s="15" t="str">
        <f aca="false">IFERROR(E291/D291,"")</f>
        <v/>
      </c>
      <c r="H291" s="37" t="str">
        <f aca="false">IFERROR(C291/E291,"")</f>
        <v/>
      </c>
      <c r="I291" s="37" t="str">
        <f aca="false">IFERROR(C291/D291*1000,"")</f>
        <v/>
      </c>
      <c r="J291" s="15" t="str">
        <f aca="false">IFERROR(F291/E291,"")</f>
        <v/>
      </c>
      <c r="K291" s="37" t="str">
        <f aca="false">IFERROR(C291/F291,"")</f>
        <v/>
      </c>
      <c r="L291" s="12"/>
      <c r="M291" s="15" t="str">
        <f aca="false">IF(L291="","",IFERROR(L291/F291,""))</f>
        <v/>
      </c>
      <c r="N291" s="12"/>
      <c r="O291" s="15" t="str">
        <f aca="false">IF(N291="","",IFERROR(N291/L291,""))</f>
        <v/>
      </c>
      <c r="P291" s="37" t="str">
        <f aca="false">IF(N291=0,"",IFERROR(C291/N291,""))</f>
        <v/>
      </c>
      <c r="Q291" s="38" t="str">
        <f aca="false">IF(N291=0,"",IFERROR(IF(C291/N291&lt;=用語集!$B$22,"◎ 許容内","✗ 超過"),"—"))</f>
        <v/>
      </c>
      <c r="R291" s="39" t="str">
        <f aca="false">IFERROR(用語集!$B$22/P291,"")</f>
        <v/>
      </c>
    </row>
    <row r="292" customFormat="false" ht="15" hidden="false" customHeight="false" outlineLevel="0" collapsed="false">
      <c r="A292" s="34" t="s">
        <v>72</v>
      </c>
      <c r="B292" s="35" t="s">
        <v>73</v>
      </c>
      <c r="C292" s="40" t="s">
        <v>67</v>
      </c>
      <c r="D292" s="13"/>
      <c r="E292" s="13"/>
      <c r="F292" s="13"/>
      <c r="G292" s="15" t="str">
        <f aca="false">IFERROR(E292/D292,"")</f>
        <v/>
      </c>
      <c r="H292" s="37" t="str">
        <f aca="false">IFERROR(C292/E292,"")</f>
        <v/>
      </c>
      <c r="I292" s="37" t="str">
        <f aca="false">IFERROR(C292/D292*1000,"")</f>
        <v/>
      </c>
      <c r="J292" s="15" t="str">
        <f aca="false">IFERROR(F292/E292,"")</f>
        <v/>
      </c>
      <c r="K292" s="37" t="str">
        <f aca="false">IFERROR(C292/F292,"")</f>
        <v/>
      </c>
      <c r="L292" s="12"/>
      <c r="M292" s="15" t="str">
        <f aca="false">IF(L292="","",IFERROR(L292/F292,""))</f>
        <v/>
      </c>
      <c r="N292" s="12"/>
      <c r="O292" s="15" t="str">
        <f aca="false">IF(N292="","",IFERROR(N292/L292,""))</f>
        <v/>
      </c>
      <c r="P292" s="37" t="str">
        <f aca="false">IF(N292=0,"",IFERROR(C292/N292,""))</f>
        <v/>
      </c>
      <c r="Q292" s="38" t="str">
        <f aca="false">IF(N292=0,"",IFERROR(IF(C292/N292&lt;=用語集!$B$22,"◎ 許容内","✗ 超過"),"—"))</f>
        <v/>
      </c>
      <c r="R292" s="39" t="str">
        <f aca="false">IFERROR(用語集!$B$22/P292,"")</f>
        <v/>
      </c>
    </row>
    <row r="293" customFormat="false" ht="15" hidden="false" customHeight="false" outlineLevel="0" collapsed="false">
      <c r="A293" s="34" t="s">
        <v>74</v>
      </c>
      <c r="B293" s="35" t="s">
        <v>75</v>
      </c>
      <c r="C293" s="40" t="s">
        <v>67</v>
      </c>
      <c r="D293" s="13"/>
      <c r="E293" s="13"/>
      <c r="F293" s="13"/>
      <c r="G293" s="15" t="str">
        <f aca="false">IFERROR(E293/D293,"")</f>
        <v/>
      </c>
      <c r="H293" s="37" t="str">
        <f aca="false">IFERROR(C293/E293,"")</f>
        <v/>
      </c>
      <c r="I293" s="37" t="str">
        <f aca="false">IFERROR(C293/D293*1000,"")</f>
        <v/>
      </c>
      <c r="J293" s="15" t="str">
        <f aca="false">IFERROR(F293/E293,"")</f>
        <v/>
      </c>
      <c r="K293" s="37" t="str">
        <f aca="false">IFERROR(C293/F293,"")</f>
        <v/>
      </c>
      <c r="L293" s="12"/>
      <c r="M293" s="15" t="str">
        <f aca="false">IF(L293="","",IFERROR(L293/F293,""))</f>
        <v/>
      </c>
      <c r="N293" s="12"/>
      <c r="O293" s="15" t="str">
        <f aca="false">IF(N293="","",IFERROR(N293/L293,""))</f>
        <v/>
      </c>
      <c r="P293" s="37" t="str">
        <f aca="false">IF(N293=0,"",IFERROR(C293/N293,""))</f>
        <v/>
      </c>
      <c r="Q293" s="38" t="str">
        <f aca="false">IF(N293=0,"",IFERROR(IF(C293/N293&lt;=用語集!$B$22,"◎ 許容内","✗ 超過"),"—"))</f>
        <v/>
      </c>
      <c r="R293" s="39" t="str">
        <f aca="false">IFERROR(用語集!$B$22/P293,"")</f>
        <v/>
      </c>
    </row>
    <row r="294" customFormat="false" ht="15" hidden="false" customHeight="false" outlineLevel="0" collapsed="false">
      <c r="A294" s="34" t="s">
        <v>76</v>
      </c>
      <c r="B294" s="35" t="s">
        <v>77</v>
      </c>
      <c r="C294" s="40" t="s">
        <v>67</v>
      </c>
      <c r="D294" s="13"/>
      <c r="E294" s="13"/>
      <c r="F294" s="13"/>
      <c r="G294" s="15" t="str">
        <f aca="false">IFERROR(E294/D294,"")</f>
        <v/>
      </c>
      <c r="H294" s="37" t="str">
        <f aca="false">IFERROR(C294/E294,"")</f>
        <v/>
      </c>
      <c r="I294" s="37" t="str">
        <f aca="false">IFERROR(C294/D294*1000,"")</f>
        <v/>
      </c>
      <c r="J294" s="15" t="str">
        <f aca="false">IFERROR(F294/E294,"")</f>
        <v/>
      </c>
      <c r="K294" s="37" t="str">
        <f aca="false">IFERROR(C294/F294,"")</f>
        <v/>
      </c>
      <c r="L294" s="12"/>
      <c r="M294" s="15" t="str">
        <f aca="false">IF(L294="","",IFERROR(L294/F294,""))</f>
        <v/>
      </c>
      <c r="N294" s="12"/>
      <c r="O294" s="15" t="str">
        <f aca="false">IF(N294="","",IFERROR(N294/L294,""))</f>
        <v/>
      </c>
      <c r="P294" s="37" t="str">
        <f aca="false">IF(N294=0,"",IFERROR(C294/N294,""))</f>
        <v/>
      </c>
      <c r="Q294" s="38" t="str">
        <f aca="false">IF(N294=0,"",IFERROR(IF(C294/N294&lt;=用語集!$B$22,"◎ 許容内","✗ 超過"),"—"))</f>
        <v/>
      </c>
      <c r="R294" s="39" t="str">
        <f aca="false">IFERROR(用語集!$B$22/P294,"")</f>
        <v/>
      </c>
    </row>
    <row r="295" customFormat="false" ht="15" hidden="false" customHeight="false" outlineLevel="0" collapsed="false">
      <c r="A295" s="34" t="s">
        <v>78</v>
      </c>
      <c r="B295" s="35" t="s">
        <v>79</v>
      </c>
      <c r="C295" s="41" t="str">
        <f aca="false">IF(COUNTIFS(日次入力!$A$4:$A$1500,"&gt;="&amp;DATE(2026,6,9),日次入力!$A$4:$A$1500,"&lt;="&amp;DATE(2026,6,15),日次入力!$C$4:$C$1500,"LINEウェビナー")=0,"",SUMIFS(日次入力!$D$4:$D$1500,日次入力!$A$4:$A$1500,"&gt;="&amp;DATE(2026,6,9),日次入力!$A$4:$A$1500,"&lt;="&amp;DATE(2026,6,15),日次入力!$C$4:$C$1500,"LINEウェビナー"))</f>
        <v/>
      </c>
      <c r="D295" s="42" t="str">
        <f aca="false">IF(COUNTIFS(日次入力!$A$4:$A$1500,"&gt;="&amp;DATE(2026,6,9),日次入力!$A$4:$A$1500,"&lt;="&amp;DATE(2026,6,15),日次入力!$C$4:$C$1500,"LINEウェビナー")=0,"",SUMIFS(日次入力!$E$4:$E$1500,日次入力!$A$4:$A$1500,"&gt;="&amp;DATE(2026,6,9),日次入力!$A$4:$A$1500,"&lt;="&amp;DATE(2026,6,15),日次入力!$C$4:$C$1500,"LINEウェビナー"))</f>
        <v/>
      </c>
      <c r="E295" s="42" t="str">
        <f aca="false">IF(COUNTIFS(日次入力!$A$4:$A$1500,"&gt;="&amp;DATE(2026,6,9),日次入力!$A$4:$A$1500,"&lt;="&amp;DATE(2026,6,15),日次入力!$C$4:$C$1500,"LINEウェビナー")=0,"",SUMIFS(日次入力!$F$4:$F$1500,日次入力!$A$4:$A$1500,"&gt;="&amp;DATE(2026,6,9),日次入力!$A$4:$A$1500,"&lt;="&amp;DATE(2026,6,15),日次入力!$C$4:$C$1500,"LINEウェビナー"))</f>
        <v/>
      </c>
      <c r="F295" s="42" t="str">
        <f aca="false">IF(COUNTIFS(日次入力!$A$4:$A$1500,"&gt;="&amp;DATE(2026,6,9),日次入力!$A$4:$A$1500,"&lt;="&amp;DATE(2026,6,15),日次入力!$C$4:$C$1500,"LINEウェビナー")=0,"",SUMIFS(日次入力!$G$4:$G$1500,日次入力!$A$4:$A$1500,"&gt;="&amp;DATE(2026,6,9),日次入力!$A$4:$A$1500,"&lt;="&amp;DATE(2026,6,15),日次入力!$C$4:$C$1500,"LINEウェビナー"))</f>
        <v/>
      </c>
      <c r="G295" s="15" t="str">
        <f aca="false">IFERROR(E295/D295,"")</f>
        <v/>
      </c>
      <c r="H295" s="37" t="str">
        <f aca="false">IFERROR(C295/E295,"")</f>
        <v/>
      </c>
      <c r="I295" s="37" t="str">
        <f aca="false">IFERROR(C295/D295*1000,"")</f>
        <v/>
      </c>
      <c r="J295" s="15" t="str">
        <f aca="false">IFERROR(F295/E295,"")</f>
        <v/>
      </c>
      <c r="K295" s="37" t="str">
        <f aca="false">IFERROR(C295/F295,"")</f>
        <v/>
      </c>
      <c r="L295" s="42" t="str">
        <f aca="false">IF(COUNTIFS(日次入力!$A$4:$A$1500,"&gt;="&amp;DATE(2026,6,9),日次入力!$A$4:$A$1500,"&lt;="&amp;DATE(2026,6,15),日次入力!$C$4:$C$1500,"LINEウェビナー")=0,"",SUMIFS(日次入力!$H$4:$H$1500,日次入力!$A$4:$A$1500,"&gt;="&amp;DATE(2026,6,9),日次入力!$A$4:$A$1500,"&lt;="&amp;DATE(2026,6,15),日次入力!$C$4:$C$1500,"LINEウェビナー"))</f>
        <v/>
      </c>
      <c r="M295" s="15" t="str">
        <f aca="false">IF(L295="","",IFERROR(L295/F295,""))</f>
        <v/>
      </c>
      <c r="N295" s="42" t="str">
        <f aca="false">IF(COUNTIFS(日次入力!$A$4:$A$1500,"&gt;="&amp;DATE(2026,6,9),日次入力!$A$4:$A$1500,"&lt;="&amp;DATE(2026,6,15),日次入力!$C$4:$C$1500,"LINEウェビナー")=0,"",SUMIFS(日次入力!$I$4:$I$1500,日次入力!$A$4:$A$1500,"&gt;="&amp;DATE(2026,6,9),日次入力!$A$4:$A$1500,"&lt;="&amp;DATE(2026,6,15),日次入力!$C$4:$C$1500,"LINEウェビナー"))</f>
        <v/>
      </c>
      <c r="O295" s="15" t="str">
        <f aca="false">IF(N295="","",IFERROR(N295/L295,""))</f>
        <v/>
      </c>
      <c r="P295" s="37" t="str">
        <f aca="false">IF(N295=0,"",IFERROR(C295/N295,""))</f>
        <v/>
      </c>
      <c r="Q295" s="38" t="str">
        <f aca="false">IF(N295=0,"",IFERROR(IF(C295/N295&lt;=用語集!$B$22,"◎ 許容内","✗ 超過"),"—"))</f>
        <v>—</v>
      </c>
      <c r="R295" s="39" t="str">
        <f aca="false">IFERROR(用語集!$B$22/P295,"")</f>
        <v/>
      </c>
    </row>
    <row r="296" customFormat="false" ht="15" hidden="false" customHeight="false" outlineLevel="0" collapsed="false">
      <c r="A296" s="34" t="s">
        <v>80</v>
      </c>
      <c r="B296" s="35" t="s">
        <v>81</v>
      </c>
      <c r="C296" s="41" t="str">
        <f aca="false">IF(COUNTIFS(日次入力!$A$4:$A$1500,"&gt;="&amp;DATE(2026,6,16),日次入力!$A$4:$A$1500,"&lt;="&amp;DATE(2026,6,22),日次入力!$C$4:$C$1500,"LINEウェビナー")=0,"",SUMIFS(日次入力!$D$4:$D$1500,日次入力!$A$4:$A$1500,"&gt;="&amp;DATE(2026,6,16),日次入力!$A$4:$A$1500,"&lt;="&amp;DATE(2026,6,22),日次入力!$C$4:$C$1500,"LINEウェビナー"))</f>
        <v/>
      </c>
      <c r="D296" s="42" t="str">
        <f aca="false">IF(COUNTIFS(日次入力!$A$4:$A$1500,"&gt;="&amp;DATE(2026,6,16),日次入力!$A$4:$A$1500,"&lt;="&amp;DATE(2026,6,22),日次入力!$C$4:$C$1500,"LINEウェビナー")=0,"",SUMIFS(日次入力!$E$4:$E$1500,日次入力!$A$4:$A$1500,"&gt;="&amp;DATE(2026,6,16),日次入力!$A$4:$A$1500,"&lt;="&amp;DATE(2026,6,22),日次入力!$C$4:$C$1500,"LINEウェビナー"))</f>
        <v/>
      </c>
      <c r="E296" s="42" t="str">
        <f aca="false">IF(COUNTIFS(日次入力!$A$4:$A$1500,"&gt;="&amp;DATE(2026,6,16),日次入力!$A$4:$A$1500,"&lt;="&amp;DATE(2026,6,22),日次入力!$C$4:$C$1500,"LINEウェビナー")=0,"",SUMIFS(日次入力!$F$4:$F$1500,日次入力!$A$4:$A$1500,"&gt;="&amp;DATE(2026,6,16),日次入力!$A$4:$A$1500,"&lt;="&amp;DATE(2026,6,22),日次入力!$C$4:$C$1500,"LINEウェビナー"))</f>
        <v/>
      </c>
      <c r="F296" s="42" t="str">
        <f aca="false">IF(COUNTIFS(日次入力!$A$4:$A$1500,"&gt;="&amp;DATE(2026,6,16),日次入力!$A$4:$A$1500,"&lt;="&amp;DATE(2026,6,22),日次入力!$C$4:$C$1500,"LINEウェビナー")=0,"",SUMIFS(日次入力!$G$4:$G$1500,日次入力!$A$4:$A$1500,"&gt;="&amp;DATE(2026,6,16),日次入力!$A$4:$A$1500,"&lt;="&amp;DATE(2026,6,22),日次入力!$C$4:$C$1500,"LINEウェビナー"))</f>
        <v/>
      </c>
      <c r="G296" s="15" t="str">
        <f aca="false">IFERROR(E296/D296,"")</f>
        <v/>
      </c>
      <c r="H296" s="37" t="str">
        <f aca="false">IFERROR(C296/E296,"")</f>
        <v/>
      </c>
      <c r="I296" s="37" t="str">
        <f aca="false">IFERROR(C296/D296*1000,"")</f>
        <v/>
      </c>
      <c r="J296" s="15" t="str">
        <f aca="false">IFERROR(F296/E296,"")</f>
        <v/>
      </c>
      <c r="K296" s="37" t="str">
        <f aca="false">IFERROR(C296/F296,"")</f>
        <v/>
      </c>
      <c r="L296" s="42" t="str">
        <f aca="false">IF(COUNTIFS(日次入力!$A$4:$A$1500,"&gt;="&amp;DATE(2026,6,16),日次入力!$A$4:$A$1500,"&lt;="&amp;DATE(2026,6,22),日次入力!$C$4:$C$1500,"LINEウェビナー")=0,"",SUMIFS(日次入力!$H$4:$H$1500,日次入力!$A$4:$A$1500,"&gt;="&amp;DATE(2026,6,16),日次入力!$A$4:$A$1500,"&lt;="&amp;DATE(2026,6,22),日次入力!$C$4:$C$1500,"LINEウェビナー"))</f>
        <v/>
      </c>
      <c r="M296" s="15" t="str">
        <f aca="false">IF(L296="","",IFERROR(L296/F296,""))</f>
        <v/>
      </c>
      <c r="N296" s="42" t="str">
        <f aca="false">IF(COUNTIFS(日次入力!$A$4:$A$1500,"&gt;="&amp;DATE(2026,6,16),日次入力!$A$4:$A$1500,"&lt;="&amp;DATE(2026,6,22),日次入力!$C$4:$C$1500,"LINEウェビナー")=0,"",SUMIFS(日次入力!$I$4:$I$1500,日次入力!$A$4:$A$1500,"&gt;="&amp;DATE(2026,6,16),日次入力!$A$4:$A$1500,"&lt;="&amp;DATE(2026,6,22),日次入力!$C$4:$C$1500,"LINEウェビナー"))</f>
        <v/>
      </c>
      <c r="O296" s="15" t="str">
        <f aca="false">IF(N296="","",IFERROR(N296/L296,""))</f>
        <v/>
      </c>
      <c r="P296" s="37" t="str">
        <f aca="false">IF(N296=0,"",IFERROR(C296/N296,""))</f>
        <v/>
      </c>
      <c r="Q296" s="38" t="str">
        <f aca="false">IF(N296=0,"",IFERROR(IF(C296/N296&lt;=用語集!$B$22,"◎ 許容内","✗ 超過"),"—"))</f>
        <v>—</v>
      </c>
      <c r="R296" s="39" t="str">
        <f aca="false">IFERROR(用語集!$B$22/P296,"")</f>
        <v/>
      </c>
    </row>
    <row r="297" customFormat="false" ht="15" hidden="false" customHeight="false" outlineLevel="0" collapsed="false">
      <c r="A297" s="34" t="s">
        <v>82</v>
      </c>
      <c r="B297" s="35" t="s">
        <v>83</v>
      </c>
      <c r="C297" s="41" t="str">
        <f aca="false">IF(COUNTIFS(日次入力!$A$4:$A$1500,"&gt;="&amp;DATE(2026,6,23),日次入力!$A$4:$A$1500,"&lt;="&amp;DATE(2026,6,29),日次入力!$C$4:$C$1500,"LINEウェビナー")=0,"",SUMIFS(日次入力!$D$4:$D$1500,日次入力!$A$4:$A$1500,"&gt;="&amp;DATE(2026,6,23),日次入力!$A$4:$A$1500,"&lt;="&amp;DATE(2026,6,29),日次入力!$C$4:$C$1500,"LINEウェビナー"))</f>
        <v/>
      </c>
      <c r="D297" s="42" t="str">
        <f aca="false">IF(COUNTIFS(日次入力!$A$4:$A$1500,"&gt;="&amp;DATE(2026,6,23),日次入力!$A$4:$A$1500,"&lt;="&amp;DATE(2026,6,29),日次入力!$C$4:$C$1500,"LINEウェビナー")=0,"",SUMIFS(日次入力!$E$4:$E$1500,日次入力!$A$4:$A$1500,"&gt;="&amp;DATE(2026,6,23),日次入力!$A$4:$A$1500,"&lt;="&amp;DATE(2026,6,29),日次入力!$C$4:$C$1500,"LINEウェビナー"))</f>
        <v/>
      </c>
      <c r="E297" s="42" t="str">
        <f aca="false">IF(COUNTIFS(日次入力!$A$4:$A$1500,"&gt;="&amp;DATE(2026,6,23),日次入力!$A$4:$A$1500,"&lt;="&amp;DATE(2026,6,29),日次入力!$C$4:$C$1500,"LINEウェビナー")=0,"",SUMIFS(日次入力!$F$4:$F$1500,日次入力!$A$4:$A$1500,"&gt;="&amp;DATE(2026,6,23),日次入力!$A$4:$A$1500,"&lt;="&amp;DATE(2026,6,29),日次入力!$C$4:$C$1500,"LINEウェビナー"))</f>
        <v/>
      </c>
      <c r="F297" s="42" t="str">
        <f aca="false">IF(COUNTIFS(日次入力!$A$4:$A$1500,"&gt;="&amp;DATE(2026,6,23),日次入力!$A$4:$A$1500,"&lt;="&amp;DATE(2026,6,29),日次入力!$C$4:$C$1500,"LINEウェビナー")=0,"",SUMIFS(日次入力!$G$4:$G$1500,日次入力!$A$4:$A$1500,"&gt;="&amp;DATE(2026,6,23),日次入力!$A$4:$A$1500,"&lt;="&amp;DATE(2026,6,29),日次入力!$C$4:$C$1500,"LINEウェビナー"))</f>
        <v/>
      </c>
      <c r="G297" s="15" t="str">
        <f aca="false">IFERROR(E297/D297,"")</f>
        <v/>
      </c>
      <c r="H297" s="37" t="str">
        <f aca="false">IFERROR(C297/E297,"")</f>
        <v/>
      </c>
      <c r="I297" s="37" t="str">
        <f aca="false">IFERROR(C297/D297*1000,"")</f>
        <v/>
      </c>
      <c r="J297" s="15" t="str">
        <f aca="false">IFERROR(F297/E297,"")</f>
        <v/>
      </c>
      <c r="K297" s="37" t="str">
        <f aca="false">IFERROR(C297/F297,"")</f>
        <v/>
      </c>
      <c r="L297" s="42" t="str">
        <f aca="false">IF(COUNTIFS(日次入力!$A$4:$A$1500,"&gt;="&amp;DATE(2026,6,23),日次入力!$A$4:$A$1500,"&lt;="&amp;DATE(2026,6,29),日次入力!$C$4:$C$1500,"LINEウェビナー")=0,"",SUMIFS(日次入力!$H$4:$H$1500,日次入力!$A$4:$A$1500,"&gt;="&amp;DATE(2026,6,23),日次入力!$A$4:$A$1500,"&lt;="&amp;DATE(2026,6,29),日次入力!$C$4:$C$1500,"LINEウェビナー"))</f>
        <v/>
      </c>
      <c r="M297" s="15" t="str">
        <f aca="false">IF(L297="","",IFERROR(L297/F297,""))</f>
        <v/>
      </c>
      <c r="N297" s="42" t="str">
        <f aca="false">IF(COUNTIFS(日次入力!$A$4:$A$1500,"&gt;="&amp;DATE(2026,6,23),日次入力!$A$4:$A$1500,"&lt;="&amp;DATE(2026,6,29),日次入力!$C$4:$C$1500,"LINEウェビナー")=0,"",SUMIFS(日次入力!$I$4:$I$1500,日次入力!$A$4:$A$1500,"&gt;="&amp;DATE(2026,6,23),日次入力!$A$4:$A$1500,"&lt;="&amp;DATE(2026,6,29),日次入力!$C$4:$C$1500,"LINEウェビナー"))</f>
        <v/>
      </c>
      <c r="O297" s="15" t="str">
        <f aca="false">IF(N297="","",IFERROR(N297/L297,""))</f>
        <v/>
      </c>
      <c r="P297" s="37" t="str">
        <f aca="false">IF(N297=0,"",IFERROR(C297/N297,""))</f>
        <v/>
      </c>
      <c r="Q297" s="38" t="str">
        <f aca="false">IF(N297=0,"",IFERROR(IF(C297/N297&lt;=用語集!$B$22,"◎ 許容内","✗ 超過"),"—"))</f>
        <v>—</v>
      </c>
      <c r="R297" s="39" t="str">
        <f aca="false">IFERROR(用語集!$B$22/P297,"")</f>
        <v/>
      </c>
    </row>
    <row r="298" customFormat="false" ht="15" hidden="false" customHeight="false" outlineLevel="0" collapsed="false">
      <c r="A298" s="34" t="s">
        <v>84</v>
      </c>
      <c r="B298" s="35" t="s">
        <v>85</v>
      </c>
      <c r="C298" s="41" t="str">
        <f aca="false">IF(COUNTIFS(日次入力!$A$4:$A$1500,"&gt;="&amp;DATE(2026,6,30),日次入力!$A$4:$A$1500,"&lt;="&amp;DATE(2026,7,6),日次入力!$C$4:$C$1500,"LINEウェビナー")=0,"",SUMIFS(日次入力!$D$4:$D$1500,日次入力!$A$4:$A$1500,"&gt;="&amp;DATE(2026,6,30),日次入力!$A$4:$A$1500,"&lt;="&amp;DATE(2026,7,6),日次入力!$C$4:$C$1500,"LINEウェビナー"))</f>
        <v/>
      </c>
      <c r="D298" s="42" t="str">
        <f aca="false">IF(COUNTIFS(日次入力!$A$4:$A$1500,"&gt;="&amp;DATE(2026,6,30),日次入力!$A$4:$A$1500,"&lt;="&amp;DATE(2026,7,6),日次入力!$C$4:$C$1500,"LINEウェビナー")=0,"",SUMIFS(日次入力!$E$4:$E$1500,日次入力!$A$4:$A$1500,"&gt;="&amp;DATE(2026,6,30),日次入力!$A$4:$A$1500,"&lt;="&amp;DATE(2026,7,6),日次入力!$C$4:$C$1500,"LINEウェビナー"))</f>
        <v/>
      </c>
      <c r="E298" s="42" t="str">
        <f aca="false">IF(COUNTIFS(日次入力!$A$4:$A$1500,"&gt;="&amp;DATE(2026,6,30),日次入力!$A$4:$A$1500,"&lt;="&amp;DATE(2026,7,6),日次入力!$C$4:$C$1500,"LINEウェビナー")=0,"",SUMIFS(日次入力!$F$4:$F$1500,日次入力!$A$4:$A$1500,"&gt;="&amp;DATE(2026,6,30),日次入力!$A$4:$A$1500,"&lt;="&amp;DATE(2026,7,6),日次入力!$C$4:$C$1500,"LINEウェビナー"))</f>
        <v/>
      </c>
      <c r="F298" s="42" t="str">
        <f aca="false">IF(COUNTIFS(日次入力!$A$4:$A$1500,"&gt;="&amp;DATE(2026,6,30),日次入力!$A$4:$A$1500,"&lt;="&amp;DATE(2026,7,6),日次入力!$C$4:$C$1500,"LINEウェビナー")=0,"",SUMIFS(日次入力!$G$4:$G$1500,日次入力!$A$4:$A$1500,"&gt;="&amp;DATE(2026,6,30),日次入力!$A$4:$A$1500,"&lt;="&amp;DATE(2026,7,6),日次入力!$C$4:$C$1500,"LINEウェビナー"))</f>
        <v/>
      </c>
      <c r="G298" s="15" t="str">
        <f aca="false">IFERROR(E298/D298,"")</f>
        <v/>
      </c>
      <c r="H298" s="37" t="str">
        <f aca="false">IFERROR(C298/E298,"")</f>
        <v/>
      </c>
      <c r="I298" s="37" t="str">
        <f aca="false">IFERROR(C298/D298*1000,"")</f>
        <v/>
      </c>
      <c r="J298" s="15" t="str">
        <f aca="false">IFERROR(F298/E298,"")</f>
        <v/>
      </c>
      <c r="K298" s="37" t="str">
        <f aca="false">IFERROR(C298/F298,"")</f>
        <v/>
      </c>
      <c r="L298" s="42" t="str">
        <f aca="false">IF(COUNTIFS(日次入力!$A$4:$A$1500,"&gt;="&amp;DATE(2026,6,30),日次入力!$A$4:$A$1500,"&lt;="&amp;DATE(2026,7,6),日次入力!$C$4:$C$1500,"LINEウェビナー")=0,"",SUMIFS(日次入力!$H$4:$H$1500,日次入力!$A$4:$A$1500,"&gt;="&amp;DATE(2026,6,30),日次入力!$A$4:$A$1500,"&lt;="&amp;DATE(2026,7,6),日次入力!$C$4:$C$1500,"LINEウェビナー"))</f>
        <v/>
      </c>
      <c r="M298" s="15" t="str">
        <f aca="false">IF(L298="","",IFERROR(L298/F298,""))</f>
        <v/>
      </c>
      <c r="N298" s="42" t="str">
        <f aca="false">IF(COUNTIFS(日次入力!$A$4:$A$1500,"&gt;="&amp;DATE(2026,6,30),日次入力!$A$4:$A$1500,"&lt;="&amp;DATE(2026,7,6),日次入力!$C$4:$C$1500,"LINEウェビナー")=0,"",SUMIFS(日次入力!$I$4:$I$1500,日次入力!$A$4:$A$1500,"&gt;="&amp;DATE(2026,6,30),日次入力!$A$4:$A$1500,"&lt;="&amp;DATE(2026,7,6),日次入力!$C$4:$C$1500,"LINEウェビナー"))</f>
        <v/>
      </c>
      <c r="O298" s="15" t="str">
        <f aca="false">IF(N298="","",IFERROR(N298/L298,""))</f>
        <v/>
      </c>
      <c r="P298" s="37" t="str">
        <f aca="false">IF(N298=0,"",IFERROR(C298/N298,""))</f>
        <v/>
      </c>
      <c r="Q298" s="38" t="str">
        <f aca="false">IF(N298=0,"",IFERROR(IF(C298/N298&lt;=用語集!$B$22,"◎ 許容内","✗ 超過"),"—"))</f>
        <v>—</v>
      </c>
      <c r="R298" s="39" t="str">
        <f aca="false">IFERROR(用語集!$B$22/P298,"")</f>
        <v/>
      </c>
    </row>
    <row r="299" customFormat="false" ht="15" hidden="false" customHeight="false" outlineLevel="0" collapsed="false">
      <c r="A299" s="34" t="s">
        <v>86</v>
      </c>
      <c r="B299" s="35" t="s">
        <v>87</v>
      </c>
      <c r="C299" s="41" t="str">
        <f aca="false">IF(COUNTIFS(日次入力!$A$4:$A$1500,"&gt;="&amp;DATE(2026,7,7),日次入力!$A$4:$A$1500,"&lt;="&amp;DATE(2026,7,13),日次入力!$C$4:$C$1500,"LINEウェビナー")=0,"",SUMIFS(日次入力!$D$4:$D$1500,日次入力!$A$4:$A$1500,"&gt;="&amp;DATE(2026,7,7),日次入力!$A$4:$A$1500,"&lt;="&amp;DATE(2026,7,13),日次入力!$C$4:$C$1500,"LINEウェビナー"))</f>
        <v/>
      </c>
      <c r="D299" s="42" t="str">
        <f aca="false">IF(COUNTIFS(日次入力!$A$4:$A$1500,"&gt;="&amp;DATE(2026,7,7),日次入力!$A$4:$A$1500,"&lt;="&amp;DATE(2026,7,13),日次入力!$C$4:$C$1500,"LINEウェビナー")=0,"",SUMIFS(日次入力!$E$4:$E$1500,日次入力!$A$4:$A$1500,"&gt;="&amp;DATE(2026,7,7),日次入力!$A$4:$A$1500,"&lt;="&amp;DATE(2026,7,13),日次入力!$C$4:$C$1500,"LINEウェビナー"))</f>
        <v/>
      </c>
      <c r="E299" s="42" t="str">
        <f aca="false">IF(COUNTIFS(日次入力!$A$4:$A$1500,"&gt;="&amp;DATE(2026,7,7),日次入力!$A$4:$A$1500,"&lt;="&amp;DATE(2026,7,13),日次入力!$C$4:$C$1500,"LINEウェビナー")=0,"",SUMIFS(日次入力!$F$4:$F$1500,日次入力!$A$4:$A$1500,"&gt;="&amp;DATE(2026,7,7),日次入力!$A$4:$A$1500,"&lt;="&amp;DATE(2026,7,13),日次入力!$C$4:$C$1500,"LINEウェビナー"))</f>
        <v/>
      </c>
      <c r="F299" s="42" t="str">
        <f aca="false">IF(COUNTIFS(日次入力!$A$4:$A$1500,"&gt;="&amp;DATE(2026,7,7),日次入力!$A$4:$A$1500,"&lt;="&amp;DATE(2026,7,13),日次入力!$C$4:$C$1500,"LINEウェビナー")=0,"",SUMIFS(日次入力!$G$4:$G$1500,日次入力!$A$4:$A$1500,"&gt;="&amp;DATE(2026,7,7),日次入力!$A$4:$A$1500,"&lt;="&amp;DATE(2026,7,13),日次入力!$C$4:$C$1500,"LINEウェビナー"))</f>
        <v/>
      </c>
      <c r="G299" s="15" t="str">
        <f aca="false">IFERROR(E299/D299,"")</f>
        <v/>
      </c>
      <c r="H299" s="37" t="str">
        <f aca="false">IFERROR(C299/E299,"")</f>
        <v/>
      </c>
      <c r="I299" s="37" t="str">
        <f aca="false">IFERROR(C299/D299*1000,"")</f>
        <v/>
      </c>
      <c r="J299" s="15" t="str">
        <f aca="false">IFERROR(F299/E299,"")</f>
        <v/>
      </c>
      <c r="K299" s="37" t="str">
        <f aca="false">IFERROR(C299/F299,"")</f>
        <v/>
      </c>
      <c r="L299" s="42" t="str">
        <f aca="false">IF(COUNTIFS(日次入力!$A$4:$A$1500,"&gt;="&amp;DATE(2026,7,7),日次入力!$A$4:$A$1500,"&lt;="&amp;DATE(2026,7,13),日次入力!$C$4:$C$1500,"LINEウェビナー")=0,"",SUMIFS(日次入力!$H$4:$H$1500,日次入力!$A$4:$A$1500,"&gt;="&amp;DATE(2026,7,7),日次入力!$A$4:$A$1500,"&lt;="&amp;DATE(2026,7,13),日次入力!$C$4:$C$1500,"LINEウェビナー"))</f>
        <v/>
      </c>
      <c r="M299" s="15" t="str">
        <f aca="false">IF(L299="","",IFERROR(L299/F299,""))</f>
        <v/>
      </c>
      <c r="N299" s="42" t="str">
        <f aca="false">IF(COUNTIFS(日次入力!$A$4:$A$1500,"&gt;="&amp;DATE(2026,7,7),日次入力!$A$4:$A$1500,"&lt;="&amp;DATE(2026,7,13),日次入力!$C$4:$C$1500,"LINEウェビナー")=0,"",SUMIFS(日次入力!$I$4:$I$1500,日次入力!$A$4:$A$1500,"&gt;="&amp;DATE(2026,7,7),日次入力!$A$4:$A$1500,"&lt;="&amp;DATE(2026,7,13),日次入力!$C$4:$C$1500,"LINEウェビナー"))</f>
        <v/>
      </c>
      <c r="O299" s="15" t="str">
        <f aca="false">IF(N299="","",IFERROR(N299/L299,""))</f>
        <v/>
      </c>
      <c r="P299" s="37" t="str">
        <f aca="false">IF(N299=0,"",IFERROR(C299/N299,""))</f>
        <v/>
      </c>
      <c r="Q299" s="38" t="str">
        <f aca="false">IF(N299=0,"",IFERROR(IF(C299/N299&lt;=用語集!$B$22,"◎ 許容内","✗ 超過"),"—"))</f>
        <v>—</v>
      </c>
      <c r="R299" s="39" t="str">
        <f aca="false">IFERROR(用語集!$B$22/P299,"")</f>
        <v/>
      </c>
    </row>
    <row r="300" customFormat="false" ht="15" hidden="false" customHeight="false" outlineLevel="0" collapsed="false">
      <c r="A300" s="34" t="s">
        <v>88</v>
      </c>
      <c r="B300" s="35" t="s">
        <v>89</v>
      </c>
      <c r="C300" s="41" t="str">
        <f aca="false">IF(COUNTIFS(日次入力!$A$4:$A$1500,"&gt;="&amp;DATE(2026,7,14),日次入力!$A$4:$A$1500,"&lt;="&amp;DATE(2026,7,20),日次入力!$C$4:$C$1500,"LINEウェビナー")=0,"",SUMIFS(日次入力!$D$4:$D$1500,日次入力!$A$4:$A$1500,"&gt;="&amp;DATE(2026,7,14),日次入力!$A$4:$A$1500,"&lt;="&amp;DATE(2026,7,20),日次入力!$C$4:$C$1500,"LINEウェビナー"))</f>
        <v/>
      </c>
      <c r="D300" s="42" t="str">
        <f aca="false">IF(COUNTIFS(日次入力!$A$4:$A$1500,"&gt;="&amp;DATE(2026,7,14),日次入力!$A$4:$A$1500,"&lt;="&amp;DATE(2026,7,20),日次入力!$C$4:$C$1500,"LINEウェビナー")=0,"",SUMIFS(日次入力!$E$4:$E$1500,日次入力!$A$4:$A$1500,"&gt;="&amp;DATE(2026,7,14),日次入力!$A$4:$A$1500,"&lt;="&amp;DATE(2026,7,20),日次入力!$C$4:$C$1500,"LINEウェビナー"))</f>
        <v/>
      </c>
      <c r="E300" s="42" t="str">
        <f aca="false">IF(COUNTIFS(日次入力!$A$4:$A$1500,"&gt;="&amp;DATE(2026,7,14),日次入力!$A$4:$A$1500,"&lt;="&amp;DATE(2026,7,20),日次入力!$C$4:$C$1500,"LINEウェビナー")=0,"",SUMIFS(日次入力!$F$4:$F$1500,日次入力!$A$4:$A$1500,"&gt;="&amp;DATE(2026,7,14),日次入力!$A$4:$A$1500,"&lt;="&amp;DATE(2026,7,20),日次入力!$C$4:$C$1500,"LINEウェビナー"))</f>
        <v/>
      </c>
      <c r="F300" s="42" t="str">
        <f aca="false">IF(COUNTIFS(日次入力!$A$4:$A$1500,"&gt;="&amp;DATE(2026,7,14),日次入力!$A$4:$A$1500,"&lt;="&amp;DATE(2026,7,20),日次入力!$C$4:$C$1500,"LINEウェビナー")=0,"",SUMIFS(日次入力!$G$4:$G$1500,日次入力!$A$4:$A$1500,"&gt;="&amp;DATE(2026,7,14),日次入力!$A$4:$A$1500,"&lt;="&amp;DATE(2026,7,20),日次入力!$C$4:$C$1500,"LINEウェビナー"))</f>
        <v/>
      </c>
      <c r="G300" s="15" t="str">
        <f aca="false">IFERROR(E300/D300,"")</f>
        <v/>
      </c>
      <c r="H300" s="37" t="str">
        <f aca="false">IFERROR(C300/E300,"")</f>
        <v/>
      </c>
      <c r="I300" s="37" t="str">
        <f aca="false">IFERROR(C300/D300*1000,"")</f>
        <v/>
      </c>
      <c r="J300" s="15" t="str">
        <f aca="false">IFERROR(F300/E300,"")</f>
        <v/>
      </c>
      <c r="K300" s="37" t="str">
        <f aca="false">IFERROR(C300/F300,"")</f>
        <v/>
      </c>
      <c r="L300" s="42" t="str">
        <f aca="false">IF(COUNTIFS(日次入力!$A$4:$A$1500,"&gt;="&amp;DATE(2026,7,14),日次入力!$A$4:$A$1500,"&lt;="&amp;DATE(2026,7,20),日次入力!$C$4:$C$1500,"LINEウェビナー")=0,"",SUMIFS(日次入力!$H$4:$H$1500,日次入力!$A$4:$A$1500,"&gt;="&amp;DATE(2026,7,14),日次入力!$A$4:$A$1500,"&lt;="&amp;DATE(2026,7,20),日次入力!$C$4:$C$1500,"LINEウェビナー"))</f>
        <v/>
      </c>
      <c r="M300" s="15" t="str">
        <f aca="false">IF(L300="","",IFERROR(L300/F300,""))</f>
        <v/>
      </c>
      <c r="N300" s="42" t="str">
        <f aca="false">IF(COUNTIFS(日次入力!$A$4:$A$1500,"&gt;="&amp;DATE(2026,7,14),日次入力!$A$4:$A$1500,"&lt;="&amp;DATE(2026,7,20),日次入力!$C$4:$C$1500,"LINEウェビナー")=0,"",SUMIFS(日次入力!$I$4:$I$1500,日次入力!$A$4:$A$1500,"&gt;="&amp;DATE(2026,7,14),日次入力!$A$4:$A$1500,"&lt;="&amp;DATE(2026,7,20),日次入力!$C$4:$C$1500,"LINEウェビナー"))</f>
        <v/>
      </c>
      <c r="O300" s="15" t="str">
        <f aca="false">IF(N300="","",IFERROR(N300/L300,""))</f>
        <v/>
      </c>
      <c r="P300" s="37" t="str">
        <f aca="false">IF(N300=0,"",IFERROR(C300/N300,""))</f>
        <v/>
      </c>
      <c r="Q300" s="38" t="str">
        <f aca="false">IF(N300=0,"",IFERROR(IF(C300/N300&lt;=用語集!$B$22,"◎ 許容内","✗ 超過"),"—"))</f>
        <v>—</v>
      </c>
      <c r="R300" s="39" t="str">
        <f aca="false">IFERROR(用語集!$B$22/P300,"")</f>
        <v/>
      </c>
    </row>
    <row r="301" customFormat="false" ht="15" hidden="false" customHeight="false" outlineLevel="0" collapsed="false">
      <c r="A301" s="34" t="s">
        <v>90</v>
      </c>
      <c r="B301" s="35" t="s">
        <v>91</v>
      </c>
      <c r="C301" s="41" t="str">
        <f aca="false">IF(COUNTIFS(日次入力!$A$4:$A$1500,"&gt;="&amp;DATE(2026,7,21),日次入力!$A$4:$A$1500,"&lt;="&amp;DATE(2026,7,27),日次入力!$C$4:$C$1500,"LINEウェビナー")=0,"",SUMIFS(日次入力!$D$4:$D$1500,日次入力!$A$4:$A$1500,"&gt;="&amp;DATE(2026,7,21),日次入力!$A$4:$A$1500,"&lt;="&amp;DATE(2026,7,27),日次入力!$C$4:$C$1500,"LINEウェビナー"))</f>
        <v/>
      </c>
      <c r="D301" s="42" t="str">
        <f aca="false">IF(COUNTIFS(日次入力!$A$4:$A$1500,"&gt;="&amp;DATE(2026,7,21),日次入力!$A$4:$A$1500,"&lt;="&amp;DATE(2026,7,27),日次入力!$C$4:$C$1500,"LINEウェビナー")=0,"",SUMIFS(日次入力!$E$4:$E$1500,日次入力!$A$4:$A$1500,"&gt;="&amp;DATE(2026,7,21),日次入力!$A$4:$A$1500,"&lt;="&amp;DATE(2026,7,27),日次入力!$C$4:$C$1500,"LINEウェビナー"))</f>
        <v/>
      </c>
      <c r="E301" s="42" t="str">
        <f aca="false">IF(COUNTIFS(日次入力!$A$4:$A$1500,"&gt;="&amp;DATE(2026,7,21),日次入力!$A$4:$A$1500,"&lt;="&amp;DATE(2026,7,27),日次入力!$C$4:$C$1500,"LINEウェビナー")=0,"",SUMIFS(日次入力!$F$4:$F$1500,日次入力!$A$4:$A$1500,"&gt;="&amp;DATE(2026,7,21),日次入力!$A$4:$A$1500,"&lt;="&amp;DATE(2026,7,27),日次入力!$C$4:$C$1500,"LINEウェビナー"))</f>
        <v/>
      </c>
      <c r="F301" s="42" t="str">
        <f aca="false">IF(COUNTIFS(日次入力!$A$4:$A$1500,"&gt;="&amp;DATE(2026,7,21),日次入力!$A$4:$A$1500,"&lt;="&amp;DATE(2026,7,27),日次入力!$C$4:$C$1500,"LINEウェビナー")=0,"",SUMIFS(日次入力!$G$4:$G$1500,日次入力!$A$4:$A$1500,"&gt;="&amp;DATE(2026,7,21),日次入力!$A$4:$A$1500,"&lt;="&amp;DATE(2026,7,27),日次入力!$C$4:$C$1500,"LINEウェビナー"))</f>
        <v/>
      </c>
      <c r="G301" s="15" t="str">
        <f aca="false">IFERROR(E301/D301,"")</f>
        <v/>
      </c>
      <c r="H301" s="37" t="str">
        <f aca="false">IFERROR(C301/E301,"")</f>
        <v/>
      </c>
      <c r="I301" s="37" t="str">
        <f aca="false">IFERROR(C301/D301*1000,"")</f>
        <v/>
      </c>
      <c r="J301" s="15" t="str">
        <f aca="false">IFERROR(F301/E301,"")</f>
        <v/>
      </c>
      <c r="K301" s="37" t="str">
        <f aca="false">IFERROR(C301/F301,"")</f>
        <v/>
      </c>
      <c r="L301" s="42" t="str">
        <f aca="false">IF(COUNTIFS(日次入力!$A$4:$A$1500,"&gt;="&amp;DATE(2026,7,21),日次入力!$A$4:$A$1500,"&lt;="&amp;DATE(2026,7,27),日次入力!$C$4:$C$1500,"LINEウェビナー")=0,"",SUMIFS(日次入力!$H$4:$H$1500,日次入力!$A$4:$A$1500,"&gt;="&amp;DATE(2026,7,21),日次入力!$A$4:$A$1500,"&lt;="&amp;DATE(2026,7,27),日次入力!$C$4:$C$1500,"LINEウェビナー"))</f>
        <v/>
      </c>
      <c r="M301" s="15" t="str">
        <f aca="false">IF(L301="","",IFERROR(L301/F301,""))</f>
        <v/>
      </c>
      <c r="N301" s="42" t="str">
        <f aca="false">IF(COUNTIFS(日次入力!$A$4:$A$1500,"&gt;="&amp;DATE(2026,7,21),日次入力!$A$4:$A$1500,"&lt;="&amp;DATE(2026,7,27),日次入力!$C$4:$C$1500,"LINEウェビナー")=0,"",SUMIFS(日次入力!$I$4:$I$1500,日次入力!$A$4:$A$1500,"&gt;="&amp;DATE(2026,7,21),日次入力!$A$4:$A$1500,"&lt;="&amp;DATE(2026,7,27),日次入力!$C$4:$C$1500,"LINEウェビナー"))</f>
        <v/>
      </c>
      <c r="O301" s="15" t="str">
        <f aca="false">IF(N301="","",IFERROR(N301/L301,""))</f>
        <v/>
      </c>
      <c r="P301" s="37" t="str">
        <f aca="false">IF(N301=0,"",IFERROR(C301/N301,""))</f>
        <v/>
      </c>
      <c r="Q301" s="38" t="str">
        <f aca="false">IF(N301=0,"",IFERROR(IF(C301/N301&lt;=用語集!$B$22,"◎ 許容内","✗ 超過"),"—"))</f>
        <v>—</v>
      </c>
      <c r="R301" s="39" t="str">
        <f aca="false">IFERROR(用語集!$B$22/P301,"")</f>
        <v/>
      </c>
    </row>
    <row r="302" customFormat="false" ht="15" hidden="false" customHeight="false" outlineLevel="0" collapsed="false">
      <c r="A302" s="34" t="s">
        <v>92</v>
      </c>
      <c r="B302" s="35" t="s">
        <v>93</v>
      </c>
      <c r="C302" s="41" t="str">
        <f aca="false">IF(COUNTIFS(日次入力!$A$4:$A$1500,"&gt;="&amp;DATE(2026,7,28),日次入力!$A$4:$A$1500,"&lt;="&amp;DATE(2026,8,3),日次入力!$C$4:$C$1500,"LINEウェビナー")=0,"",SUMIFS(日次入力!$D$4:$D$1500,日次入力!$A$4:$A$1500,"&gt;="&amp;DATE(2026,7,28),日次入力!$A$4:$A$1500,"&lt;="&amp;DATE(2026,8,3),日次入力!$C$4:$C$1500,"LINEウェビナー"))</f>
        <v/>
      </c>
      <c r="D302" s="42" t="str">
        <f aca="false">IF(COUNTIFS(日次入力!$A$4:$A$1500,"&gt;="&amp;DATE(2026,7,28),日次入力!$A$4:$A$1500,"&lt;="&amp;DATE(2026,8,3),日次入力!$C$4:$C$1500,"LINEウェビナー")=0,"",SUMIFS(日次入力!$E$4:$E$1500,日次入力!$A$4:$A$1500,"&gt;="&amp;DATE(2026,7,28),日次入力!$A$4:$A$1500,"&lt;="&amp;DATE(2026,8,3),日次入力!$C$4:$C$1500,"LINEウェビナー"))</f>
        <v/>
      </c>
      <c r="E302" s="42" t="str">
        <f aca="false">IF(COUNTIFS(日次入力!$A$4:$A$1500,"&gt;="&amp;DATE(2026,7,28),日次入力!$A$4:$A$1500,"&lt;="&amp;DATE(2026,8,3),日次入力!$C$4:$C$1500,"LINEウェビナー")=0,"",SUMIFS(日次入力!$F$4:$F$1500,日次入力!$A$4:$A$1500,"&gt;="&amp;DATE(2026,7,28),日次入力!$A$4:$A$1500,"&lt;="&amp;DATE(2026,8,3),日次入力!$C$4:$C$1500,"LINEウェビナー"))</f>
        <v/>
      </c>
      <c r="F302" s="42" t="str">
        <f aca="false">IF(COUNTIFS(日次入力!$A$4:$A$1500,"&gt;="&amp;DATE(2026,7,28),日次入力!$A$4:$A$1500,"&lt;="&amp;DATE(2026,8,3),日次入力!$C$4:$C$1500,"LINEウェビナー")=0,"",SUMIFS(日次入力!$G$4:$G$1500,日次入力!$A$4:$A$1500,"&gt;="&amp;DATE(2026,7,28),日次入力!$A$4:$A$1500,"&lt;="&amp;DATE(2026,8,3),日次入力!$C$4:$C$1500,"LINEウェビナー"))</f>
        <v/>
      </c>
      <c r="G302" s="15" t="str">
        <f aca="false">IFERROR(E302/D302,"")</f>
        <v/>
      </c>
      <c r="H302" s="37" t="str">
        <f aca="false">IFERROR(C302/E302,"")</f>
        <v/>
      </c>
      <c r="I302" s="37" t="str">
        <f aca="false">IFERROR(C302/D302*1000,"")</f>
        <v/>
      </c>
      <c r="J302" s="15" t="str">
        <f aca="false">IFERROR(F302/E302,"")</f>
        <v/>
      </c>
      <c r="K302" s="37" t="str">
        <f aca="false">IFERROR(C302/F302,"")</f>
        <v/>
      </c>
      <c r="L302" s="42" t="str">
        <f aca="false">IF(COUNTIFS(日次入力!$A$4:$A$1500,"&gt;="&amp;DATE(2026,7,28),日次入力!$A$4:$A$1500,"&lt;="&amp;DATE(2026,8,3),日次入力!$C$4:$C$1500,"LINEウェビナー")=0,"",SUMIFS(日次入力!$H$4:$H$1500,日次入力!$A$4:$A$1500,"&gt;="&amp;DATE(2026,7,28),日次入力!$A$4:$A$1500,"&lt;="&amp;DATE(2026,8,3),日次入力!$C$4:$C$1500,"LINEウェビナー"))</f>
        <v/>
      </c>
      <c r="M302" s="15" t="str">
        <f aca="false">IF(L302="","",IFERROR(L302/F302,""))</f>
        <v/>
      </c>
      <c r="N302" s="42" t="str">
        <f aca="false">IF(COUNTIFS(日次入力!$A$4:$A$1500,"&gt;="&amp;DATE(2026,7,28),日次入力!$A$4:$A$1500,"&lt;="&amp;DATE(2026,8,3),日次入力!$C$4:$C$1500,"LINEウェビナー")=0,"",SUMIFS(日次入力!$I$4:$I$1500,日次入力!$A$4:$A$1500,"&gt;="&amp;DATE(2026,7,28),日次入力!$A$4:$A$1500,"&lt;="&amp;DATE(2026,8,3),日次入力!$C$4:$C$1500,"LINEウェビナー"))</f>
        <v/>
      </c>
      <c r="O302" s="15" t="str">
        <f aca="false">IF(N302="","",IFERROR(N302/L302,""))</f>
        <v/>
      </c>
      <c r="P302" s="37" t="str">
        <f aca="false">IF(N302=0,"",IFERROR(C302/N302,""))</f>
        <v/>
      </c>
      <c r="Q302" s="38" t="str">
        <f aca="false">IF(N302=0,"",IFERROR(IF(C302/N302&lt;=用語集!$B$22,"◎ 許容内","✗ 超過"),"—"))</f>
        <v>—</v>
      </c>
      <c r="R302" s="39" t="str">
        <f aca="false">IFERROR(用語集!$B$22/P302,"")</f>
        <v/>
      </c>
    </row>
    <row r="303" customFormat="false" ht="15" hidden="false" customHeight="false" outlineLevel="0" collapsed="false">
      <c r="A303" s="34" t="s">
        <v>94</v>
      </c>
      <c r="B303" s="35" t="s">
        <v>95</v>
      </c>
      <c r="C303" s="41" t="str">
        <f aca="false">IF(COUNTIFS(日次入力!$A$4:$A$1500,"&gt;="&amp;DATE(2026,8,4),日次入力!$A$4:$A$1500,"&lt;="&amp;DATE(2026,8,10),日次入力!$C$4:$C$1500,"LINEウェビナー")=0,"",SUMIFS(日次入力!$D$4:$D$1500,日次入力!$A$4:$A$1500,"&gt;="&amp;DATE(2026,8,4),日次入力!$A$4:$A$1500,"&lt;="&amp;DATE(2026,8,10),日次入力!$C$4:$C$1500,"LINEウェビナー"))</f>
        <v/>
      </c>
      <c r="D303" s="42" t="str">
        <f aca="false">IF(COUNTIFS(日次入力!$A$4:$A$1500,"&gt;="&amp;DATE(2026,8,4),日次入力!$A$4:$A$1500,"&lt;="&amp;DATE(2026,8,10),日次入力!$C$4:$C$1500,"LINEウェビナー")=0,"",SUMIFS(日次入力!$E$4:$E$1500,日次入力!$A$4:$A$1500,"&gt;="&amp;DATE(2026,8,4),日次入力!$A$4:$A$1500,"&lt;="&amp;DATE(2026,8,10),日次入力!$C$4:$C$1500,"LINEウェビナー"))</f>
        <v/>
      </c>
      <c r="E303" s="42" t="str">
        <f aca="false">IF(COUNTIFS(日次入力!$A$4:$A$1500,"&gt;="&amp;DATE(2026,8,4),日次入力!$A$4:$A$1500,"&lt;="&amp;DATE(2026,8,10),日次入力!$C$4:$C$1500,"LINEウェビナー")=0,"",SUMIFS(日次入力!$F$4:$F$1500,日次入力!$A$4:$A$1500,"&gt;="&amp;DATE(2026,8,4),日次入力!$A$4:$A$1500,"&lt;="&amp;DATE(2026,8,10),日次入力!$C$4:$C$1500,"LINEウェビナー"))</f>
        <v/>
      </c>
      <c r="F303" s="42" t="str">
        <f aca="false">IF(COUNTIFS(日次入力!$A$4:$A$1500,"&gt;="&amp;DATE(2026,8,4),日次入力!$A$4:$A$1500,"&lt;="&amp;DATE(2026,8,10),日次入力!$C$4:$C$1500,"LINEウェビナー")=0,"",SUMIFS(日次入力!$G$4:$G$1500,日次入力!$A$4:$A$1500,"&gt;="&amp;DATE(2026,8,4),日次入力!$A$4:$A$1500,"&lt;="&amp;DATE(2026,8,10),日次入力!$C$4:$C$1500,"LINEウェビナー"))</f>
        <v/>
      </c>
      <c r="G303" s="15" t="str">
        <f aca="false">IFERROR(E303/D303,"")</f>
        <v/>
      </c>
      <c r="H303" s="37" t="str">
        <f aca="false">IFERROR(C303/E303,"")</f>
        <v/>
      </c>
      <c r="I303" s="37" t="str">
        <f aca="false">IFERROR(C303/D303*1000,"")</f>
        <v/>
      </c>
      <c r="J303" s="15" t="str">
        <f aca="false">IFERROR(F303/E303,"")</f>
        <v/>
      </c>
      <c r="K303" s="37" t="str">
        <f aca="false">IFERROR(C303/F303,"")</f>
        <v/>
      </c>
      <c r="L303" s="42" t="str">
        <f aca="false">IF(COUNTIFS(日次入力!$A$4:$A$1500,"&gt;="&amp;DATE(2026,8,4),日次入力!$A$4:$A$1500,"&lt;="&amp;DATE(2026,8,10),日次入力!$C$4:$C$1500,"LINEウェビナー")=0,"",SUMIFS(日次入力!$H$4:$H$1500,日次入力!$A$4:$A$1500,"&gt;="&amp;DATE(2026,8,4),日次入力!$A$4:$A$1500,"&lt;="&amp;DATE(2026,8,10),日次入力!$C$4:$C$1500,"LINEウェビナー"))</f>
        <v/>
      </c>
      <c r="M303" s="15" t="str">
        <f aca="false">IF(L303="","",IFERROR(L303/F303,""))</f>
        <v/>
      </c>
      <c r="N303" s="42" t="str">
        <f aca="false">IF(COUNTIFS(日次入力!$A$4:$A$1500,"&gt;="&amp;DATE(2026,8,4),日次入力!$A$4:$A$1500,"&lt;="&amp;DATE(2026,8,10),日次入力!$C$4:$C$1500,"LINEウェビナー")=0,"",SUMIFS(日次入力!$I$4:$I$1500,日次入力!$A$4:$A$1500,"&gt;="&amp;DATE(2026,8,4),日次入力!$A$4:$A$1500,"&lt;="&amp;DATE(2026,8,10),日次入力!$C$4:$C$1500,"LINEウェビナー"))</f>
        <v/>
      </c>
      <c r="O303" s="15" t="str">
        <f aca="false">IF(N303="","",IFERROR(N303/L303,""))</f>
        <v/>
      </c>
      <c r="P303" s="37" t="str">
        <f aca="false">IF(N303=0,"",IFERROR(C303/N303,""))</f>
        <v/>
      </c>
      <c r="Q303" s="38" t="str">
        <f aca="false">IF(N303=0,"",IFERROR(IF(C303/N303&lt;=用語集!$B$22,"◎ 許容内","✗ 超過"),"—"))</f>
        <v>—</v>
      </c>
      <c r="R303" s="39" t="str">
        <f aca="false">IFERROR(用語集!$B$22/P303,"")</f>
        <v/>
      </c>
    </row>
    <row r="304" customFormat="false" ht="15" hidden="false" customHeight="false" outlineLevel="0" collapsed="false">
      <c r="A304" s="34" t="s">
        <v>96</v>
      </c>
      <c r="B304" s="35" t="s">
        <v>97</v>
      </c>
      <c r="C304" s="41" t="str">
        <f aca="false">IF(COUNTIFS(日次入力!$A$4:$A$1500,"&gt;="&amp;DATE(2026,8,11),日次入力!$A$4:$A$1500,"&lt;="&amp;DATE(2026,8,17),日次入力!$C$4:$C$1500,"LINEウェビナー")=0,"",SUMIFS(日次入力!$D$4:$D$1500,日次入力!$A$4:$A$1500,"&gt;="&amp;DATE(2026,8,11),日次入力!$A$4:$A$1500,"&lt;="&amp;DATE(2026,8,17),日次入力!$C$4:$C$1500,"LINEウェビナー"))</f>
        <v/>
      </c>
      <c r="D304" s="42" t="str">
        <f aca="false">IF(COUNTIFS(日次入力!$A$4:$A$1500,"&gt;="&amp;DATE(2026,8,11),日次入力!$A$4:$A$1500,"&lt;="&amp;DATE(2026,8,17),日次入力!$C$4:$C$1500,"LINEウェビナー")=0,"",SUMIFS(日次入力!$E$4:$E$1500,日次入力!$A$4:$A$1500,"&gt;="&amp;DATE(2026,8,11),日次入力!$A$4:$A$1500,"&lt;="&amp;DATE(2026,8,17),日次入力!$C$4:$C$1500,"LINEウェビナー"))</f>
        <v/>
      </c>
      <c r="E304" s="42" t="str">
        <f aca="false">IF(COUNTIFS(日次入力!$A$4:$A$1500,"&gt;="&amp;DATE(2026,8,11),日次入力!$A$4:$A$1500,"&lt;="&amp;DATE(2026,8,17),日次入力!$C$4:$C$1500,"LINEウェビナー")=0,"",SUMIFS(日次入力!$F$4:$F$1500,日次入力!$A$4:$A$1500,"&gt;="&amp;DATE(2026,8,11),日次入力!$A$4:$A$1500,"&lt;="&amp;DATE(2026,8,17),日次入力!$C$4:$C$1500,"LINEウェビナー"))</f>
        <v/>
      </c>
      <c r="F304" s="42" t="str">
        <f aca="false">IF(COUNTIFS(日次入力!$A$4:$A$1500,"&gt;="&amp;DATE(2026,8,11),日次入力!$A$4:$A$1500,"&lt;="&amp;DATE(2026,8,17),日次入力!$C$4:$C$1500,"LINEウェビナー")=0,"",SUMIFS(日次入力!$G$4:$G$1500,日次入力!$A$4:$A$1500,"&gt;="&amp;DATE(2026,8,11),日次入力!$A$4:$A$1500,"&lt;="&amp;DATE(2026,8,17),日次入力!$C$4:$C$1500,"LINEウェビナー"))</f>
        <v/>
      </c>
      <c r="G304" s="15" t="str">
        <f aca="false">IFERROR(E304/D304,"")</f>
        <v/>
      </c>
      <c r="H304" s="37" t="str">
        <f aca="false">IFERROR(C304/E304,"")</f>
        <v/>
      </c>
      <c r="I304" s="37" t="str">
        <f aca="false">IFERROR(C304/D304*1000,"")</f>
        <v/>
      </c>
      <c r="J304" s="15" t="str">
        <f aca="false">IFERROR(F304/E304,"")</f>
        <v/>
      </c>
      <c r="K304" s="37" t="str">
        <f aca="false">IFERROR(C304/F304,"")</f>
        <v/>
      </c>
      <c r="L304" s="42" t="str">
        <f aca="false">IF(COUNTIFS(日次入力!$A$4:$A$1500,"&gt;="&amp;DATE(2026,8,11),日次入力!$A$4:$A$1500,"&lt;="&amp;DATE(2026,8,17),日次入力!$C$4:$C$1500,"LINEウェビナー")=0,"",SUMIFS(日次入力!$H$4:$H$1500,日次入力!$A$4:$A$1500,"&gt;="&amp;DATE(2026,8,11),日次入力!$A$4:$A$1500,"&lt;="&amp;DATE(2026,8,17),日次入力!$C$4:$C$1500,"LINEウェビナー"))</f>
        <v/>
      </c>
      <c r="M304" s="15" t="str">
        <f aca="false">IF(L304="","",IFERROR(L304/F304,""))</f>
        <v/>
      </c>
      <c r="N304" s="42" t="str">
        <f aca="false">IF(COUNTIFS(日次入力!$A$4:$A$1500,"&gt;="&amp;DATE(2026,8,11),日次入力!$A$4:$A$1500,"&lt;="&amp;DATE(2026,8,17),日次入力!$C$4:$C$1500,"LINEウェビナー")=0,"",SUMIFS(日次入力!$I$4:$I$1500,日次入力!$A$4:$A$1500,"&gt;="&amp;DATE(2026,8,11),日次入力!$A$4:$A$1500,"&lt;="&amp;DATE(2026,8,17),日次入力!$C$4:$C$1500,"LINEウェビナー"))</f>
        <v/>
      </c>
      <c r="O304" s="15" t="str">
        <f aca="false">IF(N304="","",IFERROR(N304/L304,""))</f>
        <v/>
      </c>
      <c r="P304" s="37" t="str">
        <f aca="false">IF(N304=0,"",IFERROR(C304/N304,""))</f>
        <v/>
      </c>
      <c r="Q304" s="38" t="str">
        <f aca="false">IF(N304=0,"",IFERROR(IF(C304/N304&lt;=用語集!$B$22,"◎ 許容内","✗ 超過"),"—"))</f>
        <v>—</v>
      </c>
      <c r="R304" s="39" t="str">
        <f aca="false">IFERROR(用語集!$B$22/P304,"")</f>
        <v/>
      </c>
    </row>
    <row r="305" customFormat="false" ht="15" hidden="false" customHeight="false" outlineLevel="0" collapsed="false">
      <c r="A305" s="34" t="s">
        <v>98</v>
      </c>
      <c r="B305" s="35" t="s">
        <v>99</v>
      </c>
      <c r="C305" s="41" t="str">
        <f aca="false">IF(COUNTIFS(日次入力!$A$4:$A$1500,"&gt;="&amp;DATE(2026,8,18),日次入力!$A$4:$A$1500,"&lt;="&amp;DATE(2026,8,24),日次入力!$C$4:$C$1500,"LINEウェビナー")=0,"",SUMIFS(日次入力!$D$4:$D$1500,日次入力!$A$4:$A$1500,"&gt;="&amp;DATE(2026,8,18),日次入力!$A$4:$A$1500,"&lt;="&amp;DATE(2026,8,24),日次入力!$C$4:$C$1500,"LINEウェビナー"))</f>
        <v/>
      </c>
      <c r="D305" s="42" t="str">
        <f aca="false">IF(COUNTIFS(日次入力!$A$4:$A$1500,"&gt;="&amp;DATE(2026,8,18),日次入力!$A$4:$A$1500,"&lt;="&amp;DATE(2026,8,24),日次入力!$C$4:$C$1500,"LINEウェビナー")=0,"",SUMIFS(日次入力!$E$4:$E$1500,日次入力!$A$4:$A$1500,"&gt;="&amp;DATE(2026,8,18),日次入力!$A$4:$A$1500,"&lt;="&amp;DATE(2026,8,24),日次入力!$C$4:$C$1500,"LINEウェビナー"))</f>
        <v/>
      </c>
      <c r="E305" s="42" t="str">
        <f aca="false">IF(COUNTIFS(日次入力!$A$4:$A$1500,"&gt;="&amp;DATE(2026,8,18),日次入力!$A$4:$A$1500,"&lt;="&amp;DATE(2026,8,24),日次入力!$C$4:$C$1500,"LINEウェビナー")=0,"",SUMIFS(日次入力!$F$4:$F$1500,日次入力!$A$4:$A$1500,"&gt;="&amp;DATE(2026,8,18),日次入力!$A$4:$A$1500,"&lt;="&amp;DATE(2026,8,24),日次入力!$C$4:$C$1500,"LINEウェビナー"))</f>
        <v/>
      </c>
      <c r="F305" s="42" t="str">
        <f aca="false">IF(COUNTIFS(日次入力!$A$4:$A$1500,"&gt;="&amp;DATE(2026,8,18),日次入力!$A$4:$A$1500,"&lt;="&amp;DATE(2026,8,24),日次入力!$C$4:$C$1500,"LINEウェビナー")=0,"",SUMIFS(日次入力!$G$4:$G$1500,日次入力!$A$4:$A$1500,"&gt;="&amp;DATE(2026,8,18),日次入力!$A$4:$A$1500,"&lt;="&amp;DATE(2026,8,24),日次入力!$C$4:$C$1500,"LINEウェビナー"))</f>
        <v/>
      </c>
      <c r="G305" s="15" t="str">
        <f aca="false">IFERROR(E305/D305,"")</f>
        <v/>
      </c>
      <c r="H305" s="37" t="str">
        <f aca="false">IFERROR(C305/E305,"")</f>
        <v/>
      </c>
      <c r="I305" s="37" t="str">
        <f aca="false">IFERROR(C305/D305*1000,"")</f>
        <v/>
      </c>
      <c r="J305" s="15" t="str">
        <f aca="false">IFERROR(F305/E305,"")</f>
        <v/>
      </c>
      <c r="K305" s="37" t="str">
        <f aca="false">IFERROR(C305/F305,"")</f>
        <v/>
      </c>
      <c r="L305" s="42" t="str">
        <f aca="false">IF(COUNTIFS(日次入力!$A$4:$A$1500,"&gt;="&amp;DATE(2026,8,18),日次入力!$A$4:$A$1500,"&lt;="&amp;DATE(2026,8,24),日次入力!$C$4:$C$1500,"LINEウェビナー")=0,"",SUMIFS(日次入力!$H$4:$H$1500,日次入力!$A$4:$A$1500,"&gt;="&amp;DATE(2026,8,18),日次入力!$A$4:$A$1500,"&lt;="&amp;DATE(2026,8,24),日次入力!$C$4:$C$1500,"LINEウェビナー"))</f>
        <v/>
      </c>
      <c r="M305" s="15" t="str">
        <f aca="false">IF(L305="","",IFERROR(L305/F305,""))</f>
        <v/>
      </c>
      <c r="N305" s="42" t="str">
        <f aca="false">IF(COUNTIFS(日次入力!$A$4:$A$1500,"&gt;="&amp;DATE(2026,8,18),日次入力!$A$4:$A$1500,"&lt;="&amp;DATE(2026,8,24),日次入力!$C$4:$C$1500,"LINEウェビナー")=0,"",SUMIFS(日次入力!$I$4:$I$1500,日次入力!$A$4:$A$1500,"&gt;="&amp;DATE(2026,8,18),日次入力!$A$4:$A$1500,"&lt;="&amp;DATE(2026,8,24),日次入力!$C$4:$C$1500,"LINEウェビナー"))</f>
        <v/>
      </c>
      <c r="O305" s="15" t="str">
        <f aca="false">IF(N305="","",IFERROR(N305/L305,""))</f>
        <v/>
      </c>
      <c r="P305" s="37" t="str">
        <f aca="false">IF(N305=0,"",IFERROR(C305/N305,""))</f>
        <v/>
      </c>
      <c r="Q305" s="38" t="str">
        <f aca="false">IF(N305=0,"",IFERROR(IF(C305/N305&lt;=用語集!$B$22,"◎ 許容内","✗ 超過"),"—"))</f>
        <v>—</v>
      </c>
      <c r="R305" s="39" t="str">
        <f aca="false">IFERROR(用語集!$B$22/P305,"")</f>
        <v/>
      </c>
    </row>
    <row r="306" customFormat="false" ht="15" hidden="false" customHeight="false" outlineLevel="0" collapsed="false">
      <c r="A306" s="34" t="s">
        <v>100</v>
      </c>
      <c r="B306" s="35" t="s">
        <v>101</v>
      </c>
      <c r="C306" s="41" t="str">
        <f aca="false">IF(COUNTIFS(日次入力!$A$4:$A$1500,"&gt;="&amp;DATE(2026,8,25),日次入力!$A$4:$A$1500,"&lt;="&amp;DATE(2026,8,31),日次入力!$C$4:$C$1500,"LINEウェビナー")=0,"",SUMIFS(日次入力!$D$4:$D$1500,日次入力!$A$4:$A$1500,"&gt;="&amp;DATE(2026,8,25),日次入力!$A$4:$A$1500,"&lt;="&amp;DATE(2026,8,31),日次入力!$C$4:$C$1500,"LINEウェビナー"))</f>
        <v/>
      </c>
      <c r="D306" s="42" t="str">
        <f aca="false">IF(COUNTIFS(日次入力!$A$4:$A$1500,"&gt;="&amp;DATE(2026,8,25),日次入力!$A$4:$A$1500,"&lt;="&amp;DATE(2026,8,31),日次入力!$C$4:$C$1500,"LINEウェビナー")=0,"",SUMIFS(日次入力!$E$4:$E$1500,日次入力!$A$4:$A$1500,"&gt;="&amp;DATE(2026,8,25),日次入力!$A$4:$A$1500,"&lt;="&amp;DATE(2026,8,31),日次入力!$C$4:$C$1500,"LINEウェビナー"))</f>
        <v/>
      </c>
      <c r="E306" s="42" t="str">
        <f aca="false">IF(COUNTIFS(日次入力!$A$4:$A$1500,"&gt;="&amp;DATE(2026,8,25),日次入力!$A$4:$A$1500,"&lt;="&amp;DATE(2026,8,31),日次入力!$C$4:$C$1500,"LINEウェビナー")=0,"",SUMIFS(日次入力!$F$4:$F$1500,日次入力!$A$4:$A$1500,"&gt;="&amp;DATE(2026,8,25),日次入力!$A$4:$A$1500,"&lt;="&amp;DATE(2026,8,31),日次入力!$C$4:$C$1500,"LINEウェビナー"))</f>
        <v/>
      </c>
      <c r="F306" s="42" t="str">
        <f aca="false">IF(COUNTIFS(日次入力!$A$4:$A$1500,"&gt;="&amp;DATE(2026,8,25),日次入力!$A$4:$A$1500,"&lt;="&amp;DATE(2026,8,31),日次入力!$C$4:$C$1500,"LINEウェビナー")=0,"",SUMIFS(日次入力!$G$4:$G$1500,日次入力!$A$4:$A$1500,"&gt;="&amp;DATE(2026,8,25),日次入力!$A$4:$A$1500,"&lt;="&amp;DATE(2026,8,31),日次入力!$C$4:$C$1500,"LINEウェビナー"))</f>
        <v/>
      </c>
      <c r="G306" s="15" t="str">
        <f aca="false">IFERROR(E306/D306,"")</f>
        <v/>
      </c>
      <c r="H306" s="37" t="str">
        <f aca="false">IFERROR(C306/E306,"")</f>
        <v/>
      </c>
      <c r="I306" s="37" t="str">
        <f aca="false">IFERROR(C306/D306*1000,"")</f>
        <v/>
      </c>
      <c r="J306" s="15" t="str">
        <f aca="false">IFERROR(F306/E306,"")</f>
        <v/>
      </c>
      <c r="K306" s="37" t="str">
        <f aca="false">IFERROR(C306/F306,"")</f>
        <v/>
      </c>
      <c r="L306" s="42" t="str">
        <f aca="false">IF(COUNTIFS(日次入力!$A$4:$A$1500,"&gt;="&amp;DATE(2026,8,25),日次入力!$A$4:$A$1500,"&lt;="&amp;DATE(2026,8,31),日次入力!$C$4:$C$1500,"LINEウェビナー")=0,"",SUMIFS(日次入力!$H$4:$H$1500,日次入力!$A$4:$A$1500,"&gt;="&amp;DATE(2026,8,25),日次入力!$A$4:$A$1500,"&lt;="&amp;DATE(2026,8,31),日次入力!$C$4:$C$1500,"LINEウェビナー"))</f>
        <v/>
      </c>
      <c r="M306" s="15" t="str">
        <f aca="false">IF(L306="","",IFERROR(L306/F306,""))</f>
        <v/>
      </c>
      <c r="N306" s="42" t="str">
        <f aca="false">IF(COUNTIFS(日次入力!$A$4:$A$1500,"&gt;="&amp;DATE(2026,8,25),日次入力!$A$4:$A$1500,"&lt;="&amp;DATE(2026,8,31),日次入力!$C$4:$C$1500,"LINEウェビナー")=0,"",SUMIFS(日次入力!$I$4:$I$1500,日次入力!$A$4:$A$1500,"&gt;="&amp;DATE(2026,8,25),日次入力!$A$4:$A$1500,"&lt;="&amp;DATE(2026,8,31),日次入力!$C$4:$C$1500,"LINEウェビナー"))</f>
        <v/>
      </c>
      <c r="O306" s="15" t="str">
        <f aca="false">IF(N306="","",IFERROR(N306/L306,""))</f>
        <v/>
      </c>
      <c r="P306" s="37" t="str">
        <f aca="false">IF(N306=0,"",IFERROR(C306/N306,""))</f>
        <v/>
      </c>
      <c r="Q306" s="38" t="str">
        <f aca="false">IF(N306=0,"",IFERROR(IF(C306/N306&lt;=用語集!$B$22,"◎ 許容内","✗ 超過"),"—"))</f>
        <v>—</v>
      </c>
      <c r="R306" s="39" t="str">
        <f aca="false">IFERROR(用語集!$B$22/P306,"")</f>
        <v/>
      </c>
    </row>
    <row r="307" customFormat="false" ht="15" hidden="false" customHeight="false" outlineLevel="0" collapsed="false">
      <c r="A307" s="34" t="s">
        <v>102</v>
      </c>
      <c r="B307" s="35" t="s">
        <v>103</v>
      </c>
      <c r="C307" s="41" t="str">
        <f aca="false">IF(COUNTIFS(日次入力!$A$4:$A$1500,"&gt;="&amp;DATE(2026,9,1),日次入力!$A$4:$A$1500,"&lt;="&amp;DATE(2026,9,7),日次入力!$C$4:$C$1500,"LINEウェビナー")=0,"",SUMIFS(日次入力!$D$4:$D$1500,日次入力!$A$4:$A$1500,"&gt;="&amp;DATE(2026,9,1),日次入力!$A$4:$A$1500,"&lt;="&amp;DATE(2026,9,7),日次入力!$C$4:$C$1500,"LINEウェビナー"))</f>
        <v/>
      </c>
      <c r="D307" s="42" t="str">
        <f aca="false">IF(COUNTIFS(日次入力!$A$4:$A$1500,"&gt;="&amp;DATE(2026,9,1),日次入力!$A$4:$A$1500,"&lt;="&amp;DATE(2026,9,7),日次入力!$C$4:$C$1500,"LINEウェビナー")=0,"",SUMIFS(日次入力!$E$4:$E$1500,日次入力!$A$4:$A$1500,"&gt;="&amp;DATE(2026,9,1),日次入力!$A$4:$A$1500,"&lt;="&amp;DATE(2026,9,7),日次入力!$C$4:$C$1500,"LINEウェビナー"))</f>
        <v/>
      </c>
      <c r="E307" s="42" t="str">
        <f aca="false">IF(COUNTIFS(日次入力!$A$4:$A$1500,"&gt;="&amp;DATE(2026,9,1),日次入力!$A$4:$A$1500,"&lt;="&amp;DATE(2026,9,7),日次入力!$C$4:$C$1500,"LINEウェビナー")=0,"",SUMIFS(日次入力!$F$4:$F$1500,日次入力!$A$4:$A$1500,"&gt;="&amp;DATE(2026,9,1),日次入力!$A$4:$A$1500,"&lt;="&amp;DATE(2026,9,7),日次入力!$C$4:$C$1500,"LINEウェビナー"))</f>
        <v/>
      </c>
      <c r="F307" s="42" t="str">
        <f aca="false">IF(COUNTIFS(日次入力!$A$4:$A$1500,"&gt;="&amp;DATE(2026,9,1),日次入力!$A$4:$A$1500,"&lt;="&amp;DATE(2026,9,7),日次入力!$C$4:$C$1500,"LINEウェビナー")=0,"",SUMIFS(日次入力!$G$4:$G$1500,日次入力!$A$4:$A$1500,"&gt;="&amp;DATE(2026,9,1),日次入力!$A$4:$A$1500,"&lt;="&amp;DATE(2026,9,7),日次入力!$C$4:$C$1500,"LINEウェビナー"))</f>
        <v/>
      </c>
      <c r="G307" s="15" t="str">
        <f aca="false">IFERROR(E307/D307,"")</f>
        <v/>
      </c>
      <c r="H307" s="37" t="str">
        <f aca="false">IFERROR(C307/E307,"")</f>
        <v/>
      </c>
      <c r="I307" s="37" t="str">
        <f aca="false">IFERROR(C307/D307*1000,"")</f>
        <v/>
      </c>
      <c r="J307" s="15" t="str">
        <f aca="false">IFERROR(F307/E307,"")</f>
        <v/>
      </c>
      <c r="K307" s="37" t="str">
        <f aca="false">IFERROR(C307/F307,"")</f>
        <v/>
      </c>
      <c r="L307" s="42" t="str">
        <f aca="false">IF(COUNTIFS(日次入力!$A$4:$A$1500,"&gt;="&amp;DATE(2026,9,1),日次入力!$A$4:$A$1500,"&lt;="&amp;DATE(2026,9,7),日次入力!$C$4:$C$1500,"LINEウェビナー")=0,"",SUMIFS(日次入力!$H$4:$H$1500,日次入力!$A$4:$A$1500,"&gt;="&amp;DATE(2026,9,1),日次入力!$A$4:$A$1500,"&lt;="&amp;DATE(2026,9,7),日次入力!$C$4:$C$1500,"LINEウェビナー"))</f>
        <v/>
      </c>
      <c r="M307" s="15" t="str">
        <f aca="false">IF(L307="","",IFERROR(L307/F307,""))</f>
        <v/>
      </c>
      <c r="N307" s="42" t="str">
        <f aca="false">IF(COUNTIFS(日次入力!$A$4:$A$1500,"&gt;="&amp;DATE(2026,9,1),日次入力!$A$4:$A$1500,"&lt;="&amp;DATE(2026,9,7),日次入力!$C$4:$C$1500,"LINEウェビナー")=0,"",SUMIFS(日次入力!$I$4:$I$1500,日次入力!$A$4:$A$1500,"&gt;="&amp;DATE(2026,9,1),日次入力!$A$4:$A$1500,"&lt;="&amp;DATE(2026,9,7),日次入力!$C$4:$C$1500,"LINEウェビナー"))</f>
        <v/>
      </c>
      <c r="O307" s="15" t="str">
        <f aca="false">IF(N307="","",IFERROR(N307/L307,""))</f>
        <v/>
      </c>
      <c r="P307" s="37" t="str">
        <f aca="false">IF(N307=0,"",IFERROR(C307/N307,""))</f>
        <v/>
      </c>
      <c r="Q307" s="38" t="str">
        <f aca="false">IF(N307=0,"",IFERROR(IF(C307/N307&lt;=用語集!$B$22,"◎ 許容内","✗ 超過"),"—"))</f>
        <v>—</v>
      </c>
      <c r="R307" s="39" t="str">
        <f aca="false">IFERROR(用語集!$B$22/P307,"")</f>
        <v/>
      </c>
    </row>
    <row r="308" customFormat="false" ht="15" hidden="false" customHeight="false" outlineLevel="0" collapsed="false">
      <c r="A308" s="34" t="s">
        <v>104</v>
      </c>
      <c r="B308" s="35" t="s">
        <v>105</v>
      </c>
      <c r="C308" s="41" t="str">
        <f aca="false">IF(COUNTIFS(日次入力!$A$4:$A$1500,"&gt;="&amp;DATE(2026,9,8),日次入力!$A$4:$A$1500,"&lt;="&amp;DATE(2026,9,14),日次入力!$C$4:$C$1500,"LINEウェビナー")=0,"",SUMIFS(日次入力!$D$4:$D$1500,日次入力!$A$4:$A$1500,"&gt;="&amp;DATE(2026,9,8),日次入力!$A$4:$A$1500,"&lt;="&amp;DATE(2026,9,14),日次入力!$C$4:$C$1500,"LINEウェビナー"))</f>
        <v/>
      </c>
      <c r="D308" s="42" t="str">
        <f aca="false">IF(COUNTIFS(日次入力!$A$4:$A$1500,"&gt;="&amp;DATE(2026,9,8),日次入力!$A$4:$A$1500,"&lt;="&amp;DATE(2026,9,14),日次入力!$C$4:$C$1500,"LINEウェビナー")=0,"",SUMIFS(日次入力!$E$4:$E$1500,日次入力!$A$4:$A$1500,"&gt;="&amp;DATE(2026,9,8),日次入力!$A$4:$A$1500,"&lt;="&amp;DATE(2026,9,14),日次入力!$C$4:$C$1500,"LINEウェビナー"))</f>
        <v/>
      </c>
      <c r="E308" s="42" t="str">
        <f aca="false">IF(COUNTIFS(日次入力!$A$4:$A$1500,"&gt;="&amp;DATE(2026,9,8),日次入力!$A$4:$A$1500,"&lt;="&amp;DATE(2026,9,14),日次入力!$C$4:$C$1500,"LINEウェビナー")=0,"",SUMIFS(日次入力!$F$4:$F$1500,日次入力!$A$4:$A$1500,"&gt;="&amp;DATE(2026,9,8),日次入力!$A$4:$A$1500,"&lt;="&amp;DATE(2026,9,14),日次入力!$C$4:$C$1500,"LINEウェビナー"))</f>
        <v/>
      </c>
      <c r="F308" s="42" t="str">
        <f aca="false">IF(COUNTIFS(日次入力!$A$4:$A$1500,"&gt;="&amp;DATE(2026,9,8),日次入力!$A$4:$A$1500,"&lt;="&amp;DATE(2026,9,14),日次入力!$C$4:$C$1500,"LINEウェビナー")=0,"",SUMIFS(日次入力!$G$4:$G$1500,日次入力!$A$4:$A$1500,"&gt;="&amp;DATE(2026,9,8),日次入力!$A$4:$A$1500,"&lt;="&amp;DATE(2026,9,14),日次入力!$C$4:$C$1500,"LINEウェビナー"))</f>
        <v/>
      </c>
      <c r="G308" s="15" t="str">
        <f aca="false">IFERROR(E308/D308,"")</f>
        <v/>
      </c>
      <c r="H308" s="37" t="str">
        <f aca="false">IFERROR(C308/E308,"")</f>
        <v/>
      </c>
      <c r="I308" s="37" t="str">
        <f aca="false">IFERROR(C308/D308*1000,"")</f>
        <v/>
      </c>
      <c r="J308" s="15" t="str">
        <f aca="false">IFERROR(F308/E308,"")</f>
        <v/>
      </c>
      <c r="K308" s="37" t="str">
        <f aca="false">IFERROR(C308/F308,"")</f>
        <v/>
      </c>
      <c r="L308" s="42" t="str">
        <f aca="false">IF(COUNTIFS(日次入力!$A$4:$A$1500,"&gt;="&amp;DATE(2026,9,8),日次入力!$A$4:$A$1500,"&lt;="&amp;DATE(2026,9,14),日次入力!$C$4:$C$1500,"LINEウェビナー")=0,"",SUMIFS(日次入力!$H$4:$H$1500,日次入力!$A$4:$A$1500,"&gt;="&amp;DATE(2026,9,8),日次入力!$A$4:$A$1500,"&lt;="&amp;DATE(2026,9,14),日次入力!$C$4:$C$1500,"LINEウェビナー"))</f>
        <v/>
      </c>
      <c r="M308" s="15" t="str">
        <f aca="false">IF(L308="","",IFERROR(L308/F308,""))</f>
        <v/>
      </c>
      <c r="N308" s="42" t="str">
        <f aca="false">IF(COUNTIFS(日次入力!$A$4:$A$1500,"&gt;="&amp;DATE(2026,9,8),日次入力!$A$4:$A$1500,"&lt;="&amp;DATE(2026,9,14),日次入力!$C$4:$C$1500,"LINEウェビナー")=0,"",SUMIFS(日次入力!$I$4:$I$1500,日次入力!$A$4:$A$1500,"&gt;="&amp;DATE(2026,9,8),日次入力!$A$4:$A$1500,"&lt;="&amp;DATE(2026,9,14),日次入力!$C$4:$C$1500,"LINEウェビナー"))</f>
        <v/>
      </c>
      <c r="O308" s="15" t="str">
        <f aca="false">IF(N308="","",IFERROR(N308/L308,""))</f>
        <v/>
      </c>
      <c r="P308" s="37" t="str">
        <f aca="false">IF(N308=0,"",IFERROR(C308/N308,""))</f>
        <v/>
      </c>
      <c r="Q308" s="38" t="str">
        <f aca="false">IF(N308=0,"",IFERROR(IF(C308/N308&lt;=用語集!$B$22,"◎ 許容内","✗ 超過"),"—"))</f>
        <v>—</v>
      </c>
      <c r="R308" s="39" t="str">
        <f aca="false">IFERROR(用語集!$B$22/P308,"")</f>
        <v/>
      </c>
    </row>
    <row r="309" customFormat="false" ht="15" hidden="false" customHeight="false" outlineLevel="0" collapsed="false">
      <c r="A309" s="34" t="s">
        <v>106</v>
      </c>
      <c r="B309" s="35" t="s">
        <v>107</v>
      </c>
      <c r="C309" s="41" t="str">
        <f aca="false">IF(COUNTIFS(日次入力!$A$4:$A$1500,"&gt;="&amp;DATE(2026,9,15),日次入力!$A$4:$A$1500,"&lt;="&amp;DATE(2026,9,21),日次入力!$C$4:$C$1500,"LINEウェビナー")=0,"",SUMIFS(日次入力!$D$4:$D$1500,日次入力!$A$4:$A$1500,"&gt;="&amp;DATE(2026,9,15),日次入力!$A$4:$A$1500,"&lt;="&amp;DATE(2026,9,21),日次入力!$C$4:$C$1500,"LINEウェビナー"))</f>
        <v/>
      </c>
      <c r="D309" s="42" t="str">
        <f aca="false">IF(COUNTIFS(日次入力!$A$4:$A$1500,"&gt;="&amp;DATE(2026,9,15),日次入力!$A$4:$A$1500,"&lt;="&amp;DATE(2026,9,21),日次入力!$C$4:$C$1500,"LINEウェビナー")=0,"",SUMIFS(日次入力!$E$4:$E$1500,日次入力!$A$4:$A$1500,"&gt;="&amp;DATE(2026,9,15),日次入力!$A$4:$A$1500,"&lt;="&amp;DATE(2026,9,21),日次入力!$C$4:$C$1500,"LINEウェビナー"))</f>
        <v/>
      </c>
      <c r="E309" s="42" t="str">
        <f aca="false">IF(COUNTIFS(日次入力!$A$4:$A$1500,"&gt;="&amp;DATE(2026,9,15),日次入力!$A$4:$A$1500,"&lt;="&amp;DATE(2026,9,21),日次入力!$C$4:$C$1500,"LINEウェビナー")=0,"",SUMIFS(日次入力!$F$4:$F$1500,日次入力!$A$4:$A$1500,"&gt;="&amp;DATE(2026,9,15),日次入力!$A$4:$A$1500,"&lt;="&amp;DATE(2026,9,21),日次入力!$C$4:$C$1500,"LINEウェビナー"))</f>
        <v/>
      </c>
      <c r="F309" s="42" t="str">
        <f aca="false">IF(COUNTIFS(日次入力!$A$4:$A$1500,"&gt;="&amp;DATE(2026,9,15),日次入力!$A$4:$A$1500,"&lt;="&amp;DATE(2026,9,21),日次入力!$C$4:$C$1500,"LINEウェビナー")=0,"",SUMIFS(日次入力!$G$4:$G$1500,日次入力!$A$4:$A$1500,"&gt;="&amp;DATE(2026,9,15),日次入力!$A$4:$A$1500,"&lt;="&amp;DATE(2026,9,21),日次入力!$C$4:$C$1500,"LINEウェビナー"))</f>
        <v/>
      </c>
      <c r="G309" s="15" t="str">
        <f aca="false">IFERROR(E309/D309,"")</f>
        <v/>
      </c>
      <c r="H309" s="37" t="str">
        <f aca="false">IFERROR(C309/E309,"")</f>
        <v/>
      </c>
      <c r="I309" s="37" t="str">
        <f aca="false">IFERROR(C309/D309*1000,"")</f>
        <v/>
      </c>
      <c r="J309" s="15" t="str">
        <f aca="false">IFERROR(F309/E309,"")</f>
        <v/>
      </c>
      <c r="K309" s="37" t="str">
        <f aca="false">IFERROR(C309/F309,"")</f>
        <v/>
      </c>
      <c r="L309" s="42" t="str">
        <f aca="false">IF(COUNTIFS(日次入力!$A$4:$A$1500,"&gt;="&amp;DATE(2026,9,15),日次入力!$A$4:$A$1500,"&lt;="&amp;DATE(2026,9,21),日次入力!$C$4:$C$1500,"LINEウェビナー")=0,"",SUMIFS(日次入力!$H$4:$H$1500,日次入力!$A$4:$A$1500,"&gt;="&amp;DATE(2026,9,15),日次入力!$A$4:$A$1500,"&lt;="&amp;DATE(2026,9,21),日次入力!$C$4:$C$1500,"LINEウェビナー"))</f>
        <v/>
      </c>
      <c r="M309" s="15" t="str">
        <f aca="false">IF(L309="","",IFERROR(L309/F309,""))</f>
        <v/>
      </c>
      <c r="N309" s="42" t="str">
        <f aca="false">IF(COUNTIFS(日次入力!$A$4:$A$1500,"&gt;="&amp;DATE(2026,9,15),日次入力!$A$4:$A$1500,"&lt;="&amp;DATE(2026,9,21),日次入力!$C$4:$C$1500,"LINEウェビナー")=0,"",SUMIFS(日次入力!$I$4:$I$1500,日次入力!$A$4:$A$1500,"&gt;="&amp;DATE(2026,9,15),日次入力!$A$4:$A$1500,"&lt;="&amp;DATE(2026,9,21),日次入力!$C$4:$C$1500,"LINEウェビナー"))</f>
        <v/>
      </c>
      <c r="O309" s="15" t="str">
        <f aca="false">IF(N309="","",IFERROR(N309/L309,""))</f>
        <v/>
      </c>
      <c r="P309" s="37" t="str">
        <f aca="false">IF(N309=0,"",IFERROR(C309/N309,""))</f>
        <v/>
      </c>
      <c r="Q309" s="38" t="str">
        <f aca="false">IF(N309=0,"",IFERROR(IF(C309/N309&lt;=用語集!$B$22,"◎ 許容内","✗ 超過"),"—"))</f>
        <v>—</v>
      </c>
      <c r="R309" s="39" t="str">
        <f aca="false">IFERROR(用語集!$B$22/P309,"")</f>
        <v/>
      </c>
    </row>
    <row r="310" customFormat="false" ht="15" hidden="false" customHeight="false" outlineLevel="0" collapsed="false">
      <c r="A310" s="34" t="s">
        <v>108</v>
      </c>
      <c r="B310" s="35" t="s">
        <v>109</v>
      </c>
      <c r="C310" s="41" t="str">
        <f aca="false">IF(COUNTIFS(日次入力!$A$4:$A$1500,"&gt;="&amp;DATE(2026,9,22),日次入力!$A$4:$A$1500,"&lt;="&amp;DATE(2026,9,28),日次入力!$C$4:$C$1500,"LINEウェビナー")=0,"",SUMIFS(日次入力!$D$4:$D$1500,日次入力!$A$4:$A$1500,"&gt;="&amp;DATE(2026,9,22),日次入力!$A$4:$A$1500,"&lt;="&amp;DATE(2026,9,28),日次入力!$C$4:$C$1500,"LINEウェビナー"))</f>
        <v/>
      </c>
      <c r="D310" s="42" t="str">
        <f aca="false">IF(COUNTIFS(日次入力!$A$4:$A$1500,"&gt;="&amp;DATE(2026,9,22),日次入力!$A$4:$A$1500,"&lt;="&amp;DATE(2026,9,28),日次入力!$C$4:$C$1500,"LINEウェビナー")=0,"",SUMIFS(日次入力!$E$4:$E$1500,日次入力!$A$4:$A$1500,"&gt;="&amp;DATE(2026,9,22),日次入力!$A$4:$A$1500,"&lt;="&amp;DATE(2026,9,28),日次入力!$C$4:$C$1500,"LINEウェビナー"))</f>
        <v/>
      </c>
      <c r="E310" s="42" t="str">
        <f aca="false">IF(COUNTIFS(日次入力!$A$4:$A$1500,"&gt;="&amp;DATE(2026,9,22),日次入力!$A$4:$A$1500,"&lt;="&amp;DATE(2026,9,28),日次入力!$C$4:$C$1500,"LINEウェビナー")=0,"",SUMIFS(日次入力!$F$4:$F$1500,日次入力!$A$4:$A$1500,"&gt;="&amp;DATE(2026,9,22),日次入力!$A$4:$A$1500,"&lt;="&amp;DATE(2026,9,28),日次入力!$C$4:$C$1500,"LINEウェビナー"))</f>
        <v/>
      </c>
      <c r="F310" s="42" t="str">
        <f aca="false">IF(COUNTIFS(日次入力!$A$4:$A$1500,"&gt;="&amp;DATE(2026,9,22),日次入力!$A$4:$A$1500,"&lt;="&amp;DATE(2026,9,28),日次入力!$C$4:$C$1500,"LINEウェビナー")=0,"",SUMIFS(日次入力!$G$4:$G$1500,日次入力!$A$4:$A$1500,"&gt;="&amp;DATE(2026,9,22),日次入力!$A$4:$A$1500,"&lt;="&amp;DATE(2026,9,28),日次入力!$C$4:$C$1500,"LINEウェビナー"))</f>
        <v/>
      </c>
      <c r="G310" s="15" t="str">
        <f aca="false">IFERROR(E310/D310,"")</f>
        <v/>
      </c>
      <c r="H310" s="37" t="str">
        <f aca="false">IFERROR(C310/E310,"")</f>
        <v/>
      </c>
      <c r="I310" s="37" t="str">
        <f aca="false">IFERROR(C310/D310*1000,"")</f>
        <v/>
      </c>
      <c r="J310" s="15" t="str">
        <f aca="false">IFERROR(F310/E310,"")</f>
        <v/>
      </c>
      <c r="K310" s="37" t="str">
        <f aca="false">IFERROR(C310/F310,"")</f>
        <v/>
      </c>
      <c r="L310" s="42" t="str">
        <f aca="false">IF(COUNTIFS(日次入力!$A$4:$A$1500,"&gt;="&amp;DATE(2026,9,22),日次入力!$A$4:$A$1500,"&lt;="&amp;DATE(2026,9,28),日次入力!$C$4:$C$1500,"LINEウェビナー")=0,"",SUMIFS(日次入力!$H$4:$H$1500,日次入力!$A$4:$A$1500,"&gt;="&amp;DATE(2026,9,22),日次入力!$A$4:$A$1500,"&lt;="&amp;DATE(2026,9,28),日次入力!$C$4:$C$1500,"LINEウェビナー"))</f>
        <v/>
      </c>
      <c r="M310" s="15" t="str">
        <f aca="false">IF(L310="","",IFERROR(L310/F310,""))</f>
        <v/>
      </c>
      <c r="N310" s="42" t="str">
        <f aca="false">IF(COUNTIFS(日次入力!$A$4:$A$1500,"&gt;="&amp;DATE(2026,9,22),日次入力!$A$4:$A$1500,"&lt;="&amp;DATE(2026,9,28),日次入力!$C$4:$C$1500,"LINEウェビナー")=0,"",SUMIFS(日次入力!$I$4:$I$1500,日次入力!$A$4:$A$1500,"&gt;="&amp;DATE(2026,9,22),日次入力!$A$4:$A$1500,"&lt;="&amp;DATE(2026,9,28),日次入力!$C$4:$C$1500,"LINEウェビナー"))</f>
        <v/>
      </c>
      <c r="O310" s="15" t="str">
        <f aca="false">IF(N310="","",IFERROR(N310/L310,""))</f>
        <v/>
      </c>
      <c r="P310" s="37" t="str">
        <f aca="false">IF(N310=0,"",IFERROR(C310/N310,""))</f>
        <v/>
      </c>
      <c r="Q310" s="38" t="str">
        <f aca="false">IF(N310=0,"",IFERROR(IF(C310/N310&lt;=用語集!$B$22,"◎ 許容内","✗ 超過"),"—"))</f>
        <v>—</v>
      </c>
      <c r="R310" s="39" t="str">
        <f aca="false">IFERROR(用語集!$B$22/P310,"")</f>
        <v/>
      </c>
    </row>
    <row r="311" customFormat="false" ht="15" hidden="false" customHeight="false" outlineLevel="0" collapsed="false">
      <c r="A311" s="34" t="s">
        <v>110</v>
      </c>
      <c r="B311" s="35" t="s">
        <v>111</v>
      </c>
      <c r="C311" s="41" t="str">
        <f aca="false">IF(COUNTIFS(日次入力!$A$4:$A$1500,"&gt;="&amp;DATE(2026,9,29),日次入力!$A$4:$A$1500,"&lt;="&amp;DATE(2026,10,5),日次入力!$C$4:$C$1500,"LINEウェビナー")=0,"",SUMIFS(日次入力!$D$4:$D$1500,日次入力!$A$4:$A$1500,"&gt;="&amp;DATE(2026,9,29),日次入力!$A$4:$A$1500,"&lt;="&amp;DATE(2026,10,5),日次入力!$C$4:$C$1500,"LINEウェビナー"))</f>
        <v/>
      </c>
      <c r="D311" s="42" t="str">
        <f aca="false">IF(COUNTIFS(日次入力!$A$4:$A$1500,"&gt;="&amp;DATE(2026,9,29),日次入力!$A$4:$A$1500,"&lt;="&amp;DATE(2026,10,5),日次入力!$C$4:$C$1500,"LINEウェビナー")=0,"",SUMIFS(日次入力!$E$4:$E$1500,日次入力!$A$4:$A$1500,"&gt;="&amp;DATE(2026,9,29),日次入力!$A$4:$A$1500,"&lt;="&amp;DATE(2026,10,5),日次入力!$C$4:$C$1500,"LINEウェビナー"))</f>
        <v/>
      </c>
      <c r="E311" s="42" t="str">
        <f aca="false">IF(COUNTIFS(日次入力!$A$4:$A$1500,"&gt;="&amp;DATE(2026,9,29),日次入力!$A$4:$A$1500,"&lt;="&amp;DATE(2026,10,5),日次入力!$C$4:$C$1500,"LINEウェビナー")=0,"",SUMIFS(日次入力!$F$4:$F$1500,日次入力!$A$4:$A$1500,"&gt;="&amp;DATE(2026,9,29),日次入力!$A$4:$A$1500,"&lt;="&amp;DATE(2026,10,5),日次入力!$C$4:$C$1500,"LINEウェビナー"))</f>
        <v/>
      </c>
      <c r="F311" s="42" t="str">
        <f aca="false">IF(COUNTIFS(日次入力!$A$4:$A$1500,"&gt;="&amp;DATE(2026,9,29),日次入力!$A$4:$A$1500,"&lt;="&amp;DATE(2026,10,5),日次入力!$C$4:$C$1500,"LINEウェビナー")=0,"",SUMIFS(日次入力!$G$4:$G$1500,日次入力!$A$4:$A$1500,"&gt;="&amp;DATE(2026,9,29),日次入力!$A$4:$A$1500,"&lt;="&amp;DATE(2026,10,5),日次入力!$C$4:$C$1500,"LINEウェビナー"))</f>
        <v/>
      </c>
      <c r="G311" s="15" t="str">
        <f aca="false">IFERROR(E311/D311,"")</f>
        <v/>
      </c>
      <c r="H311" s="37" t="str">
        <f aca="false">IFERROR(C311/E311,"")</f>
        <v/>
      </c>
      <c r="I311" s="37" t="str">
        <f aca="false">IFERROR(C311/D311*1000,"")</f>
        <v/>
      </c>
      <c r="J311" s="15" t="str">
        <f aca="false">IFERROR(F311/E311,"")</f>
        <v/>
      </c>
      <c r="K311" s="37" t="str">
        <f aca="false">IFERROR(C311/F311,"")</f>
        <v/>
      </c>
      <c r="L311" s="42" t="str">
        <f aca="false">IF(COUNTIFS(日次入力!$A$4:$A$1500,"&gt;="&amp;DATE(2026,9,29),日次入力!$A$4:$A$1500,"&lt;="&amp;DATE(2026,10,5),日次入力!$C$4:$C$1500,"LINEウェビナー")=0,"",SUMIFS(日次入力!$H$4:$H$1500,日次入力!$A$4:$A$1500,"&gt;="&amp;DATE(2026,9,29),日次入力!$A$4:$A$1500,"&lt;="&amp;DATE(2026,10,5),日次入力!$C$4:$C$1500,"LINEウェビナー"))</f>
        <v/>
      </c>
      <c r="M311" s="15" t="str">
        <f aca="false">IF(L311="","",IFERROR(L311/F311,""))</f>
        <v/>
      </c>
      <c r="N311" s="42" t="str">
        <f aca="false">IF(COUNTIFS(日次入力!$A$4:$A$1500,"&gt;="&amp;DATE(2026,9,29),日次入力!$A$4:$A$1500,"&lt;="&amp;DATE(2026,10,5),日次入力!$C$4:$C$1500,"LINEウェビナー")=0,"",SUMIFS(日次入力!$I$4:$I$1500,日次入力!$A$4:$A$1500,"&gt;="&amp;DATE(2026,9,29),日次入力!$A$4:$A$1500,"&lt;="&amp;DATE(2026,10,5),日次入力!$C$4:$C$1500,"LINEウェビナー"))</f>
        <v/>
      </c>
      <c r="O311" s="15" t="str">
        <f aca="false">IF(N311="","",IFERROR(N311/L311,""))</f>
        <v/>
      </c>
      <c r="P311" s="37" t="str">
        <f aca="false">IF(N311=0,"",IFERROR(C311/N311,""))</f>
        <v/>
      </c>
      <c r="Q311" s="38" t="str">
        <f aca="false">IF(N311=0,"",IFERROR(IF(C311/N311&lt;=用語集!$B$22,"◎ 許容内","✗ 超過"),"—"))</f>
        <v>—</v>
      </c>
      <c r="R311" s="39" t="str">
        <f aca="false">IFERROR(用語集!$B$22/P311,"")</f>
        <v/>
      </c>
    </row>
    <row r="312" customFormat="false" ht="15" hidden="false" customHeight="false" outlineLevel="0" collapsed="false">
      <c r="A312" s="34" t="s">
        <v>112</v>
      </c>
      <c r="B312" s="35" t="s">
        <v>113</v>
      </c>
      <c r="C312" s="41" t="str">
        <f aca="false">IF(COUNTIFS(日次入力!$A$4:$A$1500,"&gt;="&amp;DATE(2026,10,6),日次入力!$A$4:$A$1500,"&lt;="&amp;DATE(2026,10,12),日次入力!$C$4:$C$1500,"LINEウェビナー")=0,"",SUMIFS(日次入力!$D$4:$D$1500,日次入力!$A$4:$A$1500,"&gt;="&amp;DATE(2026,10,6),日次入力!$A$4:$A$1500,"&lt;="&amp;DATE(2026,10,12),日次入力!$C$4:$C$1500,"LINEウェビナー"))</f>
        <v/>
      </c>
      <c r="D312" s="42" t="str">
        <f aca="false">IF(COUNTIFS(日次入力!$A$4:$A$1500,"&gt;="&amp;DATE(2026,10,6),日次入力!$A$4:$A$1500,"&lt;="&amp;DATE(2026,10,12),日次入力!$C$4:$C$1500,"LINEウェビナー")=0,"",SUMIFS(日次入力!$E$4:$E$1500,日次入力!$A$4:$A$1500,"&gt;="&amp;DATE(2026,10,6),日次入力!$A$4:$A$1500,"&lt;="&amp;DATE(2026,10,12),日次入力!$C$4:$C$1500,"LINEウェビナー"))</f>
        <v/>
      </c>
      <c r="E312" s="42" t="str">
        <f aca="false">IF(COUNTIFS(日次入力!$A$4:$A$1500,"&gt;="&amp;DATE(2026,10,6),日次入力!$A$4:$A$1500,"&lt;="&amp;DATE(2026,10,12),日次入力!$C$4:$C$1500,"LINEウェビナー")=0,"",SUMIFS(日次入力!$F$4:$F$1500,日次入力!$A$4:$A$1500,"&gt;="&amp;DATE(2026,10,6),日次入力!$A$4:$A$1500,"&lt;="&amp;DATE(2026,10,12),日次入力!$C$4:$C$1500,"LINEウェビナー"))</f>
        <v/>
      </c>
      <c r="F312" s="42" t="str">
        <f aca="false">IF(COUNTIFS(日次入力!$A$4:$A$1500,"&gt;="&amp;DATE(2026,10,6),日次入力!$A$4:$A$1500,"&lt;="&amp;DATE(2026,10,12),日次入力!$C$4:$C$1500,"LINEウェビナー")=0,"",SUMIFS(日次入力!$G$4:$G$1500,日次入力!$A$4:$A$1500,"&gt;="&amp;DATE(2026,10,6),日次入力!$A$4:$A$1500,"&lt;="&amp;DATE(2026,10,12),日次入力!$C$4:$C$1500,"LINEウェビナー"))</f>
        <v/>
      </c>
      <c r="G312" s="15" t="str">
        <f aca="false">IFERROR(E312/D312,"")</f>
        <v/>
      </c>
      <c r="H312" s="37" t="str">
        <f aca="false">IFERROR(C312/E312,"")</f>
        <v/>
      </c>
      <c r="I312" s="37" t="str">
        <f aca="false">IFERROR(C312/D312*1000,"")</f>
        <v/>
      </c>
      <c r="J312" s="15" t="str">
        <f aca="false">IFERROR(F312/E312,"")</f>
        <v/>
      </c>
      <c r="K312" s="37" t="str">
        <f aca="false">IFERROR(C312/F312,"")</f>
        <v/>
      </c>
      <c r="L312" s="42" t="str">
        <f aca="false">IF(COUNTIFS(日次入力!$A$4:$A$1500,"&gt;="&amp;DATE(2026,10,6),日次入力!$A$4:$A$1500,"&lt;="&amp;DATE(2026,10,12),日次入力!$C$4:$C$1500,"LINEウェビナー")=0,"",SUMIFS(日次入力!$H$4:$H$1500,日次入力!$A$4:$A$1500,"&gt;="&amp;DATE(2026,10,6),日次入力!$A$4:$A$1500,"&lt;="&amp;DATE(2026,10,12),日次入力!$C$4:$C$1500,"LINEウェビナー"))</f>
        <v/>
      </c>
      <c r="M312" s="15" t="str">
        <f aca="false">IF(L312="","",IFERROR(L312/F312,""))</f>
        <v/>
      </c>
      <c r="N312" s="42" t="str">
        <f aca="false">IF(COUNTIFS(日次入力!$A$4:$A$1500,"&gt;="&amp;DATE(2026,10,6),日次入力!$A$4:$A$1500,"&lt;="&amp;DATE(2026,10,12),日次入力!$C$4:$C$1500,"LINEウェビナー")=0,"",SUMIFS(日次入力!$I$4:$I$1500,日次入力!$A$4:$A$1500,"&gt;="&amp;DATE(2026,10,6),日次入力!$A$4:$A$1500,"&lt;="&amp;DATE(2026,10,12),日次入力!$C$4:$C$1500,"LINEウェビナー"))</f>
        <v/>
      </c>
      <c r="O312" s="15" t="str">
        <f aca="false">IF(N312="","",IFERROR(N312/L312,""))</f>
        <v/>
      </c>
      <c r="P312" s="37" t="str">
        <f aca="false">IF(N312=0,"",IFERROR(C312/N312,""))</f>
        <v/>
      </c>
      <c r="Q312" s="38" t="str">
        <f aca="false">IF(N312=0,"",IFERROR(IF(C312/N312&lt;=用語集!$B$22,"◎ 許容内","✗ 超過"),"—"))</f>
        <v>—</v>
      </c>
      <c r="R312" s="39" t="str">
        <f aca="false">IFERROR(用語集!$B$22/P312,"")</f>
        <v/>
      </c>
    </row>
    <row r="313" customFormat="false" ht="15" hidden="false" customHeight="false" outlineLevel="0" collapsed="false">
      <c r="A313" s="34" t="s">
        <v>114</v>
      </c>
      <c r="B313" s="35" t="s">
        <v>115</v>
      </c>
      <c r="C313" s="41" t="str">
        <f aca="false">IF(COUNTIFS(日次入力!$A$4:$A$1500,"&gt;="&amp;DATE(2026,10,13),日次入力!$A$4:$A$1500,"&lt;="&amp;DATE(2026,10,19),日次入力!$C$4:$C$1500,"LINEウェビナー")=0,"",SUMIFS(日次入力!$D$4:$D$1500,日次入力!$A$4:$A$1500,"&gt;="&amp;DATE(2026,10,13),日次入力!$A$4:$A$1500,"&lt;="&amp;DATE(2026,10,19),日次入力!$C$4:$C$1500,"LINEウェビナー"))</f>
        <v/>
      </c>
      <c r="D313" s="42" t="str">
        <f aca="false">IF(COUNTIFS(日次入力!$A$4:$A$1500,"&gt;="&amp;DATE(2026,10,13),日次入力!$A$4:$A$1500,"&lt;="&amp;DATE(2026,10,19),日次入力!$C$4:$C$1500,"LINEウェビナー")=0,"",SUMIFS(日次入力!$E$4:$E$1500,日次入力!$A$4:$A$1500,"&gt;="&amp;DATE(2026,10,13),日次入力!$A$4:$A$1500,"&lt;="&amp;DATE(2026,10,19),日次入力!$C$4:$C$1500,"LINEウェビナー"))</f>
        <v/>
      </c>
      <c r="E313" s="42" t="str">
        <f aca="false">IF(COUNTIFS(日次入力!$A$4:$A$1500,"&gt;="&amp;DATE(2026,10,13),日次入力!$A$4:$A$1500,"&lt;="&amp;DATE(2026,10,19),日次入力!$C$4:$C$1500,"LINEウェビナー")=0,"",SUMIFS(日次入力!$F$4:$F$1500,日次入力!$A$4:$A$1500,"&gt;="&amp;DATE(2026,10,13),日次入力!$A$4:$A$1500,"&lt;="&amp;DATE(2026,10,19),日次入力!$C$4:$C$1500,"LINEウェビナー"))</f>
        <v/>
      </c>
      <c r="F313" s="42" t="str">
        <f aca="false">IF(COUNTIFS(日次入力!$A$4:$A$1500,"&gt;="&amp;DATE(2026,10,13),日次入力!$A$4:$A$1500,"&lt;="&amp;DATE(2026,10,19),日次入力!$C$4:$C$1500,"LINEウェビナー")=0,"",SUMIFS(日次入力!$G$4:$G$1500,日次入力!$A$4:$A$1500,"&gt;="&amp;DATE(2026,10,13),日次入力!$A$4:$A$1500,"&lt;="&amp;DATE(2026,10,19),日次入力!$C$4:$C$1500,"LINEウェビナー"))</f>
        <v/>
      </c>
      <c r="G313" s="15" t="str">
        <f aca="false">IFERROR(E313/D313,"")</f>
        <v/>
      </c>
      <c r="H313" s="37" t="str">
        <f aca="false">IFERROR(C313/E313,"")</f>
        <v/>
      </c>
      <c r="I313" s="37" t="str">
        <f aca="false">IFERROR(C313/D313*1000,"")</f>
        <v/>
      </c>
      <c r="J313" s="15" t="str">
        <f aca="false">IFERROR(F313/E313,"")</f>
        <v/>
      </c>
      <c r="K313" s="37" t="str">
        <f aca="false">IFERROR(C313/F313,"")</f>
        <v/>
      </c>
      <c r="L313" s="42" t="str">
        <f aca="false">IF(COUNTIFS(日次入力!$A$4:$A$1500,"&gt;="&amp;DATE(2026,10,13),日次入力!$A$4:$A$1500,"&lt;="&amp;DATE(2026,10,19),日次入力!$C$4:$C$1500,"LINEウェビナー")=0,"",SUMIFS(日次入力!$H$4:$H$1500,日次入力!$A$4:$A$1500,"&gt;="&amp;DATE(2026,10,13),日次入力!$A$4:$A$1500,"&lt;="&amp;DATE(2026,10,19),日次入力!$C$4:$C$1500,"LINEウェビナー"))</f>
        <v/>
      </c>
      <c r="M313" s="15" t="str">
        <f aca="false">IF(L313="","",IFERROR(L313/F313,""))</f>
        <v/>
      </c>
      <c r="N313" s="42" t="str">
        <f aca="false">IF(COUNTIFS(日次入力!$A$4:$A$1500,"&gt;="&amp;DATE(2026,10,13),日次入力!$A$4:$A$1500,"&lt;="&amp;DATE(2026,10,19),日次入力!$C$4:$C$1500,"LINEウェビナー")=0,"",SUMIFS(日次入力!$I$4:$I$1500,日次入力!$A$4:$A$1500,"&gt;="&amp;DATE(2026,10,13),日次入力!$A$4:$A$1500,"&lt;="&amp;DATE(2026,10,19),日次入力!$C$4:$C$1500,"LINEウェビナー"))</f>
        <v/>
      </c>
      <c r="O313" s="15" t="str">
        <f aca="false">IF(N313="","",IFERROR(N313/L313,""))</f>
        <v/>
      </c>
      <c r="P313" s="37" t="str">
        <f aca="false">IF(N313=0,"",IFERROR(C313/N313,""))</f>
        <v/>
      </c>
      <c r="Q313" s="38" t="str">
        <f aca="false">IF(N313=0,"",IFERROR(IF(C313/N313&lt;=用語集!$B$22,"◎ 許容内","✗ 超過"),"—"))</f>
        <v>—</v>
      </c>
      <c r="R313" s="39" t="str">
        <f aca="false">IFERROR(用語集!$B$22/P313,"")</f>
        <v/>
      </c>
    </row>
    <row r="314" customFormat="false" ht="15" hidden="false" customHeight="false" outlineLevel="0" collapsed="false">
      <c r="A314" s="34" t="s">
        <v>116</v>
      </c>
      <c r="B314" s="35" t="s">
        <v>117</v>
      </c>
      <c r="C314" s="41" t="str">
        <f aca="false">IF(COUNTIFS(日次入力!$A$4:$A$1500,"&gt;="&amp;DATE(2026,10,20),日次入力!$A$4:$A$1500,"&lt;="&amp;DATE(2026,10,26),日次入力!$C$4:$C$1500,"LINEウェビナー")=0,"",SUMIFS(日次入力!$D$4:$D$1500,日次入力!$A$4:$A$1500,"&gt;="&amp;DATE(2026,10,20),日次入力!$A$4:$A$1500,"&lt;="&amp;DATE(2026,10,26),日次入力!$C$4:$C$1500,"LINEウェビナー"))</f>
        <v/>
      </c>
      <c r="D314" s="42" t="str">
        <f aca="false">IF(COUNTIFS(日次入力!$A$4:$A$1500,"&gt;="&amp;DATE(2026,10,20),日次入力!$A$4:$A$1500,"&lt;="&amp;DATE(2026,10,26),日次入力!$C$4:$C$1500,"LINEウェビナー")=0,"",SUMIFS(日次入力!$E$4:$E$1500,日次入力!$A$4:$A$1500,"&gt;="&amp;DATE(2026,10,20),日次入力!$A$4:$A$1500,"&lt;="&amp;DATE(2026,10,26),日次入力!$C$4:$C$1500,"LINEウェビナー"))</f>
        <v/>
      </c>
      <c r="E314" s="42" t="str">
        <f aca="false">IF(COUNTIFS(日次入力!$A$4:$A$1500,"&gt;="&amp;DATE(2026,10,20),日次入力!$A$4:$A$1500,"&lt;="&amp;DATE(2026,10,26),日次入力!$C$4:$C$1500,"LINEウェビナー")=0,"",SUMIFS(日次入力!$F$4:$F$1500,日次入力!$A$4:$A$1500,"&gt;="&amp;DATE(2026,10,20),日次入力!$A$4:$A$1500,"&lt;="&amp;DATE(2026,10,26),日次入力!$C$4:$C$1500,"LINEウェビナー"))</f>
        <v/>
      </c>
      <c r="F314" s="42" t="str">
        <f aca="false">IF(COUNTIFS(日次入力!$A$4:$A$1500,"&gt;="&amp;DATE(2026,10,20),日次入力!$A$4:$A$1500,"&lt;="&amp;DATE(2026,10,26),日次入力!$C$4:$C$1500,"LINEウェビナー")=0,"",SUMIFS(日次入力!$G$4:$G$1500,日次入力!$A$4:$A$1500,"&gt;="&amp;DATE(2026,10,20),日次入力!$A$4:$A$1500,"&lt;="&amp;DATE(2026,10,26),日次入力!$C$4:$C$1500,"LINEウェビナー"))</f>
        <v/>
      </c>
      <c r="G314" s="15" t="str">
        <f aca="false">IFERROR(E314/D314,"")</f>
        <v/>
      </c>
      <c r="H314" s="37" t="str">
        <f aca="false">IFERROR(C314/E314,"")</f>
        <v/>
      </c>
      <c r="I314" s="37" t="str">
        <f aca="false">IFERROR(C314/D314*1000,"")</f>
        <v/>
      </c>
      <c r="J314" s="15" t="str">
        <f aca="false">IFERROR(F314/E314,"")</f>
        <v/>
      </c>
      <c r="K314" s="37" t="str">
        <f aca="false">IFERROR(C314/F314,"")</f>
        <v/>
      </c>
      <c r="L314" s="42" t="str">
        <f aca="false">IF(COUNTIFS(日次入力!$A$4:$A$1500,"&gt;="&amp;DATE(2026,10,20),日次入力!$A$4:$A$1500,"&lt;="&amp;DATE(2026,10,26),日次入力!$C$4:$C$1500,"LINEウェビナー")=0,"",SUMIFS(日次入力!$H$4:$H$1500,日次入力!$A$4:$A$1500,"&gt;="&amp;DATE(2026,10,20),日次入力!$A$4:$A$1500,"&lt;="&amp;DATE(2026,10,26),日次入力!$C$4:$C$1500,"LINEウェビナー"))</f>
        <v/>
      </c>
      <c r="M314" s="15" t="str">
        <f aca="false">IF(L314="","",IFERROR(L314/F314,""))</f>
        <v/>
      </c>
      <c r="N314" s="42" t="str">
        <f aca="false">IF(COUNTIFS(日次入力!$A$4:$A$1500,"&gt;="&amp;DATE(2026,10,20),日次入力!$A$4:$A$1500,"&lt;="&amp;DATE(2026,10,26),日次入力!$C$4:$C$1500,"LINEウェビナー")=0,"",SUMIFS(日次入力!$I$4:$I$1500,日次入力!$A$4:$A$1500,"&gt;="&amp;DATE(2026,10,20),日次入力!$A$4:$A$1500,"&lt;="&amp;DATE(2026,10,26),日次入力!$C$4:$C$1500,"LINEウェビナー"))</f>
        <v/>
      </c>
      <c r="O314" s="15" t="str">
        <f aca="false">IF(N314="","",IFERROR(N314/L314,""))</f>
        <v/>
      </c>
      <c r="P314" s="37" t="str">
        <f aca="false">IF(N314=0,"",IFERROR(C314/N314,""))</f>
        <v/>
      </c>
      <c r="Q314" s="38" t="str">
        <f aca="false">IF(N314=0,"",IFERROR(IF(C314/N314&lt;=用語集!$B$22,"◎ 許容内","✗ 超過"),"—"))</f>
        <v>—</v>
      </c>
      <c r="R314" s="39" t="str">
        <f aca="false">IFERROR(用語集!$B$22/P314,"")</f>
        <v/>
      </c>
    </row>
    <row r="315" customFormat="false" ht="15" hidden="false" customHeight="false" outlineLevel="0" collapsed="false">
      <c r="A315" s="34" t="s">
        <v>118</v>
      </c>
      <c r="B315" s="35" t="s">
        <v>119</v>
      </c>
      <c r="C315" s="41" t="str">
        <f aca="false">IF(COUNTIFS(日次入力!$A$4:$A$1500,"&gt;="&amp;DATE(2026,10,27),日次入力!$A$4:$A$1500,"&lt;="&amp;DATE(2026,11,2),日次入力!$C$4:$C$1500,"LINEウェビナー")=0,"",SUMIFS(日次入力!$D$4:$D$1500,日次入力!$A$4:$A$1500,"&gt;="&amp;DATE(2026,10,27),日次入力!$A$4:$A$1500,"&lt;="&amp;DATE(2026,11,2),日次入力!$C$4:$C$1500,"LINEウェビナー"))</f>
        <v/>
      </c>
      <c r="D315" s="42" t="str">
        <f aca="false">IF(COUNTIFS(日次入力!$A$4:$A$1500,"&gt;="&amp;DATE(2026,10,27),日次入力!$A$4:$A$1500,"&lt;="&amp;DATE(2026,11,2),日次入力!$C$4:$C$1500,"LINEウェビナー")=0,"",SUMIFS(日次入力!$E$4:$E$1500,日次入力!$A$4:$A$1500,"&gt;="&amp;DATE(2026,10,27),日次入力!$A$4:$A$1500,"&lt;="&amp;DATE(2026,11,2),日次入力!$C$4:$C$1500,"LINEウェビナー"))</f>
        <v/>
      </c>
      <c r="E315" s="42" t="str">
        <f aca="false">IF(COUNTIFS(日次入力!$A$4:$A$1500,"&gt;="&amp;DATE(2026,10,27),日次入力!$A$4:$A$1500,"&lt;="&amp;DATE(2026,11,2),日次入力!$C$4:$C$1500,"LINEウェビナー")=0,"",SUMIFS(日次入力!$F$4:$F$1500,日次入力!$A$4:$A$1500,"&gt;="&amp;DATE(2026,10,27),日次入力!$A$4:$A$1500,"&lt;="&amp;DATE(2026,11,2),日次入力!$C$4:$C$1500,"LINEウェビナー"))</f>
        <v/>
      </c>
      <c r="F315" s="42" t="str">
        <f aca="false">IF(COUNTIFS(日次入力!$A$4:$A$1500,"&gt;="&amp;DATE(2026,10,27),日次入力!$A$4:$A$1500,"&lt;="&amp;DATE(2026,11,2),日次入力!$C$4:$C$1500,"LINEウェビナー")=0,"",SUMIFS(日次入力!$G$4:$G$1500,日次入力!$A$4:$A$1500,"&gt;="&amp;DATE(2026,10,27),日次入力!$A$4:$A$1500,"&lt;="&amp;DATE(2026,11,2),日次入力!$C$4:$C$1500,"LINEウェビナー"))</f>
        <v/>
      </c>
      <c r="G315" s="15" t="str">
        <f aca="false">IFERROR(E315/D315,"")</f>
        <v/>
      </c>
      <c r="H315" s="37" t="str">
        <f aca="false">IFERROR(C315/E315,"")</f>
        <v/>
      </c>
      <c r="I315" s="37" t="str">
        <f aca="false">IFERROR(C315/D315*1000,"")</f>
        <v/>
      </c>
      <c r="J315" s="15" t="str">
        <f aca="false">IFERROR(F315/E315,"")</f>
        <v/>
      </c>
      <c r="K315" s="37" t="str">
        <f aca="false">IFERROR(C315/F315,"")</f>
        <v/>
      </c>
      <c r="L315" s="42" t="str">
        <f aca="false">IF(COUNTIFS(日次入力!$A$4:$A$1500,"&gt;="&amp;DATE(2026,10,27),日次入力!$A$4:$A$1500,"&lt;="&amp;DATE(2026,11,2),日次入力!$C$4:$C$1500,"LINEウェビナー")=0,"",SUMIFS(日次入力!$H$4:$H$1500,日次入力!$A$4:$A$1500,"&gt;="&amp;DATE(2026,10,27),日次入力!$A$4:$A$1500,"&lt;="&amp;DATE(2026,11,2),日次入力!$C$4:$C$1500,"LINEウェビナー"))</f>
        <v/>
      </c>
      <c r="M315" s="15" t="str">
        <f aca="false">IF(L315="","",IFERROR(L315/F315,""))</f>
        <v/>
      </c>
      <c r="N315" s="42" t="str">
        <f aca="false">IF(COUNTIFS(日次入力!$A$4:$A$1500,"&gt;="&amp;DATE(2026,10,27),日次入力!$A$4:$A$1500,"&lt;="&amp;DATE(2026,11,2),日次入力!$C$4:$C$1500,"LINEウェビナー")=0,"",SUMIFS(日次入力!$I$4:$I$1500,日次入力!$A$4:$A$1500,"&gt;="&amp;DATE(2026,10,27),日次入力!$A$4:$A$1500,"&lt;="&amp;DATE(2026,11,2),日次入力!$C$4:$C$1500,"LINEウェビナー"))</f>
        <v/>
      </c>
      <c r="O315" s="15" t="str">
        <f aca="false">IF(N315="","",IFERROR(N315/L315,""))</f>
        <v/>
      </c>
      <c r="P315" s="37" t="str">
        <f aca="false">IF(N315=0,"",IFERROR(C315/N315,""))</f>
        <v/>
      </c>
      <c r="Q315" s="38" t="str">
        <f aca="false">IF(N315=0,"",IFERROR(IF(C315/N315&lt;=用語集!$B$22,"◎ 許容内","✗ 超過"),"—"))</f>
        <v>—</v>
      </c>
      <c r="R315" s="39" t="str">
        <f aca="false">IFERROR(用語集!$B$22/P315,"")</f>
        <v/>
      </c>
    </row>
    <row r="316" customFormat="false" ht="15" hidden="false" customHeight="false" outlineLevel="0" collapsed="false">
      <c r="A316" s="34" t="s">
        <v>120</v>
      </c>
      <c r="B316" s="35" t="s">
        <v>121</v>
      </c>
      <c r="C316" s="41" t="str">
        <f aca="false">IF(COUNTIFS(日次入力!$A$4:$A$1500,"&gt;="&amp;DATE(2026,11,3),日次入力!$A$4:$A$1500,"&lt;="&amp;DATE(2026,11,9),日次入力!$C$4:$C$1500,"LINEウェビナー")=0,"",SUMIFS(日次入力!$D$4:$D$1500,日次入力!$A$4:$A$1500,"&gt;="&amp;DATE(2026,11,3),日次入力!$A$4:$A$1500,"&lt;="&amp;DATE(2026,11,9),日次入力!$C$4:$C$1500,"LINEウェビナー"))</f>
        <v/>
      </c>
      <c r="D316" s="42" t="str">
        <f aca="false">IF(COUNTIFS(日次入力!$A$4:$A$1500,"&gt;="&amp;DATE(2026,11,3),日次入力!$A$4:$A$1500,"&lt;="&amp;DATE(2026,11,9),日次入力!$C$4:$C$1500,"LINEウェビナー")=0,"",SUMIFS(日次入力!$E$4:$E$1500,日次入力!$A$4:$A$1500,"&gt;="&amp;DATE(2026,11,3),日次入力!$A$4:$A$1500,"&lt;="&amp;DATE(2026,11,9),日次入力!$C$4:$C$1500,"LINEウェビナー"))</f>
        <v/>
      </c>
      <c r="E316" s="42" t="str">
        <f aca="false">IF(COUNTIFS(日次入力!$A$4:$A$1500,"&gt;="&amp;DATE(2026,11,3),日次入力!$A$4:$A$1500,"&lt;="&amp;DATE(2026,11,9),日次入力!$C$4:$C$1500,"LINEウェビナー")=0,"",SUMIFS(日次入力!$F$4:$F$1500,日次入力!$A$4:$A$1500,"&gt;="&amp;DATE(2026,11,3),日次入力!$A$4:$A$1500,"&lt;="&amp;DATE(2026,11,9),日次入力!$C$4:$C$1500,"LINEウェビナー"))</f>
        <v/>
      </c>
      <c r="F316" s="42" t="str">
        <f aca="false">IF(COUNTIFS(日次入力!$A$4:$A$1500,"&gt;="&amp;DATE(2026,11,3),日次入力!$A$4:$A$1500,"&lt;="&amp;DATE(2026,11,9),日次入力!$C$4:$C$1500,"LINEウェビナー")=0,"",SUMIFS(日次入力!$G$4:$G$1500,日次入力!$A$4:$A$1500,"&gt;="&amp;DATE(2026,11,3),日次入力!$A$4:$A$1500,"&lt;="&amp;DATE(2026,11,9),日次入力!$C$4:$C$1500,"LINEウェビナー"))</f>
        <v/>
      </c>
      <c r="G316" s="15" t="str">
        <f aca="false">IFERROR(E316/D316,"")</f>
        <v/>
      </c>
      <c r="H316" s="37" t="str">
        <f aca="false">IFERROR(C316/E316,"")</f>
        <v/>
      </c>
      <c r="I316" s="37" t="str">
        <f aca="false">IFERROR(C316/D316*1000,"")</f>
        <v/>
      </c>
      <c r="J316" s="15" t="str">
        <f aca="false">IFERROR(F316/E316,"")</f>
        <v/>
      </c>
      <c r="K316" s="37" t="str">
        <f aca="false">IFERROR(C316/F316,"")</f>
        <v/>
      </c>
      <c r="L316" s="42" t="str">
        <f aca="false">IF(COUNTIFS(日次入力!$A$4:$A$1500,"&gt;="&amp;DATE(2026,11,3),日次入力!$A$4:$A$1500,"&lt;="&amp;DATE(2026,11,9),日次入力!$C$4:$C$1500,"LINEウェビナー")=0,"",SUMIFS(日次入力!$H$4:$H$1500,日次入力!$A$4:$A$1500,"&gt;="&amp;DATE(2026,11,3),日次入力!$A$4:$A$1500,"&lt;="&amp;DATE(2026,11,9),日次入力!$C$4:$C$1500,"LINEウェビナー"))</f>
        <v/>
      </c>
      <c r="M316" s="15" t="str">
        <f aca="false">IF(L316="","",IFERROR(L316/F316,""))</f>
        <v/>
      </c>
      <c r="N316" s="42" t="str">
        <f aca="false">IF(COUNTIFS(日次入力!$A$4:$A$1500,"&gt;="&amp;DATE(2026,11,3),日次入力!$A$4:$A$1500,"&lt;="&amp;DATE(2026,11,9),日次入力!$C$4:$C$1500,"LINEウェビナー")=0,"",SUMIFS(日次入力!$I$4:$I$1500,日次入力!$A$4:$A$1500,"&gt;="&amp;DATE(2026,11,3),日次入力!$A$4:$A$1500,"&lt;="&amp;DATE(2026,11,9),日次入力!$C$4:$C$1500,"LINEウェビナー"))</f>
        <v/>
      </c>
      <c r="O316" s="15" t="str">
        <f aca="false">IF(N316="","",IFERROR(N316/L316,""))</f>
        <v/>
      </c>
      <c r="P316" s="37" t="str">
        <f aca="false">IF(N316=0,"",IFERROR(C316/N316,""))</f>
        <v/>
      </c>
      <c r="Q316" s="38" t="str">
        <f aca="false">IF(N316=0,"",IFERROR(IF(C316/N316&lt;=用語集!$B$22,"◎ 許容内","✗ 超過"),"—"))</f>
        <v>—</v>
      </c>
      <c r="R316" s="39" t="str">
        <f aca="false">IFERROR(用語集!$B$22/P316,"")</f>
        <v/>
      </c>
    </row>
    <row r="317" customFormat="false" ht="15" hidden="false" customHeight="false" outlineLevel="0" collapsed="false">
      <c r="A317" s="34" t="s">
        <v>122</v>
      </c>
      <c r="B317" s="35" t="s">
        <v>123</v>
      </c>
      <c r="C317" s="41" t="str">
        <f aca="false">IF(COUNTIFS(日次入力!$A$4:$A$1500,"&gt;="&amp;DATE(2026,11,10),日次入力!$A$4:$A$1500,"&lt;="&amp;DATE(2026,11,16),日次入力!$C$4:$C$1500,"LINEウェビナー")=0,"",SUMIFS(日次入力!$D$4:$D$1500,日次入力!$A$4:$A$1500,"&gt;="&amp;DATE(2026,11,10),日次入力!$A$4:$A$1500,"&lt;="&amp;DATE(2026,11,16),日次入力!$C$4:$C$1500,"LINEウェビナー"))</f>
        <v/>
      </c>
      <c r="D317" s="42" t="str">
        <f aca="false">IF(COUNTIFS(日次入力!$A$4:$A$1500,"&gt;="&amp;DATE(2026,11,10),日次入力!$A$4:$A$1500,"&lt;="&amp;DATE(2026,11,16),日次入力!$C$4:$C$1500,"LINEウェビナー")=0,"",SUMIFS(日次入力!$E$4:$E$1500,日次入力!$A$4:$A$1500,"&gt;="&amp;DATE(2026,11,10),日次入力!$A$4:$A$1500,"&lt;="&amp;DATE(2026,11,16),日次入力!$C$4:$C$1500,"LINEウェビナー"))</f>
        <v/>
      </c>
      <c r="E317" s="42" t="str">
        <f aca="false">IF(COUNTIFS(日次入力!$A$4:$A$1500,"&gt;="&amp;DATE(2026,11,10),日次入力!$A$4:$A$1500,"&lt;="&amp;DATE(2026,11,16),日次入力!$C$4:$C$1500,"LINEウェビナー")=0,"",SUMIFS(日次入力!$F$4:$F$1500,日次入力!$A$4:$A$1500,"&gt;="&amp;DATE(2026,11,10),日次入力!$A$4:$A$1500,"&lt;="&amp;DATE(2026,11,16),日次入力!$C$4:$C$1500,"LINEウェビナー"))</f>
        <v/>
      </c>
      <c r="F317" s="42" t="str">
        <f aca="false">IF(COUNTIFS(日次入力!$A$4:$A$1500,"&gt;="&amp;DATE(2026,11,10),日次入力!$A$4:$A$1500,"&lt;="&amp;DATE(2026,11,16),日次入力!$C$4:$C$1500,"LINEウェビナー")=0,"",SUMIFS(日次入力!$G$4:$G$1500,日次入力!$A$4:$A$1500,"&gt;="&amp;DATE(2026,11,10),日次入力!$A$4:$A$1500,"&lt;="&amp;DATE(2026,11,16),日次入力!$C$4:$C$1500,"LINEウェビナー"))</f>
        <v/>
      </c>
      <c r="G317" s="15" t="str">
        <f aca="false">IFERROR(E317/D317,"")</f>
        <v/>
      </c>
      <c r="H317" s="37" t="str">
        <f aca="false">IFERROR(C317/E317,"")</f>
        <v/>
      </c>
      <c r="I317" s="37" t="str">
        <f aca="false">IFERROR(C317/D317*1000,"")</f>
        <v/>
      </c>
      <c r="J317" s="15" t="str">
        <f aca="false">IFERROR(F317/E317,"")</f>
        <v/>
      </c>
      <c r="K317" s="37" t="str">
        <f aca="false">IFERROR(C317/F317,"")</f>
        <v/>
      </c>
      <c r="L317" s="42" t="str">
        <f aca="false">IF(COUNTIFS(日次入力!$A$4:$A$1500,"&gt;="&amp;DATE(2026,11,10),日次入力!$A$4:$A$1500,"&lt;="&amp;DATE(2026,11,16),日次入力!$C$4:$C$1500,"LINEウェビナー")=0,"",SUMIFS(日次入力!$H$4:$H$1500,日次入力!$A$4:$A$1500,"&gt;="&amp;DATE(2026,11,10),日次入力!$A$4:$A$1500,"&lt;="&amp;DATE(2026,11,16),日次入力!$C$4:$C$1500,"LINEウェビナー"))</f>
        <v/>
      </c>
      <c r="M317" s="15" t="str">
        <f aca="false">IF(L317="","",IFERROR(L317/F317,""))</f>
        <v/>
      </c>
      <c r="N317" s="42" t="str">
        <f aca="false">IF(COUNTIFS(日次入力!$A$4:$A$1500,"&gt;="&amp;DATE(2026,11,10),日次入力!$A$4:$A$1500,"&lt;="&amp;DATE(2026,11,16),日次入力!$C$4:$C$1500,"LINEウェビナー")=0,"",SUMIFS(日次入力!$I$4:$I$1500,日次入力!$A$4:$A$1500,"&gt;="&amp;DATE(2026,11,10),日次入力!$A$4:$A$1500,"&lt;="&amp;DATE(2026,11,16),日次入力!$C$4:$C$1500,"LINEウェビナー"))</f>
        <v/>
      </c>
      <c r="O317" s="15" t="str">
        <f aca="false">IF(N317="","",IFERROR(N317/L317,""))</f>
        <v/>
      </c>
      <c r="P317" s="37" t="str">
        <f aca="false">IF(N317=0,"",IFERROR(C317/N317,""))</f>
        <v/>
      </c>
      <c r="Q317" s="38" t="str">
        <f aca="false">IF(N317=0,"",IFERROR(IF(C317/N317&lt;=用語集!$B$22,"◎ 許容内","✗ 超過"),"—"))</f>
        <v>—</v>
      </c>
      <c r="R317" s="39" t="str">
        <f aca="false">IFERROR(用語集!$B$22/P317,"")</f>
        <v/>
      </c>
    </row>
    <row r="318" customFormat="false" ht="15" hidden="false" customHeight="false" outlineLevel="0" collapsed="false">
      <c r="A318" s="34" t="s">
        <v>124</v>
      </c>
      <c r="B318" s="35" t="s">
        <v>125</v>
      </c>
      <c r="C318" s="41" t="str">
        <f aca="false">IF(COUNTIFS(日次入力!$A$4:$A$1500,"&gt;="&amp;DATE(2026,11,17),日次入力!$A$4:$A$1500,"&lt;="&amp;DATE(2026,11,23),日次入力!$C$4:$C$1500,"LINEウェビナー")=0,"",SUMIFS(日次入力!$D$4:$D$1500,日次入力!$A$4:$A$1500,"&gt;="&amp;DATE(2026,11,17),日次入力!$A$4:$A$1500,"&lt;="&amp;DATE(2026,11,23),日次入力!$C$4:$C$1500,"LINEウェビナー"))</f>
        <v/>
      </c>
      <c r="D318" s="42" t="str">
        <f aca="false">IF(COUNTIFS(日次入力!$A$4:$A$1500,"&gt;="&amp;DATE(2026,11,17),日次入力!$A$4:$A$1500,"&lt;="&amp;DATE(2026,11,23),日次入力!$C$4:$C$1500,"LINEウェビナー")=0,"",SUMIFS(日次入力!$E$4:$E$1500,日次入力!$A$4:$A$1500,"&gt;="&amp;DATE(2026,11,17),日次入力!$A$4:$A$1500,"&lt;="&amp;DATE(2026,11,23),日次入力!$C$4:$C$1500,"LINEウェビナー"))</f>
        <v/>
      </c>
      <c r="E318" s="42" t="str">
        <f aca="false">IF(COUNTIFS(日次入力!$A$4:$A$1500,"&gt;="&amp;DATE(2026,11,17),日次入力!$A$4:$A$1500,"&lt;="&amp;DATE(2026,11,23),日次入力!$C$4:$C$1500,"LINEウェビナー")=0,"",SUMIFS(日次入力!$F$4:$F$1500,日次入力!$A$4:$A$1500,"&gt;="&amp;DATE(2026,11,17),日次入力!$A$4:$A$1500,"&lt;="&amp;DATE(2026,11,23),日次入力!$C$4:$C$1500,"LINEウェビナー"))</f>
        <v/>
      </c>
      <c r="F318" s="42" t="str">
        <f aca="false">IF(COUNTIFS(日次入力!$A$4:$A$1500,"&gt;="&amp;DATE(2026,11,17),日次入力!$A$4:$A$1500,"&lt;="&amp;DATE(2026,11,23),日次入力!$C$4:$C$1500,"LINEウェビナー")=0,"",SUMIFS(日次入力!$G$4:$G$1500,日次入力!$A$4:$A$1500,"&gt;="&amp;DATE(2026,11,17),日次入力!$A$4:$A$1500,"&lt;="&amp;DATE(2026,11,23),日次入力!$C$4:$C$1500,"LINEウェビナー"))</f>
        <v/>
      </c>
      <c r="G318" s="15" t="str">
        <f aca="false">IFERROR(E318/D318,"")</f>
        <v/>
      </c>
      <c r="H318" s="37" t="str">
        <f aca="false">IFERROR(C318/E318,"")</f>
        <v/>
      </c>
      <c r="I318" s="37" t="str">
        <f aca="false">IFERROR(C318/D318*1000,"")</f>
        <v/>
      </c>
      <c r="J318" s="15" t="str">
        <f aca="false">IFERROR(F318/E318,"")</f>
        <v/>
      </c>
      <c r="K318" s="37" t="str">
        <f aca="false">IFERROR(C318/F318,"")</f>
        <v/>
      </c>
      <c r="L318" s="42" t="str">
        <f aca="false">IF(COUNTIFS(日次入力!$A$4:$A$1500,"&gt;="&amp;DATE(2026,11,17),日次入力!$A$4:$A$1500,"&lt;="&amp;DATE(2026,11,23),日次入力!$C$4:$C$1500,"LINEウェビナー")=0,"",SUMIFS(日次入力!$H$4:$H$1500,日次入力!$A$4:$A$1500,"&gt;="&amp;DATE(2026,11,17),日次入力!$A$4:$A$1500,"&lt;="&amp;DATE(2026,11,23),日次入力!$C$4:$C$1500,"LINEウェビナー"))</f>
        <v/>
      </c>
      <c r="M318" s="15" t="str">
        <f aca="false">IF(L318="","",IFERROR(L318/F318,""))</f>
        <v/>
      </c>
      <c r="N318" s="42" t="str">
        <f aca="false">IF(COUNTIFS(日次入力!$A$4:$A$1500,"&gt;="&amp;DATE(2026,11,17),日次入力!$A$4:$A$1500,"&lt;="&amp;DATE(2026,11,23),日次入力!$C$4:$C$1500,"LINEウェビナー")=0,"",SUMIFS(日次入力!$I$4:$I$1500,日次入力!$A$4:$A$1500,"&gt;="&amp;DATE(2026,11,17),日次入力!$A$4:$A$1500,"&lt;="&amp;DATE(2026,11,23),日次入力!$C$4:$C$1500,"LINEウェビナー"))</f>
        <v/>
      </c>
      <c r="O318" s="15" t="str">
        <f aca="false">IF(N318="","",IFERROR(N318/L318,""))</f>
        <v/>
      </c>
      <c r="P318" s="37" t="str">
        <f aca="false">IF(N318=0,"",IFERROR(C318/N318,""))</f>
        <v/>
      </c>
      <c r="Q318" s="38" t="str">
        <f aca="false">IF(N318=0,"",IFERROR(IF(C318/N318&lt;=用語集!$B$22,"◎ 許容内","✗ 超過"),"—"))</f>
        <v>—</v>
      </c>
      <c r="R318" s="39" t="str">
        <f aca="false">IFERROR(用語集!$B$22/P318,"")</f>
        <v/>
      </c>
    </row>
    <row r="319" customFormat="false" ht="15" hidden="false" customHeight="false" outlineLevel="0" collapsed="false">
      <c r="A319" s="34" t="s">
        <v>126</v>
      </c>
      <c r="B319" s="35" t="s">
        <v>127</v>
      </c>
      <c r="C319" s="41" t="str">
        <f aca="false">IF(COUNTIFS(日次入力!$A$4:$A$1500,"&gt;="&amp;DATE(2026,11,24),日次入力!$A$4:$A$1500,"&lt;="&amp;DATE(2026,11,30),日次入力!$C$4:$C$1500,"LINEウェビナー")=0,"",SUMIFS(日次入力!$D$4:$D$1500,日次入力!$A$4:$A$1500,"&gt;="&amp;DATE(2026,11,24),日次入力!$A$4:$A$1500,"&lt;="&amp;DATE(2026,11,30),日次入力!$C$4:$C$1500,"LINEウェビナー"))</f>
        <v/>
      </c>
      <c r="D319" s="42" t="str">
        <f aca="false">IF(COUNTIFS(日次入力!$A$4:$A$1500,"&gt;="&amp;DATE(2026,11,24),日次入力!$A$4:$A$1500,"&lt;="&amp;DATE(2026,11,30),日次入力!$C$4:$C$1500,"LINEウェビナー")=0,"",SUMIFS(日次入力!$E$4:$E$1500,日次入力!$A$4:$A$1500,"&gt;="&amp;DATE(2026,11,24),日次入力!$A$4:$A$1500,"&lt;="&amp;DATE(2026,11,30),日次入力!$C$4:$C$1500,"LINEウェビナー"))</f>
        <v/>
      </c>
      <c r="E319" s="42" t="str">
        <f aca="false">IF(COUNTIFS(日次入力!$A$4:$A$1500,"&gt;="&amp;DATE(2026,11,24),日次入力!$A$4:$A$1500,"&lt;="&amp;DATE(2026,11,30),日次入力!$C$4:$C$1500,"LINEウェビナー")=0,"",SUMIFS(日次入力!$F$4:$F$1500,日次入力!$A$4:$A$1500,"&gt;="&amp;DATE(2026,11,24),日次入力!$A$4:$A$1500,"&lt;="&amp;DATE(2026,11,30),日次入力!$C$4:$C$1500,"LINEウェビナー"))</f>
        <v/>
      </c>
      <c r="F319" s="42" t="str">
        <f aca="false">IF(COUNTIFS(日次入力!$A$4:$A$1500,"&gt;="&amp;DATE(2026,11,24),日次入力!$A$4:$A$1500,"&lt;="&amp;DATE(2026,11,30),日次入力!$C$4:$C$1500,"LINEウェビナー")=0,"",SUMIFS(日次入力!$G$4:$G$1500,日次入力!$A$4:$A$1500,"&gt;="&amp;DATE(2026,11,24),日次入力!$A$4:$A$1500,"&lt;="&amp;DATE(2026,11,30),日次入力!$C$4:$C$1500,"LINEウェビナー"))</f>
        <v/>
      </c>
      <c r="G319" s="15" t="str">
        <f aca="false">IFERROR(E319/D319,"")</f>
        <v/>
      </c>
      <c r="H319" s="37" t="str">
        <f aca="false">IFERROR(C319/E319,"")</f>
        <v/>
      </c>
      <c r="I319" s="37" t="str">
        <f aca="false">IFERROR(C319/D319*1000,"")</f>
        <v/>
      </c>
      <c r="J319" s="15" t="str">
        <f aca="false">IFERROR(F319/E319,"")</f>
        <v/>
      </c>
      <c r="K319" s="37" t="str">
        <f aca="false">IFERROR(C319/F319,"")</f>
        <v/>
      </c>
      <c r="L319" s="42" t="str">
        <f aca="false">IF(COUNTIFS(日次入力!$A$4:$A$1500,"&gt;="&amp;DATE(2026,11,24),日次入力!$A$4:$A$1500,"&lt;="&amp;DATE(2026,11,30),日次入力!$C$4:$C$1500,"LINEウェビナー")=0,"",SUMIFS(日次入力!$H$4:$H$1500,日次入力!$A$4:$A$1500,"&gt;="&amp;DATE(2026,11,24),日次入力!$A$4:$A$1500,"&lt;="&amp;DATE(2026,11,30),日次入力!$C$4:$C$1500,"LINEウェビナー"))</f>
        <v/>
      </c>
      <c r="M319" s="15" t="str">
        <f aca="false">IF(L319="","",IFERROR(L319/F319,""))</f>
        <v/>
      </c>
      <c r="N319" s="42" t="str">
        <f aca="false">IF(COUNTIFS(日次入力!$A$4:$A$1500,"&gt;="&amp;DATE(2026,11,24),日次入力!$A$4:$A$1500,"&lt;="&amp;DATE(2026,11,30),日次入力!$C$4:$C$1500,"LINEウェビナー")=0,"",SUMIFS(日次入力!$I$4:$I$1500,日次入力!$A$4:$A$1500,"&gt;="&amp;DATE(2026,11,24),日次入力!$A$4:$A$1500,"&lt;="&amp;DATE(2026,11,30),日次入力!$C$4:$C$1500,"LINEウェビナー"))</f>
        <v/>
      </c>
      <c r="O319" s="15" t="str">
        <f aca="false">IF(N319="","",IFERROR(N319/L319,""))</f>
        <v/>
      </c>
      <c r="P319" s="37" t="str">
        <f aca="false">IF(N319=0,"",IFERROR(C319/N319,""))</f>
        <v/>
      </c>
      <c r="Q319" s="38" t="str">
        <f aca="false">IF(N319=0,"",IFERROR(IF(C319/N319&lt;=用語集!$B$22,"◎ 許容内","✗ 超過"),"—"))</f>
        <v>—</v>
      </c>
      <c r="R319" s="39" t="str">
        <f aca="false">IFERROR(用語集!$B$22/P319,"")</f>
        <v/>
      </c>
    </row>
    <row r="320" customFormat="false" ht="15" hidden="false" customHeight="false" outlineLevel="0" collapsed="false">
      <c r="A320" s="34" t="s">
        <v>128</v>
      </c>
      <c r="B320" s="35" t="s">
        <v>129</v>
      </c>
      <c r="C320" s="41" t="str">
        <f aca="false">IF(COUNTIFS(日次入力!$A$4:$A$1500,"&gt;="&amp;DATE(2026,12,1),日次入力!$A$4:$A$1500,"&lt;="&amp;DATE(2026,12,7),日次入力!$C$4:$C$1500,"LINEウェビナー")=0,"",SUMIFS(日次入力!$D$4:$D$1500,日次入力!$A$4:$A$1500,"&gt;="&amp;DATE(2026,12,1),日次入力!$A$4:$A$1500,"&lt;="&amp;DATE(2026,12,7),日次入力!$C$4:$C$1500,"LINEウェビナー"))</f>
        <v/>
      </c>
      <c r="D320" s="42" t="str">
        <f aca="false">IF(COUNTIFS(日次入力!$A$4:$A$1500,"&gt;="&amp;DATE(2026,12,1),日次入力!$A$4:$A$1500,"&lt;="&amp;DATE(2026,12,7),日次入力!$C$4:$C$1500,"LINEウェビナー")=0,"",SUMIFS(日次入力!$E$4:$E$1500,日次入力!$A$4:$A$1500,"&gt;="&amp;DATE(2026,12,1),日次入力!$A$4:$A$1500,"&lt;="&amp;DATE(2026,12,7),日次入力!$C$4:$C$1500,"LINEウェビナー"))</f>
        <v/>
      </c>
      <c r="E320" s="42" t="str">
        <f aca="false">IF(COUNTIFS(日次入力!$A$4:$A$1500,"&gt;="&amp;DATE(2026,12,1),日次入力!$A$4:$A$1500,"&lt;="&amp;DATE(2026,12,7),日次入力!$C$4:$C$1500,"LINEウェビナー")=0,"",SUMIFS(日次入力!$F$4:$F$1500,日次入力!$A$4:$A$1500,"&gt;="&amp;DATE(2026,12,1),日次入力!$A$4:$A$1500,"&lt;="&amp;DATE(2026,12,7),日次入力!$C$4:$C$1500,"LINEウェビナー"))</f>
        <v/>
      </c>
      <c r="F320" s="42" t="str">
        <f aca="false">IF(COUNTIFS(日次入力!$A$4:$A$1500,"&gt;="&amp;DATE(2026,12,1),日次入力!$A$4:$A$1500,"&lt;="&amp;DATE(2026,12,7),日次入力!$C$4:$C$1500,"LINEウェビナー")=0,"",SUMIFS(日次入力!$G$4:$G$1500,日次入力!$A$4:$A$1500,"&gt;="&amp;DATE(2026,12,1),日次入力!$A$4:$A$1500,"&lt;="&amp;DATE(2026,12,7),日次入力!$C$4:$C$1500,"LINEウェビナー"))</f>
        <v/>
      </c>
      <c r="G320" s="15" t="str">
        <f aca="false">IFERROR(E320/D320,"")</f>
        <v/>
      </c>
      <c r="H320" s="37" t="str">
        <f aca="false">IFERROR(C320/E320,"")</f>
        <v/>
      </c>
      <c r="I320" s="37" t="str">
        <f aca="false">IFERROR(C320/D320*1000,"")</f>
        <v/>
      </c>
      <c r="J320" s="15" t="str">
        <f aca="false">IFERROR(F320/E320,"")</f>
        <v/>
      </c>
      <c r="K320" s="37" t="str">
        <f aca="false">IFERROR(C320/F320,"")</f>
        <v/>
      </c>
      <c r="L320" s="42" t="str">
        <f aca="false">IF(COUNTIFS(日次入力!$A$4:$A$1500,"&gt;="&amp;DATE(2026,12,1),日次入力!$A$4:$A$1500,"&lt;="&amp;DATE(2026,12,7),日次入力!$C$4:$C$1500,"LINEウェビナー")=0,"",SUMIFS(日次入力!$H$4:$H$1500,日次入力!$A$4:$A$1500,"&gt;="&amp;DATE(2026,12,1),日次入力!$A$4:$A$1500,"&lt;="&amp;DATE(2026,12,7),日次入力!$C$4:$C$1500,"LINEウェビナー"))</f>
        <v/>
      </c>
      <c r="M320" s="15" t="str">
        <f aca="false">IF(L320="","",IFERROR(L320/F320,""))</f>
        <v/>
      </c>
      <c r="N320" s="42" t="str">
        <f aca="false">IF(COUNTIFS(日次入力!$A$4:$A$1500,"&gt;="&amp;DATE(2026,12,1),日次入力!$A$4:$A$1500,"&lt;="&amp;DATE(2026,12,7),日次入力!$C$4:$C$1500,"LINEウェビナー")=0,"",SUMIFS(日次入力!$I$4:$I$1500,日次入力!$A$4:$A$1500,"&gt;="&amp;DATE(2026,12,1),日次入力!$A$4:$A$1500,"&lt;="&amp;DATE(2026,12,7),日次入力!$C$4:$C$1500,"LINEウェビナー"))</f>
        <v/>
      </c>
      <c r="O320" s="15" t="str">
        <f aca="false">IF(N320="","",IFERROR(N320/L320,""))</f>
        <v/>
      </c>
      <c r="P320" s="37" t="str">
        <f aca="false">IF(N320=0,"",IFERROR(C320/N320,""))</f>
        <v/>
      </c>
      <c r="Q320" s="38" t="str">
        <f aca="false">IF(N320=0,"",IFERROR(IF(C320/N320&lt;=用語集!$B$22,"◎ 許容内","✗ 超過"),"—"))</f>
        <v>—</v>
      </c>
      <c r="R320" s="39" t="str">
        <f aca="false">IFERROR(用語集!$B$22/P320,"")</f>
        <v/>
      </c>
    </row>
    <row r="321" customFormat="false" ht="15" hidden="false" customHeight="false" outlineLevel="0" collapsed="false">
      <c r="A321" s="34" t="s">
        <v>130</v>
      </c>
      <c r="B321" s="35" t="s">
        <v>131</v>
      </c>
      <c r="C321" s="41" t="str">
        <f aca="false">IF(COUNTIFS(日次入力!$A$4:$A$1500,"&gt;="&amp;DATE(2026,12,8),日次入力!$A$4:$A$1500,"&lt;="&amp;DATE(2026,12,14),日次入力!$C$4:$C$1500,"LINEウェビナー")=0,"",SUMIFS(日次入力!$D$4:$D$1500,日次入力!$A$4:$A$1500,"&gt;="&amp;DATE(2026,12,8),日次入力!$A$4:$A$1500,"&lt;="&amp;DATE(2026,12,14),日次入力!$C$4:$C$1500,"LINEウェビナー"))</f>
        <v/>
      </c>
      <c r="D321" s="42" t="str">
        <f aca="false">IF(COUNTIFS(日次入力!$A$4:$A$1500,"&gt;="&amp;DATE(2026,12,8),日次入力!$A$4:$A$1500,"&lt;="&amp;DATE(2026,12,14),日次入力!$C$4:$C$1500,"LINEウェビナー")=0,"",SUMIFS(日次入力!$E$4:$E$1500,日次入力!$A$4:$A$1500,"&gt;="&amp;DATE(2026,12,8),日次入力!$A$4:$A$1500,"&lt;="&amp;DATE(2026,12,14),日次入力!$C$4:$C$1500,"LINEウェビナー"))</f>
        <v/>
      </c>
      <c r="E321" s="42" t="str">
        <f aca="false">IF(COUNTIFS(日次入力!$A$4:$A$1500,"&gt;="&amp;DATE(2026,12,8),日次入力!$A$4:$A$1500,"&lt;="&amp;DATE(2026,12,14),日次入力!$C$4:$C$1500,"LINEウェビナー")=0,"",SUMIFS(日次入力!$F$4:$F$1500,日次入力!$A$4:$A$1500,"&gt;="&amp;DATE(2026,12,8),日次入力!$A$4:$A$1500,"&lt;="&amp;DATE(2026,12,14),日次入力!$C$4:$C$1500,"LINEウェビナー"))</f>
        <v/>
      </c>
      <c r="F321" s="42" t="str">
        <f aca="false">IF(COUNTIFS(日次入力!$A$4:$A$1500,"&gt;="&amp;DATE(2026,12,8),日次入力!$A$4:$A$1500,"&lt;="&amp;DATE(2026,12,14),日次入力!$C$4:$C$1500,"LINEウェビナー")=0,"",SUMIFS(日次入力!$G$4:$G$1500,日次入力!$A$4:$A$1500,"&gt;="&amp;DATE(2026,12,8),日次入力!$A$4:$A$1500,"&lt;="&amp;DATE(2026,12,14),日次入力!$C$4:$C$1500,"LINEウェビナー"))</f>
        <v/>
      </c>
      <c r="G321" s="15" t="str">
        <f aca="false">IFERROR(E321/D321,"")</f>
        <v/>
      </c>
      <c r="H321" s="37" t="str">
        <f aca="false">IFERROR(C321/E321,"")</f>
        <v/>
      </c>
      <c r="I321" s="37" t="str">
        <f aca="false">IFERROR(C321/D321*1000,"")</f>
        <v/>
      </c>
      <c r="J321" s="15" t="str">
        <f aca="false">IFERROR(F321/E321,"")</f>
        <v/>
      </c>
      <c r="K321" s="37" t="str">
        <f aca="false">IFERROR(C321/F321,"")</f>
        <v/>
      </c>
      <c r="L321" s="42" t="str">
        <f aca="false">IF(COUNTIFS(日次入力!$A$4:$A$1500,"&gt;="&amp;DATE(2026,12,8),日次入力!$A$4:$A$1500,"&lt;="&amp;DATE(2026,12,14),日次入力!$C$4:$C$1500,"LINEウェビナー")=0,"",SUMIFS(日次入力!$H$4:$H$1500,日次入力!$A$4:$A$1500,"&gt;="&amp;DATE(2026,12,8),日次入力!$A$4:$A$1500,"&lt;="&amp;DATE(2026,12,14),日次入力!$C$4:$C$1500,"LINEウェビナー"))</f>
        <v/>
      </c>
      <c r="M321" s="15" t="str">
        <f aca="false">IF(L321="","",IFERROR(L321/F321,""))</f>
        <v/>
      </c>
      <c r="N321" s="42" t="str">
        <f aca="false">IF(COUNTIFS(日次入力!$A$4:$A$1500,"&gt;="&amp;DATE(2026,12,8),日次入力!$A$4:$A$1500,"&lt;="&amp;DATE(2026,12,14),日次入力!$C$4:$C$1500,"LINEウェビナー")=0,"",SUMIFS(日次入力!$I$4:$I$1500,日次入力!$A$4:$A$1500,"&gt;="&amp;DATE(2026,12,8),日次入力!$A$4:$A$1500,"&lt;="&amp;DATE(2026,12,14),日次入力!$C$4:$C$1500,"LINEウェビナー"))</f>
        <v/>
      </c>
      <c r="O321" s="15" t="str">
        <f aca="false">IF(N321="","",IFERROR(N321/L321,""))</f>
        <v/>
      </c>
      <c r="P321" s="37" t="str">
        <f aca="false">IF(N321=0,"",IFERROR(C321/N321,""))</f>
        <v/>
      </c>
      <c r="Q321" s="38" t="str">
        <f aca="false">IF(N321=0,"",IFERROR(IF(C321/N321&lt;=用語集!$B$22,"◎ 許容内","✗ 超過"),"—"))</f>
        <v>—</v>
      </c>
      <c r="R321" s="39" t="str">
        <f aca="false">IFERROR(用語集!$B$22/P321,"")</f>
        <v/>
      </c>
    </row>
    <row r="322" customFormat="false" ht="15" hidden="false" customHeight="false" outlineLevel="0" collapsed="false">
      <c r="A322" s="34" t="s">
        <v>132</v>
      </c>
      <c r="B322" s="35" t="s">
        <v>133</v>
      </c>
      <c r="C322" s="41" t="str">
        <f aca="false">IF(COUNTIFS(日次入力!$A$4:$A$1500,"&gt;="&amp;DATE(2026,12,15),日次入力!$A$4:$A$1500,"&lt;="&amp;DATE(2026,12,21),日次入力!$C$4:$C$1500,"LINEウェビナー")=0,"",SUMIFS(日次入力!$D$4:$D$1500,日次入力!$A$4:$A$1500,"&gt;="&amp;DATE(2026,12,15),日次入力!$A$4:$A$1500,"&lt;="&amp;DATE(2026,12,21),日次入力!$C$4:$C$1500,"LINEウェビナー"))</f>
        <v/>
      </c>
      <c r="D322" s="42" t="str">
        <f aca="false">IF(COUNTIFS(日次入力!$A$4:$A$1500,"&gt;="&amp;DATE(2026,12,15),日次入力!$A$4:$A$1500,"&lt;="&amp;DATE(2026,12,21),日次入力!$C$4:$C$1500,"LINEウェビナー")=0,"",SUMIFS(日次入力!$E$4:$E$1500,日次入力!$A$4:$A$1500,"&gt;="&amp;DATE(2026,12,15),日次入力!$A$4:$A$1500,"&lt;="&amp;DATE(2026,12,21),日次入力!$C$4:$C$1500,"LINEウェビナー"))</f>
        <v/>
      </c>
      <c r="E322" s="42" t="str">
        <f aca="false">IF(COUNTIFS(日次入力!$A$4:$A$1500,"&gt;="&amp;DATE(2026,12,15),日次入力!$A$4:$A$1500,"&lt;="&amp;DATE(2026,12,21),日次入力!$C$4:$C$1500,"LINEウェビナー")=0,"",SUMIFS(日次入力!$F$4:$F$1500,日次入力!$A$4:$A$1500,"&gt;="&amp;DATE(2026,12,15),日次入力!$A$4:$A$1500,"&lt;="&amp;DATE(2026,12,21),日次入力!$C$4:$C$1500,"LINEウェビナー"))</f>
        <v/>
      </c>
      <c r="F322" s="42" t="str">
        <f aca="false">IF(COUNTIFS(日次入力!$A$4:$A$1500,"&gt;="&amp;DATE(2026,12,15),日次入力!$A$4:$A$1500,"&lt;="&amp;DATE(2026,12,21),日次入力!$C$4:$C$1500,"LINEウェビナー")=0,"",SUMIFS(日次入力!$G$4:$G$1500,日次入力!$A$4:$A$1500,"&gt;="&amp;DATE(2026,12,15),日次入力!$A$4:$A$1500,"&lt;="&amp;DATE(2026,12,21),日次入力!$C$4:$C$1500,"LINEウェビナー"))</f>
        <v/>
      </c>
      <c r="G322" s="15" t="str">
        <f aca="false">IFERROR(E322/D322,"")</f>
        <v/>
      </c>
      <c r="H322" s="37" t="str">
        <f aca="false">IFERROR(C322/E322,"")</f>
        <v/>
      </c>
      <c r="I322" s="37" t="str">
        <f aca="false">IFERROR(C322/D322*1000,"")</f>
        <v/>
      </c>
      <c r="J322" s="15" t="str">
        <f aca="false">IFERROR(F322/E322,"")</f>
        <v/>
      </c>
      <c r="K322" s="37" t="str">
        <f aca="false">IFERROR(C322/F322,"")</f>
        <v/>
      </c>
      <c r="L322" s="42" t="str">
        <f aca="false">IF(COUNTIFS(日次入力!$A$4:$A$1500,"&gt;="&amp;DATE(2026,12,15),日次入力!$A$4:$A$1500,"&lt;="&amp;DATE(2026,12,21),日次入力!$C$4:$C$1500,"LINEウェビナー")=0,"",SUMIFS(日次入力!$H$4:$H$1500,日次入力!$A$4:$A$1500,"&gt;="&amp;DATE(2026,12,15),日次入力!$A$4:$A$1500,"&lt;="&amp;DATE(2026,12,21),日次入力!$C$4:$C$1500,"LINEウェビナー"))</f>
        <v/>
      </c>
      <c r="M322" s="15" t="str">
        <f aca="false">IF(L322="","",IFERROR(L322/F322,""))</f>
        <v/>
      </c>
      <c r="N322" s="42" t="str">
        <f aca="false">IF(COUNTIFS(日次入力!$A$4:$A$1500,"&gt;="&amp;DATE(2026,12,15),日次入力!$A$4:$A$1500,"&lt;="&amp;DATE(2026,12,21),日次入力!$C$4:$C$1500,"LINEウェビナー")=0,"",SUMIFS(日次入力!$I$4:$I$1500,日次入力!$A$4:$A$1500,"&gt;="&amp;DATE(2026,12,15),日次入力!$A$4:$A$1500,"&lt;="&amp;DATE(2026,12,21),日次入力!$C$4:$C$1500,"LINEウェビナー"))</f>
        <v/>
      </c>
      <c r="O322" s="15" t="str">
        <f aca="false">IF(N322="","",IFERROR(N322/L322,""))</f>
        <v/>
      </c>
      <c r="P322" s="37" t="str">
        <f aca="false">IF(N322=0,"",IFERROR(C322/N322,""))</f>
        <v/>
      </c>
      <c r="Q322" s="38" t="str">
        <f aca="false">IF(N322=0,"",IFERROR(IF(C322/N322&lt;=用語集!$B$22,"◎ 許容内","✗ 超過"),"—"))</f>
        <v>—</v>
      </c>
      <c r="R322" s="39" t="str">
        <f aca="false">IFERROR(用語集!$B$22/P322,"")</f>
        <v/>
      </c>
    </row>
    <row r="323" customFormat="false" ht="15" hidden="false" customHeight="false" outlineLevel="0" collapsed="false">
      <c r="A323" s="34" t="s">
        <v>134</v>
      </c>
      <c r="B323" s="35" t="s">
        <v>135</v>
      </c>
      <c r="C323" s="41" t="str">
        <f aca="false">IF(COUNTIFS(日次入力!$A$4:$A$1500,"&gt;="&amp;DATE(2026,12,22),日次入力!$A$4:$A$1500,"&lt;="&amp;DATE(2026,12,28),日次入力!$C$4:$C$1500,"LINEウェビナー")=0,"",SUMIFS(日次入力!$D$4:$D$1500,日次入力!$A$4:$A$1500,"&gt;="&amp;DATE(2026,12,22),日次入力!$A$4:$A$1500,"&lt;="&amp;DATE(2026,12,28),日次入力!$C$4:$C$1500,"LINEウェビナー"))</f>
        <v/>
      </c>
      <c r="D323" s="42" t="str">
        <f aca="false">IF(COUNTIFS(日次入力!$A$4:$A$1500,"&gt;="&amp;DATE(2026,12,22),日次入力!$A$4:$A$1500,"&lt;="&amp;DATE(2026,12,28),日次入力!$C$4:$C$1500,"LINEウェビナー")=0,"",SUMIFS(日次入力!$E$4:$E$1500,日次入力!$A$4:$A$1500,"&gt;="&amp;DATE(2026,12,22),日次入力!$A$4:$A$1500,"&lt;="&amp;DATE(2026,12,28),日次入力!$C$4:$C$1500,"LINEウェビナー"))</f>
        <v/>
      </c>
      <c r="E323" s="42" t="str">
        <f aca="false">IF(COUNTIFS(日次入力!$A$4:$A$1500,"&gt;="&amp;DATE(2026,12,22),日次入力!$A$4:$A$1500,"&lt;="&amp;DATE(2026,12,28),日次入力!$C$4:$C$1500,"LINEウェビナー")=0,"",SUMIFS(日次入力!$F$4:$F$1500,日次入力!$A$4:$A$1500,"&gt;="&amp;DATE(2026,12,22),日次入力!$A$4:$A$1500,"&lt;="&amp;DATE(2026,12,28),日次入力!$C$4:$C$1500,"LINEウェビナー"))</f>
        <v/>
      </c>
      <c r="F323" s="42" t="str">
        <f aca="false">IF(COUNTIFS(日次入力!$A$4:$A$1500,"&gt;="&amp;DATE(2026,12,22),日次入力!$A$4:$A$1500,"&lt;="&amp;DATE(2026,12,28),日次入力!$C$4:$C$1500,"LINEウェビナー")=0,"",SUMIFS(日次入力!$G$4:$G$1500,日次入力!$A$4:$A$1500,"&gt;="&amp;DATE(2026,12,22),日次入力!$A$4:$A$1500,"&lt;="&amp;DATE(2026,12,28),日次入力!$C$4:$C$1500,"LINEウェビナー"))</f>
        <v/>
      </c>
      <c r="G323" s="15" t="str">
        <f aca="false">IFERROR(E323/D323,"")</f>
        <v/>
      </c>
      <c r="H323" s="37" t="str">
        <f aca="false">IFERROR(C323/E323,"")</f>
        <v/>
      </c>
      <c r="I323" s="37" t="str">
        <f aca="false">IFERROR(C323/D323*1000,"")</f>
        <v/>
      </c>
      <c r="J323" s="15" t="str">
        <f aca="false">IFERROR(F323/E323,"")</f>
        <v/>
      </c>
      <c r="K323" s="37" t="str">
        <f aca="false">IFERROR(C323/F323,"")</f>
        <v/>
      </c>
      <c r="L323" s="42" t="str">
        <f aca="false">IF(COUNTIFS(日次入力!$A$4:$A$1500,"&gt;="&amp;DATE(2026,12,22),日次入力!$A$4:$A$1500,"&lt;="&amp;DATE(2026,12,28),日次入力!$C$4:$C$1500,"LINEウェビナー")=0,"",SUMIFS(日次入力!$H$4:$H$1500,日次入力!$A$4:$A$1500,"&gt;="&amp;DATE(2026,12,22),日次入力!$A$4:$A$1500,"&lt;="&amp;DATE(2026,12,28),日次入力!$C$4:$C$1500,"LINEウェビナー"))</f>
        <v/>
      </c>
      <c r="M323" s="15" t="str">
        <f aca="false">IF(L323="","",IFERROR(L323/F323,""))</f>
        <v/>
      </c>
      <c r="N323" s="42" t="str">
        <f aca="false">IF(COUNTIFS(日次入力!$A$4:$A$1500,"&gt;="&amp;DATE(2026,12,22),日次入力!$A$4:$A$1500,"&lt;="&amp;DATE(2026,12,28),日次入力!$C$4:$C$1500,"LINEウェビナー")=0,"",SUMIFS(日次入力!$I$4:$I$1500,日次入力!$A$4:$A$1500,"&gt;="&amp;DATE(2026,12,22),日次入力!$A$4:$A$1500,"&lt;="&amp;DATE(2026,12,28),日次入力!$C$4:$C$1500,"LINEウェビナー"))</f>
        <v/>
      </c>
      <c r="O323" s="15" t="str">
        <f aca="false">IF(N323="","",IFERROR(N323/L323,""))</f>
        <v/>
      </c>
      <c r="P323" s="37" t="str">
        <f aca="false">IF(N323=0,"",IFERROR(C323/N323,""))</f>
        <v/>
      </c>
      <c r="Q323" s="38" t="str">
        <f aca="false">IF(N323=0,"",IFERROR(IF(C323/N323&lt;=用語集!$B$22,"◎ 許容内","✗ 超過"),"—"))</f>
        <v>—</v>
      </c>
      <c r="R323" s="39" t="str">
        <f aca="false">IFERROR(用語集!$B$22/P323,"")</f>
        <v/>
      </c>
    </row>
    <row r="324" customFormat="false" ht="15" hidden="false" customHeight="false" outlineLevel="0" collapsed="false">
      <c r="A324" s="34" t="s">
        <v>136</v>
      </c>
      <c r="B324" s="35" t="s">
        <v>137</v>
      </c>
      <c r="C324" s="41" t="str">
        <f aca="false">IF(COUNTIFS(日次入力!$A$4:$A$1500,"&gt;="&amp;DATE(2026,12,29),日次入力!$A$4:$A$1500,"&lt;="&amp;DATE(2027,1,4),日次入力!$C$4:$C$1500,"LINEウェビナー")=0,"",SUMIFS(日次入力!$D$4:$D$1500,日次入力!$A$4:$A$1500,"&gt;="&amp;DATE(2026,12,29),日次入力!$A$4:$A$1500,"&lt;="&amp;DATE(2027,1,4),日次入力!$C$4:$C$1500,"LINEウェビナー"))</f>
        <v/>
      </c>
      <c r="D324" s="42" t="str">
        <f aca="false">IF(COUNTIFS(日次入力!$A$4:$A$1500,"&gt;="&amp;DATE(2026,12,29),日次入力!$A$4:$A$1500,"&lt;="&amp;DATE(2027,1,4),日次入力!$C$4:$C$1500,"LINEウェビナー")=0,"",SUMIFS(日次入力!$E$4:$E$1500,日次入力!$A$4:$A$1500,"&gt;="&amp;DATE(2026,12,29),日次入力!$A$4:$A$1500,"&lt;="&amp;DATE(2027,1,4),日次入力!$C$4:$C$1500,"LINEウェビナー"))</f>
        <v/>
      </c>
      <c r="E324" s="42" t="str">
        <f aca="false">IF(COUNTIFS(日次入力!$A$4:$A$1500,"&gt;="&amp;DATE(2026,12,29),日次入力!$A$4:$A$1500,"&lt;="&amp;DATE(2027,1,4),日次入力!$C$4:$C$1500,"LINEウェビナー")=0,"",SUMIFS(日次入力!$F$4:$F$1500,日次入力!$A$4:$A$1500,"&gt;="&amp;DATE(2026,12,29),日次入力!$A$4:$A$1500,"&lt;="&amp;DATE(2027,1,4),日次入力!$C$4:$C$1500,"LINEウェビナー"))</f>
        <v/>
      </c>
      <c r="F324" s="42" t="str">
        <f aca="false">IF(COUNTIFS(日次入力!$A$4:$A$1500,"&gt;="&amp;DATE(2026,12,29),日次入力!$A$4:$A$1500,"&lt;="&amp;DATE(2027,1,4),日次入力!$C$4:$C$1500,"LINEウェビナー")=0,"",SUMIFS(日次入力!$G$4:$G$1500,日次入力!$A$4:$A$1500,"&gt;="&amp;DATE(2026,12,29),日次入力!$A$4:$A$1500,"&lt;="&amp;DATE(2027,1,4),日次入力!$C$4:$C$1500,"LINEウェビナー"))</f>
        <v/>
      </c>
      <c r="G324" s="15" t="str">
        <f aca="false">IFERROR(E324/D324,"")</f>
        <v/>
      </c>
      <c r="H324" s="37" t="str">
        <f aca="false">IFERROR(C324/E324,"")</f>
        <v/>
      </c>
      <c r="I324" s="37" t="str">
        <f aca="false">IFERROR(C324/D324*1000,"")</f>
        <v/>
      </c>
      <c r="J324" s="15" t="str">
        <f aca="false">IFERROR(F324/E324,"")</f>
        <v/>
      </c>
      <c r="K324" s="37" t="str">
        <f aca="false">IFERROR(C324/F324,"")</f>
        <v/>
      </c>
      <c r="L324" s="42" t="str">
        <f aca="false">IF(COUNTIFS(日次入力!$A$4:$A$1500,"&gt;="&amp;DATE(2026,12,29),日次入力!$A$4:$A$1500,"&lt;="&amp;DATE(2027,1,4),日次入力!$C$4:$C$1500,"LINEウェビナー")=0,"",SUMIFS(日次入力!$H$4:$H$1500,日次入力!$A$4:$A$1500,"&gt;="&amp;DATE(2026,12,29),日次入力!$A$4:$A$1500,"&lt;="&amp;DATE(2027,1,4),日次入力!$C$4:$C$1500,"LINEウェビナー"))</f>
        <v/>
      </c>
      <c r="M324" s="15" t="str">
        <f aca="false">IF(L324="","",IFERROR(L324/F324,""))</f>
        <v/>
      </c>
      <c r="N324" s="42" t="str">
        <f aca="false">IF(COUNTIFS(日次入力!$A$4:$A$1500,"&gt;="&amp;DATE(2026,12,29),日次入力!$A$4:$A$1500,"&lt;="&amp;DATE(2027,1,4),日次入力!$C$4:$C$1500,"LINEウェビナー")=0,"",SUMIFS(日次入力!$I$4:$I$1500,日次入力!$A$4:$A$1500,"&gt;="&amp;DATE(2026,12,29),日次入力!$A$4:$A$1500,"&lt;="&amp;DATE(2027,1,4),日次入力!$C$4:$C$1500,"LINEウェビナー"))</f>
        <v/>
      </c>
      <c r="O324" s="15" t="str">
        <f aca="false">IF(N324="","",IFERROR(N324/L324,""))</f>
        <v/>
      </c>
      <c r="P324" s="37" t="str">
        <f aca="false">IF(N324=0,"",IFERROR(C324/N324,""))</f>
        <v/>
      </c>
      <c r="Q324" s="38" t="str">
        <f aca="false">IF(N324=0,"",IFERROR(IF(C324/N324&lt;=用語集!$B$22,"◎ 許容内","✗ 超過"),"—"))</f>
        <v>—</v>
      </c>
      <c r="R324" s="39" t="str">
        <f aca="false">IFERROR(用語集!$B$22/P324,"")</f>
        <v/>
      </c>
    </row>
    <row r="325" customFormat="false" ht="15" hidden="false" customHeight="false" outlineLevel="0" collapsed="false">
      <c r="A325" s="34" t="s">
        <v>138</v>
      </c>
      <c r="B325" s="35" t="s">
        <v>139</v>
      </c>
      <c r="C325" s="41" t="str">
        <f aca="false">IF(COUNTIFS(日次入力!$A$4:$A$1500,"&gt;="&amp;DATE(2027,1,5),日次入力!$A$4:$A$1500,"&lt;="&amp;DATE(2027,1,11),日次入力!$C$4:$C$1500,"LINEウェビナー")=0,"",SUMIFS(日次入力!$D$4:$D$1500,日次入力!$A$4:$A$1500,"&gt;="&amp;DATE(2027,1,5),日次入力!$A$4:$A$1500,"&lt;="&amp;DATE(2027,1,11),日次入力!$C$4:$C$1500,"LINEウェビナー"))</f>
        <v/>
      </c>
      <c r="D325" s="42" t="str">
        <f aca="false">IF(COUNTIFS(日次入力!$A$4:$A$1500,"&gt;="&amp;DATE(2027,1,5),日次入力!$A$4:$A$1500,"&lt;="&amp;DATE(2027,1,11),日次入力!$C$4:$C$1500,"LINEウェビナー")=0,"",SUMIFS(日次入力!$E$4:$E$1500,日次入力!$A$4:$A$1500,"&gt;="&amp;DATE(2027,1,5),日次入力!$A$4:$A$1500,"&lt;="&amp;DATE(2027,1,11),日次入力!$C$4:$C$1500,"LINEウェビナー"))</f>
        <v/>
      </c>
      <c r="E325" s="42" t="str">
        <f aca="false">IF(COUNTIFS(日次入力!$A$4:$A$1500,"&gt;="&amp;DATE(2027,1,5),日次入力!$A$4:$A$1500,"&lt;="&amp;DATE(2027,1,11),日次入力!$C$4:$C$1500,"LINEウェビナー")=0,"",SUMIFS(日次入力!$F$4:$F$1500,日次入力!$A$4:$A$1500,"&gt;="&amp;DATE(2027,1,5),日次入力!$A$4:$A$1500,"&lt;="&amp;DATE(2027,1,11),日次入力!$C$4:$C$1500,"LINEウェビナー"))</f>
        <v/>
      </c>
      <c r="F325" s="42" t="str">
        <f aca="false">IF(COUNTIFS(日次入力!$A$4:$A$1500,"&gt;="&amp;DATE(2027,1,5),日次入力!$A$4:$A$1500,"&lt;="&amp;DATE(2027,1,11),日次入力!$C$4:$C$1500,"LINEウェビナー")=0,"",SUMIFS(日次入力!$G$4:$G$1500,日次入力!$A$4:$A$1500,"&gt;="&amp;DATE(2027,1,5),日次入力!$A$4:$A$1500,"&lt;="&amp;DATE(2027,1,11),日次入力!$C$4:$C$1500,"LINEウェビナー"))</f>
        <v/>
      </c>
      <c r="G325" s="15" t="str">
        <f aca="false">IFERROR(E325/D325,"")</f>
        <v/>
      </c>
      <c r="H325" s="37" t="str">
        <f aca="false">IFERROR(C325/E325,"")</f>
        <v/>
      </c>
      <c r="I325" s="37" t="str">
        <f aca="false">IFERROR(C325/D325*1000,"")</f>
        <v/>
      </c>
      <c r="J325" s="15" t="str">
        <f aca="false">IFERROR(F325/E325,"")</f>
        <v/>
      </c>
      <c r="K325" s="37" t="str">
        <f aca="false">IFERROR(C325/F325,"")</f>
        <v/>
      </c>
      <c r="L325" s="42" t="str">
        <f aca="false">IF(COUNTIFS(日次入力!$A$4:$A$1500,"&gt;="&amp;DATE(2027,1,5),日次入力!$A$4:$A$1500,"&lt;="&amp;DATE(2027,1,11),日次入力!$C$4:$C$1500,"LINEウェビナー")=0,"",SUMIFS(日次入力!$H$4:$H$1500,日次入力!$A$4:$A$1500,"&gt;="&amp;DATE(2027,1,5),日次入力!$A$4:$A$1500,"&lt;="&amp;DATE(2027,1,11),日次入力!$C$4:$C$1500,"LINEウェビナー"))</f>
        <v/>
      </c>
      <c r="M325" s="15" t="str">
        <f aca="false">IF(L325="","",IFERROR(L325/F325,""))</f>
        <v/>
      </c>
      <c r="N325" s="42" t="str">
        <f aca="false">IF(COUNTIFS(日次入力!$A$4:$A$1500,"&gt;="&amp;DATE(2027,1,5),日次入力!$A$4:$A$1500,"&lt;="&amp;DATE(2027,1,11),日次入力!$C$4:$C$1500,"LINEウェビナー")=0,"",SUMIFS(日次入力!$I$4:$I$1500,日次入力!$A$4:$A$1500,"&gt;="&amp;DATE(2027,1,5),日次入力!$A$4:$A$1500,"&lt;="&amp;DATE(2027,1,11),日次入力!$C$4:$C$1500,"LINEウェビナー"))</f>
        <v/>
      </c>
      <c r="O325" s="15" t="str">
        <f aca="false">IF(N325="","",IFERROR(N325/L325,""))</f>
        <v/>
      </c>
      <c r="P325" s="37" t="str">
        <f aca="false">IF(N325=0,"",IFERROR(C325/N325,""))</f>
        <v/>
      </c>
      <c r="Q325" s="38" t="str">
        <f aca="false">IF(N325=0,"",IFERROR(IF(C325/N325&lt;=用語集!$B$22,"◎ 許容内","✗ 超過"),"—"))</f>
        <v>—</v>
      </c>
      <c r="R325" s="39" t="str">
        <f aca="false">IFERROR(用語集!$B$22/P325,"")</f>
        <v/>
      </c>
    </row>
    <row r="326" customFormat="false" ht="15" hidden="false" customHeight="false" outlineLevel="0" collapsed="false">
      <c r="A326" s="34" t="s">
        <v>140</v>
      </c>
      <c r="B326" s="35" t="s">
        <v>141</v>
      </c>
      <c r="C326" s="41" t="str">
        <f aca="false">IF(COUNTIFS(日次入力!$A$4:$A$1500,"&gt;="&amp;DATE(2027,1,12),日次入力!$A$4:$A$1500,"&lt;="&amp;DATE(2027,1,18),日次入力!$C$4:$C$1500,"LINEウェビナー")=0,"",SUMIFS(日次入力!$D$4:$D$1500,日次入力!$A$4:$A$1500,"&gt;="&amp;DATE(2027,1,12),日次入力!$A$4:$A$1500,"&lt;="&amp;DATE(2027,1,18),日次入力!$C$4:$C$1500,"LINEウェビナー"))</f>
        <v/>
      </c>
      <c r="D326" s="42" t="str">
        <f aca="false">IF(COUNTIFS(日次入力!$A$4:$A$1500,"&gt;="&amp;DATE(2027,1,12),日次入力!$A$4:$A$1500,"&lt;="&amp;DATE(2027,1,18),日次入力!$C$4:$C$1500,"LINEウェビナー")=0,"",SUMIFS(日次入力!$E$4:$E$1500,日次入力!$A$4:$A$1500,"&gt;="&amp;DATE(2027,1,12),日次入力!$A$4:$A$1500,"&lt;="&amp;DATE(2027,1,18),日次入力!$C$4:$C$1500,"LINEウェビナー"))</f>
        <v/>
      </c>
      <c r="E326" s="42" t="str">
        <f aca="false">IF(COUNTIFS(日次入力!$A$4:$A$1500,"&gt;="&amp;DATE(2027,1,12),日次入力!$A$4:$A$1500,"&lt;="&amp;DATE(2027,1,18),日次入力!$C$4:$C$1500,"LINEウェビナー")=0,"",SUMIFS(日次入力!$F$4:$F$1500,日次入力!$A$4:$A$1500,"&gt;="&amp;DATE(2027,1,12),日次入力!$A$4:$A$1500,"&lt;="&amp;DATE(2027,1,18),日次入力!$C$4:$C$1500,"LINEウェビナー"))</f>
        <v/>
      </c>
      <c r="F326" s="42" t="str">
        <f aca="false">IF(COUNTIFS(日次入力!$A$4:$A$1500,"&gt;="&amp;DATE(2027,1,12),日次入力!$A$4:$A$1500,"&lt;="&amp;DATE(2027,1,18),日次入力!$C$4:$C$1500,"LINEウェビナー")=0,"",SUMIFS(日次入力!$G$4:$G$1500,日次入力!$A$4:$A$1500,"&gt;="&amp;DATE(2027,1,12),日次入力!$A$4:$A$1500,"&lt;="&amp;DATE(2027,1,18),日次入力!$C$4:$C$1500,"LINEウェビナー"))</f>
        <v/>
      </c>
      <c r="G326" s="15" t="str">
        <f aca="false">IFERROR(E326/D326,"")</f>
        <v/>
      </c>
      <c r="H326" s="37" t="str">
        <f aca="false">IFERROR(C326/E326,"")</f>
        <v/>
      </c>
      <c r="I326" s="37" t="str">
        <f aca="false">IFERROR(C326/D326*1000,"")</f>
        <v/>
      </c>
      <c r="J326" s="15" t="str">
        <f aca="false">IFERROR(F326/E326,"")</f>
        <v/>
      </c>
      <c r="K326" s="37" t="str">
        <f aca="false">IFERROR(C326/F326,"")</f>
        <v/>
      </c>
      <c r="L326" s="42" t="str">
        <f aca="false">IF(COUNTIFS(日次入力!$A$4:$A$1500,"&gt;="&amp;DATE(2027,1,12),日次入力!$A$4:$A$1500,"&lt;="&amp;DATE(2027,1,18),日次入力!$C$4:$C$1500,"LINEウェビナー")=0,"",SUMIFS(日次入力!$H$4:$H$1500,日次入力!$A$4:$A$1500,"&gt;="&amp;DATE(2027,1,12),日次入力!$A$4:$A$1500,"&lt;="&amp;DATE(2027,1,18),日次入力!$C$4:$C$1500,"LINEウェビナー"))</f>
        <v/>
      </c>
      <c r="M326" s="15" t="str">
        <f aca="false">IF(L326="","",IFERROR(L326/F326,""))</f>
        <v/>
      </c>
      <c r="N326" s="42" t="str">
        <f aca="false">IF(COUNTIFS(日次入力!$A$4:$A$1500,"&gt;="&amp;DATE(2027,1,12),日次入力!$A$4:$A$1500,"&lt;="&amp;DATE(2027,1,18),日次入力!$C$4:$C$1500,"LINEウェビナー")=0,"",SUMIFS(日次入力!$I$4:$I$1500,日次入力!$A$4:$A$1500,"&gt;="&amp;DATE(2027,1,12),日次入力!$A$4:$A$1500,"&lt;="&amp;DATE(2027,1,18),日次入力!$C$4:$C$1500,"LINEウェビナー"))</f>
        <v/>
      </c>
      <c r="O326" s="15" t="str">
        <f aca="false">IF(N326="","",IFERROR(N326/L326,""))</f>
        <v/>
      </c>
      <c r="P326" s="37" t="str">
        <f aca="false">IF(N326=0,"",IFERROR(C326/N326,""))</f>
        <v/>
      </c>
      <c r="Q326" s="38" t="str">
        <f aca="false">IF(N326=0,"",IFERROR(IF(C326/N326&lt;=用語集!$B$22,"◎ 許容内","✗ 超過"),"—"))</f>
        <v>—</v>
      </c>
      <c r="R326" s="39" t="str">
        <f aca="false">IFERROR(用語集!$B$22/P326,"")</f>
        <v/>
      </c>
    </row>
    <row r="327" customFormat="false" ht="15" hidden="false" customHeight="false" outlineLevel="0" collapsed="false">
      <c r="A327" s="34" t="s">
        <v>142</v>
      </c>
      <c r="B327" s="35" t="s">
        <v>143</v>
      </c>
      <c r="C327" s="41" t="str">
        <f aca="false">IF(COUNTIFS(日次入力!$A$4:$A$1500,"&gt;="&amp;DATE(2027,1,19),日次入力!$A$4:$A$1500,"&lt;="&amp;DATE(2027,1,25),日次入力!$C$4:$C$1500,"LINEウェビナー")=0,"",SUMIFS(日次入力!$D$4:$D$1500,日次入力!$A$4:$A$1500,"&gt;="&amp;DATE(2027,1,19),日次入力!$A$4:$A$1500,"&lt;="&amp;DATE(2027,1,25),日次入力!$C$4:$C$1500,"LINEウェビナー"))</f>
        <v/>
      </c>
      <c r="D327" s="42" t="str">
        <f aca="false">IF(COUNTIFS(日次入力!$A$4:$A$1500,"&gt;="&amp;DATE(2027,1,19),日次入力!$A$4:$A$1500,"&lt;="&amp;DATE(2027,1,25),日次入力!$C$4:$C$1500,"LINEウェビナー")=0,"",SUMIFS(日次入力!$E$4:$E$1500,日次入力!$A$4:$A$1500,"&gt;="&amp;DATE(2027,1,19),日次入力!$A$4:$A$1500,"&lt;="&amp;DATE(2027,1,25),日次入力!$C$4:$C$1500,"LINEウェビナー"))</f>
        <v/>
      </c>
      <c r="E327" s="42" t="str">
        <f aca="false">IF(COUNTIFS(日次入力!$A$4:$A$1500,"&gt;="&amp;DATE(2027,1,19),日次入力!$A$4:$A$1500,"&lt;="&amp;DATE(2027,1,25),日次入力!$C$4:$C$1500,"LINEウェビナー")=0,"",SUMIFS(日次入力!$F$4:$F$1500,日次入力!$A$4:$A$1500,"&gt;="&amp;DATE(2027,1,19),日次入力!$A$4:$A$1500,"&lt;="&amp;DATE(2027,1,25),日次入力!$C$4:$C$1500,"LINEウェビナー"))</f>
        <v/>
      </c>
      <c r="F327" s="42" t="str">
        <f aca="false">IF(COUNTIFS(日次入力!$A$4:$A$1500,"&gt;="&amp;DATE(2027,1,19),日次入力!$A$4:$A$1500,"&lt;="&amp;DATE(2027,1,25),日次入力!$C$4:$C$1500,"LINEウェビナー")=0,"",SUMIFS(日次入力!$G$4:$G$1500,日次入力!$A$4:$A$1500,"&gt;="&amp;DATE(2027,1,19),日次入力!$A$4:$A$1500,"&lt;="&amp;DATE(2027,1,25),日次入力!$C$4:$C$1500,"LINEウェビナー"))</f>
        <v/>
      </c>
      <c r="G327" s="15" t="str">
        <f aca="false">IFERROR(E327/D327,"")</f>
        <v/>
      </c>
      <c r="H327" s="37" t="str">
        <f aca="false">IFERROR(C327/E327,"")</f>
        <v/>
      </c>
      <c r="I327" s="37" t="str">
        <f aca="false">IFERROR(C327/D327*1000,"")</f>
        <v/>
      </c>
      <c r="J327" s="15" t="str">
        <f aca="false">IFERROR(F327/E327,"")</f>
        <v/>
      </c>
      <c r="K327" s="37" t="str">
        <f aca="false">IFERROR(C327/F327,"")</f>
        <v/>
      </c>
      <c r="L327" s="42" t="str">
        <f aca="false">IF(COUNTIFS(日次入力!$A$4:$A$1500,"&gt;="&amp;DATE(2027,1,19),日次入力!$A$4:$A$1500,"&lt;="&amp;DATE(2027,1,25),日次入力!$C$4:$C$1500,"LINEウェビナー")=0,"",SUMIFS(日次入力!$H$4:$H$1500,日次入力!$A$4:$A$1500,"&gt;="&amp;DATE(2027,1,19),日次入力!$A$4:$A$1500,"&lt;="&amp;DATE(2027,1,25),日次入力!$C$4:$C$1500,"LINEウェビナー"))</f>
        <v/>
      </c>
      <c r="M327" s="15" t="str">
        <f aca="false">IF(L327="","",IFERROR(L327/F327,""))</f>
        <v/>
      </c>
      <c r="N327" s="42" t="str">
        <f aca="false">IF(COUNTIFS(日次入力!$A$4:$A$1500,"&gt;="&amp;DATE(2027,1,19),日次入力!$A$4:$A$1500,"&lt;="&amp;DATE(2027,1,25),日次入力!$C$4:$C$1500,"LINEウェビナー")=0,"",SUMIFS(日次入力!$I$4:$I$1500,日次入力!$A$4:$A$1500,"&gt;="&amp;DATE(2027,1,19),日次入力!$A$4:$A$1500,"&lt;="&amp;DATE(2027,1,25),日次入力!$C$4:$C$1500,"LINEウェビナー"))</f>
        <v/>
      </c>
      <c r="O327" s="15" t="str">
        <f aca="false">IF(N327="","",IFERROR(N327/L327,""))</f>
        <v/>
      </c>
      <c r="P327" s="37" t="str">
        <f aca="false">IF(N327=0,"",IFERROR(C327/N327,""))</f>
        <v/>
      </c>
      <c r="Q327" s="38" t="str">
        <f aca="false">IF(N327=0,"",IFERROR(IF(C327/N327&lt;=用語集!$B$22,"◎ 許容内","✗ 超過"),"—"))</f>
        <v>—</v>
      </c>
      <c r="R327" s="39" t="str">
        <f aca="false">IFERROR(用語集!$B$22/P327,"")</f>
        <v/>
      </c>
    </row>
    <row r="328" customFormat="false" ht="15" hidden="false" customHeight="false" outlineLevel="0" collapsed="false">
      <c r="A328" s="34" t="s">
        <v>144</v>
      </c>
      <c r="B328" s="35" t="s">
        <v>145</v>
      </c>
      <c r="C328" s="41" t="str">
        <f aca="false">IF(COUNTIFS(日次入力!$A$4:$A$1500,"&gt;="&amp;DATE(2027,1,26),日次入力!$A$4:$A$1500,"&lt;="&amp;DATE(2027,2,1),日次入力!$C$4:$C$1500,"LINEウェビナー")=0,"",SUMIFS(日次入力!$D$4:$D$1500,日次入力!$A$4:$A$1500,"&gt;="&amp;DATE(2027,1,26),日次入力!$A$4:$A$1500,"&lt;="&amp;DATE(2027,2,1),日次入力!$C$4:$C$1500,"LINEウェビナー"))</f>
        <v/>
      </c>
      <c r="D328" s="42" t="str">
        <f aca="false">IF(COUNTIFS(日次入力!$A$4:$A$1500,"&gt;="&amp;DATE(2027,1,26),日次入力!$A$4:$A$1500,"&lt;="&amp;DATE(2027,2,1),日次入力!$C$4:$C$1500,"LINEウェビナー")=0,"",SUMIFS(日次入力!$E$4:$E$1500,日次入力!$A$4:$A$1500,"&gt;="&amp;DATE(2027,1,26),日次入力!$A$4:$A$1500,"&lt;="&amp;DATE(2027,2,1),日次入力!$C$4:$C$1500,"LINEウェビナー"))</f>
        <v/>
      </c>
      <c r="E328" s="42" t="str">
        <f aca="false">IF(COUNTIFS(日次入力!$A$4:$A$1500,"&gt;="&amp;DATE(2027,1,26),日次入力!$A$4:$A$1500,"&lt;="&amp;DATE(2027,2,1),日次入力!$C$4:$C$1500,"LINEウェビナー")=0,"",SUMIFS(日次入力!$F$4:$F$1500,日次入力!$A$4:$A$1500,"&gt;="&amp;DATE(2027,1,26),日次入力!$A$4:$A$1500,"&lt;="&amp;DATE(2027,2,1),日次入力!$C$4:$C$1500,"LINEウェビナー"))</f>
        <v/>
      </c>
      <c r="F328" s="42" t="str">
        <f aca="false">IF(COUNTIFS(日次入力!$A$4:$A$1500,"&gt;="&amp;DATE(2027,1,26),日次入力!$A$4:$A$1500,"&lt;="&amp;DATE(2027,2,1),日次入力!$C$4:$C$1500,"LINEウェビナー")=0,"",SUMIFS(日次入力!$G$4:$G$1500,日次入力!$A$4:$A$1500,"&gt;="&amp;DATE(2027,1,26),日次入力!$A$4:$A$1500,"&lt;="&amp;DATE(2027,2,1),日次入力!$C$4:$C$1500,"LINEウェビナー"))</f>
        <v/>
      </c>
      <c r="G328" s="15" t="str">
        <f aca="false">IFERROR(E328/D328,"")</f>
        <v/>
      </c>
      <c r="H328" s="37" t="str">
        <f aca="false">IFERROR(C328/E328,"")</f>
        <v/>
      </c>
      <c r="I328" s="37" t="str">
        <f aca="false">IFERROR(C328/D328*1000,"")</f>
        <v/>
      </c>
      <c r="J328" s="15" t="str">
        <f aca="false">IFERROR(F328/E328,"")</f>
        <v/>
      </c>
      <c r="K328" s="37" t="str">
        <f aca="false">IFERROR(C328/F328,"")</f>
        <v/>
      </c>
      <c r="L328" s="42" t="str">
        <f aca="false">IF(COUNTIFS(日次入力!$A$4:$A$1500,"&gt;="&amp;DATE(2027,1,26),日次入力!$A$4:$A$1500,"&lt;="&amp;DATE(2027,2,1),日次入力!$C$4:$C$1500,"LINEウェビナー")=0,"",SUMIFS(日次入力!$H$4:$H$1500,日次入力!$A$4:$A$1500,"&gt;="&amp;DATE(2027,1,26),日次入力!$A$4:$A$1500,"&lt;="&amp;DATE(2027,2,1),日次入力!$C$4:$C$1500,"LINEウェビナー"))</f>
        <v/>
      </c>
      <c r="M328" s="15" t="str">
        <f aca="false">IF(L328="","",IFERROR(L328/F328,""))</f>
        <v/>
      </c>
      <c r="N328" s="42" t="str">
        <f aca="false">IF(COUNTIFS(日次入力!$A$4:$A$1500,"&gt;="&amp;DATE(2027,1,26),日次入力!$A$4:$A$1500,"&lt;="&amp;DATE(2027,2,1),日次入力!$C$4:$C$1500,"LINEウェビナー")=0,"",SUMIFS(日次入力!$I$4:$I$1500,日次入力!$A$4:$A$1500,"&gt;="&amp;DATE(2027,1,26),日次入力!$A$4:$A$1500,"&lt;="&amp;DATE(2027,2,1),日次入力!$C$4:$C$1500,"LINEウェビナー"))</f>
        <v/>
      </c>
      <c r="O328" s="15" t="str">
        <f aca="false">IF(N328="","",IFERROR(N328/L328,""))</f>
        <v/>
      </c>
      <c r="P328" s="37" t="str">
        <f aca="false">IF(N328=0,"",IFERROR(C328/N328,""))</f>
        <v/>
      </c>
      <c r="Q328" s="38" t="str">
        <f aca="false">IF(N328=0,"",IFERROR(IF(C328/N328&lt;=用語集!$B$22,"◎ 許容内","✗ 超過"),"—"))</f>
        <v>—</v>
      </c>
      <c r="R328" s="39" t="str">
        <f aca="false">IFERROR(用語集!$B$22/P328,"")</f>
        <v/>
      </c>
    </row>
    <row r="329" customFormat="false" ht="15" hidden="false" customHeight="false" outlineLevel="0" collapsed="false">
      <c r="A329" s="34" t="s">
        <v>146</v>
      </c>
      <c r="B329" s="35" t="s">
        <v>147</v>
      </c>
      <c r="C329" s="41" t="str">
        <f aca="false">IF(COUNTIFS(日次入力!$A$4:$A$1500,"&gt;="&amp;DATE(2027,2,2),日次入力!$A$4:$A$1500,"&lt;="&amp;DATE(2027,2,8),日次入力!$C$4:$C$1500,"LINEウェビナー")=0,"",SUMIFS(日次入力!$D$4:$D$1500,日次入力!$A$4:$A$1500,"&gt;="&amp;DATE(2027,2,2),日次入力!$A$4:$A$1500,"&lt;="&amp;DATE(2027,2,8),日次入力!$C$4:$C$1500,"LINEウェビナー"))</f>
        <v/>
      </c>
      <c r="D329" s="42" t="str">
        <f aca="false">IF(COUNTIFS(日次入力!$A$4:$A$1500,"&gt;="&amp;DATE(2027,2,2),日次入力!$A$4:$A$1500,"&lt;="&amp;DATE(2027,2,8),日次入力!$C$4:$C$1500,"LINEウェビナー")=0,"",SUMIFS(日次入力!$E$4:$E$1500,日次入力!$A$4:$A$1500,"&gt;="&amp;DATE(2027,2,2),日次入力!$A$4:$A$1500,"&lt;="&amp;DATE(2027,2,8),日次入力!$C$4:$C$1500,"LINEウェビナー"))</f>
        <v/>
      </c>
      <c r="E329" s="42" t="str">
        <f aca="false">IF(COUNTIFS(日次入力!$A$4:$A$1500,"&gt;="&amp;DATE(2027,2,2),日次入力!$A$4:$A$1500,"&lt;="&amp;DATE(2027,2,8),日次入力!$C$4:$C$1500,"LINEウェビナー")=0,"",SUMIFS(日次入力!$F$4:$F$1500,日次入力!$A$4:$A$1500,"&gt;="&amp;DATE(2027,2,2),日次入力!$A$4:$A$1500,"&lt;="&amp;DATE(2027,2,8),日次入力!$C$4:$C$1500,"LINEウェビナー"))</f>
        <v/>
      </c>
      <c r="F329" s="42" t="str">
        <f aca="false">IF(COUNTIFS(日次入力!$A$4:$A$1500,"&gt;="&amp;DATE(2027,2,2),日次入力!$A$4:$A$1500,"&lt;="&amp;DATE(2027,2,8),日次入力!$C$4:$C$1500,"LINEウェビナー")=0,"",SUMIFS(日次入力!$G$4:$G$1500,日次入力!$A$4:$A$1500,"&gt;="&amp;DATE(2027,2,2),日次入力!$A$4:$A$1500,"&lt;="&amp;DATE(2027,2,8),日次入力!$C$4:$C$1500,"LINEウェビナー"))</f>
        <v/>
      </c>
      <c r="G329" s="15" t="str">
        <f aca="false">IFERROR(E329/D329,"")</f>
        <v/>
      </c>
      <c r="H329" s="37" t="str">
        <f aca="false">IFERROR(C329/E329,"")</f>
        <v/>
      </c>
      <c r="I329" s="37" t="str">
        <f aca="false">IFERROR(C329/D329*1000,"")</f>
        <v/>
      </c>
      <c r="J329" s="15" t="str">
        <f aca="false">IFERROR(F329/E329,"")</f>
        <v/>
      </c>
      <c r="K329" s="37" t="str">
        <f aca="false">IFERROR(C329/F329,"")</f>
        <v/>
      </c>
      <c r="L329" s="42" t="str">
        <f aca="false">IF(COUNTIFS(日次入力!$A$4:$A$1500,"&gt;="&amp;DATE(2027,2,2),日次入力!$A$4:$A$1500,"&lt;="&amp;DATE(2027,2,8),日次入力!$C$4:$C$1500,"LINEウェビナー")=0,"",SUMIFS(日次入力!$H$4:$H$1500,日次入力!$A$4:$A$1500,"&gt;="&amp;DATE(2027,2,2),日次入力!$A$4:$A$1500,"&lt;="&amp;DATE(2027,2,8),日次入力!$C$4:$C$1500,"LINEウェビナー"))</f>
        <v/>
      </c>
      <c r="M329" s="15" t="str">
        <f aca="false">IF(L329="","",IFERROR(L329/F329,""))</f>
        <v/>
      </c>
      <c r="N329" s="42" t="str">
        <f aca="false">IF(COUNTIFS(日次入力!$A$4:$A$1500,"&gt;="&amp;DATE(2027,2,2),日次入力!$A$4:$A$1500,"&lt;="&amp;DATE(2027,2,8),日次入力!$C$4:$C$1500,"LINEウェビナー")=0,"",SUMIFS(日次入力!$I$4:$I$1500,日次入力!$A$4:$A$1500,"&gt;="&amp;DATE(2027,2,2),日次入力!$A$4:$A$1500,"&lt;="&amp;DATE(2027,2,8),日次入力!$C$4:$C$1500,"LINEウェビナー"))</f>
        <v/>
      </c>
      <c r="O329" s="15" t="str">
        <f aca="false">IF(N329="","",IFERROR(N329/L329,""))</f>
        <v/>
      </c>
      <c r="P329" s="37" t="str">
        <f aca="false">IF(N329=0,"",IFERROR(C329/N329,""))</f>
        <v/>
      </c>
      <c r="Q329" s="38" t="str">
        <f aca="false">IF(N329=0,"",IFERROR(IF(C329/N329&lt;=用語集!$B$22,"◎ 許容内","✗ 超過"),"—"))</f>
        <v>—</v>
      </c>
      <c r="R329" s="39" t="str">
        <f aca="false">IFERROR(用語集!$B$22/P329,"")</f>
        <v/>
      </c>
    </row>
    <row r="330" customFormat="false" ht="15" hidden="false" customHeight="false" outlineLevel="0" collapsed="false">
      <c r="A330" s="34" t="s">
        <v>148</v>
      </c>
      <c r="B330" s="35" t="s">
        <v>149</v>
      </c>
      <c r="C330" s="41" t="str">
        <f aca="false">IF(COUNTIFS(日次入力!$A$4:$A$1500,"&gt;="&amp;DATE(2027,2,9),日次入力!$A$4:$A$1500,"&lt;="&amp;DATE(2027,2,15),日次入力!$C$4:$C$1500,"LINEウェビナー")=0,"",SUMIFS(日次入力!$D$4:$D$1500,日次入力!$A$4:$A$1500,"&gt;="&amp;DATE(2027,2,9),日次入力!$A$4:$A$1500,"&lt;="&amp;DATE(2027,2,15),日次入力!$C$4:$C$1500,"LINEウェビナー"))</f>
        <v/>
      </c>
      <c r="D330" s="42" t="str">
        <f aca="false">IF(COUNTIFS(日次入力!$A$4:$A$1500,"&gt;="&amp;DATE(2027,2,9),日次入力!$A$4:$A$1500,"&lt;="&amp;DATE(2027,2,15),日次入力!$C$4:$C$1500,"LINEウェビナー")=0,"",SUMIFS(日次入力!$E$4:$E$1500,日次入力!$A$4:$A$1500,"&gt;="&amp;DATE(2027,2,9),日次入力!$A$4:$A$1500,"&lt;="&amp;DATE(2027,2,15),日次入力!$C$4:$C$1500,"LINEウェビナー"))</f>
        <v/>
      </c>
      <c r="E330" s="42" t="str">
        <f aca="false">IF(COUNTIFS(日次入力!$A$4:$A$1500,"&gt;="&amp;DATE(2027,2,9),日次入力!$A$4:$A$1500,"&lt;="&amp;DATE(2027,2,15),日次入力!$C$4:$C$1500,"LINEウェビナー")=0,"",SUMIFS(日次入力!$F$4:$F$1500,日次入力!$A$4:$A$1500,"&gt;="&amp;DATE(2027,2,9),日次入力!$A$4:$A$1500,"&lt;="&amp;DATE(2027,2,15),日次入力!$C$4:$C$1500,"LINEウェビナー"))</f>
        <v/>
      </c>
      <c r="F330" s="42" t="str">
        <f aca="false">IF(COUNTIFS(日次入力!$A$4:$A$1500,"&gt;="&amp;DATE(2027,2,9),日次入力!$A$4:$A$1500,"&lt;="&amp;DATE(2027,2,15),日次入力!$C$4:$C$1500,"LINEウェビナー")=0,"",SUMIFS(日次入力!$G$4:$G$1500,日次入力!$A$4:$A$1500,"&gt;="&amp;DATE(2027,2,9),日次入力!$A$4:$A$1500,"&lt;="&amp;DATE(2027,2,15),日次入力!$C$4:$C$1500,"LINEウェビナー"))</f>
        <v/>
      </c>
      <c r="G330" s="15" t="str">
        <f aca="false">IFERROR(E330/D330,"")</f>
        <v/>
      </c>
      <c r="H330" s="37" t="str">
        <f aca="false">IFERROR(C330/E330,"")</f>
        <v/>
      </c>
      <c r="I330" s="37" t="str">
        <f aca="false">IFERROR(C330/D330*1000,"")</f>
        <v/>
      </c>
      <c r="J330" s="15" t="str">
        <f aca="false">IFERROR(F330/E330,"")</f>
        <v/>
      </c>
      <c r="K330" s="37" t="str">
        <f aca="false">IFERROR(C330/F330,"")</f>
        <v/>
      </c>
      <c r="L330" s="42" t="str">
        <f aca="false">IF(COUNTIFS(日次入力!$A$4:$A$1500,"&gt;="&amp;DATE(2027,2,9),日次入力!$A$4:$A$1500,"&lt;="&amp;DATE(2027,2,15),日次入力!$C$4:$C$1500,"LINEウェビナー")=0,"",SUMIFS(日次入力!$H$4:$H$1500,日次入力!$A$4:$A$1500,"&gt;="&amp;DATE(2027,2,9),日次入力!$A$4:$A$1500,"&lt;="&amp;DATE(2027,2,15),日次入力!$C$4:$C$1500,"LINEウェビナー"))</f>
        <v/>
      </c>
      <c r="M330" s="15" t="str">
        <f aca="false">IF(L330="","",IFERROR(L330/F330,""))</f>
        <v/>
      </c>
      <c r="N330" s="42" t="str">
        <f aca="false">IF(COUNTIFS(日次入力!$A$4:$A$1500,"&gt;="&amp;DATE(2027,2,9),日次入力!$A$4:$A$1500,"&lt;="&amp;DATE(2027,2,15),日次入力!$C$4:$C$1500,"LINEウェビナー")=0,"",SUMIFS(日次入力!$I$4:$I$1500,日次入力!$A$4:$A$1500,"&gt;="&amp;DATE(2027,2,9),日次入力!$A$4:$A$1500,"&lt;="&amp;DATE(2027,2,15),日次入力!$C$4:$C$1500,"LINEウェビナー"))</f>
        <v/>
      </c>
      <c r="O330" s="15" t="str">
        <f aca="false">IF(N330="","",IFERROR(N330/L330,""))</f>
        <v/>
      </c>
      <c r="P330" s="37" t="str">
        <f aca="false">IF(N330=0,"",IFERROR(C330/N330,""))</f>
        <v/>
      </c>
      <c r="Q330" s="38" t="str">
        <f aca="false">IF(N330=0,"",IFERROR(IF(C330/N330&lt;=用語集!$B$22,"◎ 許容内","✗ 超過"),"—"))</f>
        <v>—</v>
      </c>
      <c r="R330" s="39" t="str">
        <f aca="false">IFERROR(用語集!$B$22/P330,"")</f>
        <v/>
      </c>
    </row>
    <row r="331" customFormat="false" ht="15" hidden="false" customHeight="false" outlineLevel="0" collapsed="false">
      <c r="A331" s="34" t="s">
        <v>150</v>
      </c>
      <c r="B331" s="35" t="s">
        <v>151</v>
      </c>
      <c r="C331" s="41" t="str">
        <f aca="false">IF(COUNTIFS(日次入力!$A$4:$A$1500,"&gt;="&amp;DATE(2027,2,16),日次入力!$A$4:$A$1500,"&lt;="&amp;DATE(2027,2,22),日次入力!$C$4:$C$1500,"LINEウェビナー")=0,"",SUMIFS(日次入力!$D$4:$D$1500,日次入力!$A$4:$A$1500,"&gt;="&amp;DATE(2027,2,16),日次入力!$A$4:$A$1500,"&lt;="&amp;DATE(2027,2,22),日次入力!$C$4:$C$1500,"LINEウェビナー"))</f>
        <v/>
      </c>
      <c r="D331" s="42" t="str">
        <f aca="false">IF(COUNTIFS(日次入力!$A$4:$A$1500,"&gt;="&amp;DATE(2027,2,16),日次入力!$A$4:$A$1500,"&lt;="&amp;DATE(2027,2,22),日次入力!$C$4:$C$1500,"LINEウェビナー")=0,"",SUMIFS(日次入力!$E$4:$E$1500,日次入力!$A$4:$A$1500,"&gt;="&amp;DATE(2027,2,16),日次入力!$A$4:$A$1500,"&lt;="&amp;DATE(2027,2,22),日次入力!$C$4:$C$1500,"LINEウェビナー"))</f>
        <v/>
      </c>
      <c r="E331" s="42" t="str">
        <f aca="false">IF(COUNTIFS(日次入力!$A$4:$A$1500,"&gt;="&amp;DATE(2027,2,16),日次入力!$A$4:$A$1500,"&lt;="&amp;DATE(2027,2,22),日次入力!$C$4:$C$1500,"LINEウェビナー")=0,"",SUMIFS(日次入力!$F$4:$F$1500,日次入力!$A$4:$A$1500,"&gt;="&amp;DATE(2027,2,16),日次入力!$A$4:$A$1500,"&lt;="&amp;DATE(2027,2,22),日次入力!$C$4:$C$1500,"LINEウェビナー"))</f>
        <v/>
      </c>
      <c r="F331" s="42" t="str">
        <f aca="false">IF(COUNTIFS(日次入力!$A$4:$A$1500,"&gt;="&amp;DATE(2027,2,16),日次入力!$A$4:$A$1500,"&lt;="&amp;DATE(2027,2,22),日次入力!$C$4:$C$1500,"LINEウェビナー")=0,"",SUMIFS(日次入力!$G$4:$G$1500,日次入力!$A$4:$A$1500,"&gt;="&amp;DATE(2027,2,16),日次入力!$A$4:$A$1500,"&lt;="&amp;DATE(2027,2,22),日次入力!$C$4:$C$1500,"LINEウェビナー"))</f>
        <v/>
      </c>
      <c r="G331" s="15" t="str">
        <f aca="false">IFERROR(E331/D331,"")</f>
        <v/>
      </c>
      <c r="H331" s="37" t="str">
        <f aca="false">IFERROR(C331/E331,"")</f>
        <v/>
      </c>
      <c r="I331" s="37" t="str">
        <f aca="false">IFERROR(C331/D331*1000,"")</f>
        <v/>
      </c>
      <c r="J331" s="15" t="str">
        <f aca="false">IFERROR(F331/E331,"")</f>
        <v/>
      </c>
      <c r="K331" s="37" t="str">
        <f aca="false">IFERROR(C331/F331,"")</f>
        <v/>
      </c>
      <c r="L331" s="42" t="str">
        <f aca="false">IF(COUNTIFS(日次入力!$A$4:$A$1500,"&gt;="&amp;DATE(2027,2,16),日次入力!$A$4:$A$1500,"&lt;="&amp;DATE(2027,2,22),日次入力!$C$4:$C$1500,"LINEウェビナー")=0,"",SUMIFS(日次入力!$H$4:$H$1500,日次入力!$A$4:$A$1500,"&gt;="&amp;DATE(2027,2,16),日次入力!$A$4:$A$1500,"&lt;="&amp;DATE(2027,2,22),日次入力!$C$4:$C$1500,"LINEウェビナー"))</f>
        <v/>
      </c>
      <c r="M331" s="15" t="str">
        <f aca="false">IF(L331="","",IFERROR(L331/F331,""))</f>
        <v/>
      </c>
      <c r="N331" s="42" t="str">
        <f aca="false">IF(COUNTIFS(日次入力!$A$4:$A$1500,"&gt;="&amp;DATE(2027,2,16),日次入力!$A$4:$A$1500,"&lt;="&amp;DATE(2027,2,22),日次入力!$C$4:$C$1500,"LINEウェビナー")=0,"",SUMIFS(日次入力!$I$4:$I$1500,日次入力!$A$4:$A$1500,"&gt;="&amp;DATE(2027,2,16),日次入力!$A$4:$A$1500,"&lt;="&amp;DATE(2027,2,22),日次入力!$C$4:$C$1500,"LINEウェビナー"))</f>
        <v/>
      </c>
      <c r="O331" s="15" t="str">
        <f aca="false">IF(N331="","",IFERROR(N331/L331,""))</f>
        <v/>
      </c>
      <c r="P331" s="37" t="str">
        <f aca="false">IF(N331=0,"",IFERROR(C331/N331,""))</f>
        <v/>
      </c>
      <c r="Q331" s="38" t="str">
        <f aca="false">IF(N331=0,"",IFERROR(IF(C331/N331&lt;=用語集!$B$22,"◎ 許容内","✗ 超過"),"—"))</f>
        <v>—</v>
      </c>
      <c r="R331" s="39" t="str">
        <f aca="false">IFERROR(用語集!$B$22/P331,"")</f>
        <v/>
      </c>
    </row>
    <row r="332" customFormat="false" ht="15" hidden="false" customHeight="false" outlineLevel="0" collapsed="false">
      <c r="A332" s="34" t="s">
        <v>152</v>
      </c>
      <c r="B332" s="35" t="s">
        <v>153</v>
      </c>
      <c r="C332" s="41" t="str">
        <f aca="false">IF(COUNTIFS(日次入力!$A$4:$A$1500,"&gt;="&amp;DATE(2027,2,23),日次入力!$A$4:$A$1500,"&lt;="&amp;DATE(2027,3,1),日次入力!$C$4:$C$1500,"LINEウェビナー")=0,"",SUMIFS(日次入力!$D$4:$D$1500,日次入力!$A$4:$A$1500,"&gt;="&amp;DATE(2027,2,23),日次入力!$A$4:$A$1500,"&lt;="&amp;DATE(2027,3,1),日次入力!$C$4:$C$1500,"LINEウェビナー"))</f>
        <v/>
      </c>
      <c r="D332" s="42" t="str">
        <f aca="false">IF(COUNTIFS(日次入力!$A$4:$A$1500,"&gt;="&amp;DATE(2027,2,23),日次入力!$A$4:$A$1500,"&lt;="&amp;DATE(2027,3,1),日次入力!$C$4:$C$1500,"LINEウェビナー")=0,"",SUMIFS(日次入力!$E$4:$E$1500,日次入力!$A$4:$A$1500,"&gt;="&amp;DATE(2027,2,23),日次入力!$A$4:$A$1500,"&lt;="&amp;DATE(2027,3,1),日次入力!$C$4:$C$1500,"LINEウェビナー"))</f>
        <v/>
      </c>
      <c r="E332" s="42" t="str">
        <f aca="false">IF(COUNTIFS(日次入力!$A$4:$A$1500,"&gt;="&amp;DATE(2027,2,23),日次入力!$A$4:$A$1500,"&lt;="&amp;DATE(2027,3,1),日次入力!$C$4:$C$1500,"LINEウェビナー")=0,"",SUMIFS(日次入力!$F$4:$F$1500,日次入力!$A$4:$A$1500,"&gt;="&amp;DATE(2027,2,23),日次入力!$A$4:$A$1500,"&lt;="&amp;DATE(2027,3,1),日次入力!$C$4:$C$1500,"LINEウェビナー"))</f>
        <v/>
      </c>
      <c r="F332" s="42" t="str">
        <f aca="false">IF(COUNTIFS(日次入力!$A$4:$A$1500,"&gt;="&amp;DATE(2027,2,23),日次入力!$A$4:$A$1500,"&lt;="&amp;DATE(2027,3,1),日次入力!$C$4:$C$1500,"LINEウェビナー")=0,"",SUMIFS(日次入力!$G$4:$G$1500,日次入力!$A$4:$A$1500,"&gt;="&amp;DATE(2027,2,23),日次入力!$A$4:$A$1500,"&lt;="&amp;DATE(2027,3,1),日次入力!$C$4:$C$1500,"LINEウェビナー"))</f>
        <v/>
      </c>
      <c r="G332" s="15" t="str">
        <f aca="false">IFERROR(E332/D332,"")</f>
        <v/>
      </c>
      <c r="H332" s="37" t="str">
        <f aca="false">IFERROR(C332/E332,"")</f>
        <v/>
      </c>
      <c r="I332" s="37" t="str">
        <f aca="false">IFERROR(C332/D332*1000,"")</f>
        <v/>
      </c>
      <c r="J332" s="15" t="str">
        <f aca="false">IFERROR(F332/E332,"")</f>
        <v/>
      </c>
      <c r="K332" s="37" t="str">
        <f aca="false">IFERROR(C332/F332,"")</f>
        <v/>
      </c>
      <c r="L332" s="42" t="str">
        <f aca="false">IF(COUNTIFS(日次入力!$A$4:$A$1500,"&gt;="&amp;DATE(2027,2,23),日次入力!$A$4:$A$1500,"&lt;="&amp;DATE(2027,3,1),日次入力!$C$4:$C$1500,"LINEウェビナー")=0,"",SUMIFS(日次入力!$H$4:$H$1500,日次入力!$A$4:$A$1500,"&gt;="&amp;DATE(2027,2,23),日次入力!$A$4:$A$1500,"&lt;="&amp;DATE(2027,3,1),日次入力!$C$4:$C$1500,"LINEウェビナー"))</f>
        <v/>
      </c>
      <c r="M332" s="15" t="str">
        <f aca="false">IF(L332="","",IFERROR(L332/F332,""))</f>
        <v/>
      </c>
      <c r="N332" s="42" t="str">
        <f aca="false">IF(COUNTIFS(日次入力!$A$4:$A$1500,"&gt;="&amp;DATE(2027,2,23),日次入力!$A$4:$A$1500,"&lt;="&amp;DATE(2027,3,1),日次入力!$C$4:$C$1500,"LINEウェビナー")=0,"",SUMIFS(日次入力!$I$4:$I$1500,日次入力!$A$4:$A$1500,"&gt;="&amp;DATE(2027,2,23),日次入力!$A$4:$A$1500,"&lt;="&amp;DATE(2027,3,1),日次入力!$C$4:$C$1500,"LINEウェビナー"))</f>
        <v/>
      </c>
      <c r="O332" s="15" t="str">
        <f aca="false">IF(N332="","",IFERROR(N332/L332,""))</f>
        <v/>
      </c>
      <c r="P332" s="37" t="str">
        <f aca="false">IF(N332=0,"",IFERROR(C332/N332,""))</f>
        <v/>
      </c>
      <c r="Q332" s="38" t="str">
        <f aca="false">IF(N332=0,"",IFERROR(IF(C332/N332&lt;=用語集!$B$22,"◎ 許容内","✗ 超過"),"—"))</f>
        <v>—</v>
      </c>
      <c r="R332" s="39" t="str">
        <f aca="false">IFERROR(用語集!$B$22/P332,"")</f>
        <v/>
      </c>
    </row>
    <row r="333" customFormat="false" ht="15" hidden="false" customHeight="false" outlineLevel="0" collapsed="false">
      <c r="A333" s="34" t="s">
        <v>154</v>
      </c>
      <c r="B333" s="35" t="s">
        <v>155</v>
      </c>
      <c r="C333" s="41" t="str">
        <f aca="false">IF(COUNTIFS(日次入力!$A$4:$A$1500,"&gt;="&amp;DATE(2027,3,2),日次入力!$A$4:$A$1500,"&lt;="&amp;DATE(2027,3,8),日次入力!$C$4:$C$1500,"LINEウェビナー")=0,"",SUMIFS(日次入力!$D$4:$D$1500,日次入力!$A$4:$A$1500,"&gt;="&amp;DATE(2027,3,2),日次入力!$A$4:$A$1500,"&lt;="&amp;DATE(2027,3,8),日次入力!$C$4:$C$1500,"LINEウェビナー"))</f>
        <v/>
      </c>
      <c r="D333" s="42" t="str">
        <f aca="false">IF(COUNTIFS(日次入力!$A$4:$A$1500,"&gt;="&amp;DATE(2027,3,2),日次入力!$A$4:$A$1500,"&lt;="&amp;DATE(2027,3,8),日次入力!$C$4:$C$1500,"LINEウェビナー")=0,"",SUMIFS(日次入力!$E$4:$E$1500,日次入力!$A$4:$A$1500,"&gt;="&amp;DATE(2027,3,2),日次入力!$A$4:$A$1500,"&lt;="&amp;DATE(2027,3,8),日次入力!$C$4:$C$1500,"LINEウェビナー"))</f>
        <v/>
      </c>
      <c r="E333" s="42" t="str">
        <f aca="false">IF(COUNTIFS(日次入力!$A$4:$A$1500,"&gt;="&amp;DATE(2027,3,2),日次入力!$A$4:$A$1500,"&lt;="&amp;DATE(2027,3,8),日次入力!$C$4:$C$1500,"LINEウェビナー")=0,"",SUMIFS(日次入力!$F$4:$F$1500,日次入力!$A$4:$A$1500,"&gt;="&amp;DATE(2027,3,2),日次入力!$A$4:$A$1500,"&lt;="&amp;DATE(2027,3,8),日次入力!$C$4:$C$1500,"LINEウェビナー"))</f>
        <v/>
      </c>
      <c r="F333" s="42" t="str">
        <f aca="false">IF(COUNTIFS(日次入力!$A$4:$A$1500,"&gt;="&amp;DATE(2027,3,2),日次入力!$A$4:$A$1500,"&lt;="&amp;DATE(2027,3,8),日次入力!$C$4:$C$1500,"LINEウェビナー")=0,"",SUMIFS(日次入力!$G$4:$G$1500,日次入力!$A$4:$A$1500,"&gt;="&amp;DATE(2027,3,2),日次入力!$A$4:$A$1500,"&lt;="&amp;DATE(2027,3,8),日次入力!$C$4:$C$1500,"LINEウェビナー"))</f>
        <v/>
      </c>
      <c r="G333" s="15" t="str">
        <f aca="false">IFERROR(E333/D333,"")</f>
        <v/>
      </c>
      <c r="H333" s="37" t="str">
        <f aca="false">IFERROR(C333/E333,"")</f>
        <v/>
      </c>
      <c r="I333" s="37" t="str">
        <f aca="false">IFERROR(C333/D333*1000,"")</f>
        <v/>
      </c>
      <c r="J333" s="15" t="str">
        <f aca="false">IFERROR(F333/E333,"")</f>
        <v/>
      </c>
      <c r="K333" s="37" t="str">
        <f aca="false">IFERROR(C333/F333,"")</f>
        <v/>
      </c>
      <c r="L333" s="42" t="str">
        <f aca="false">IF(COUNTIFS(日次入力!$A$4:$A$1500,"&gt;="&amp;DATE(2027,3,2),日次入力!$A$4:$A$1500,"&lt;="&amp;DATE(2027,3,8),日次入力!$C$4:$C$1500,"LINEウェビナー")=0,"",SUMIFS(日次入力!$H$4:$H$1500,日次入力!$A$4:$A$1500,"&gt;="&amp;DATE(2027,3,2),日次入力!$A$4:$A$1500,"&lt;="&amp;DATE(2027,3,8),日次入力!$C$4:$C$1500,"LINEウェビナー"))</f>
        <v/>
      </c>
      <c r="M333" s="15" t="str">
        <f aca="false">IF(L333="","",IFERROR(L333/F333,""))</f>
        <v/>
      </c>
      <c r="N333" s="42" t="str">
        <f aca="false">IF(COUNTIFS(日次入力!$A$4:$A$1500,"&gt;="&amp;DATE(2027,3,2),日次入力!$A$4:$A$1500,"&lt;="&amp;DATE(2027,3,8),日次入力!$C$4:$C$1500,"LINEウェビナー")=0,"",SUMIFS(日次入力!$I$4:$I$1500,日次入力!$A$4:$A$1500,"&gt;="&amp;DATE(2027,3,2),日次入力!$A$4:$A$1500,"&lt;="&amp;DATE(2027,3,8),日次入力!$C$4:$C$1500,"LINEウェビナー"))</f>
        <v/>
      </c>
      <c r="O333" s="15" t="str">
        <f aca="false">IF(N333="","",IFERROR(N333/L333,""))</f>
        <v/>
      </c>
      <c r="P333" s="37" t="str">
        <f aca="false">IF(N333=0,"",IFERROR(C333/N333,""))</f>
        <v/>
      </c>
      <c r="Q333" s="38" t="str">
        <f aca="false">IF(N333=0,"",IFERROR(IF(C333/N333&lt;=用語集!$B$22,"◎ 許容内","✗ 超過"),"—"))</f>
        <v>—</v>
      </c>
      <c r="R333" s="39" t="str">
        <f aca="false">IFERROR(用語集!$B$22/P333,"")</f>
        <v/>
      </c>
    </row>
    <row r="334" customFormat="false" ht="15" hidden="false" customHeight="false" outlineLevel="0" collapsed="false">
      <c r="A334" s="34" t="s">
        <v>156</v>
      </c>
      <c r="B334" s="35" t="s">
        <v>157</v>
      </c>
      <c r="C334" s="41" t="str">
        <f aca="false">IF(COUNTIFS(日次入力!$A$4:$A$1500,"&gt;="&amp;DATE(2027,3,9),日次入力!$A$4:$A$1500,"&lt;="&amp;DATE(2027,3,15),日次入力!$C$4:$C$1500,"LINEウェビナー")=0,"",SUMIFS(日次入力!$D$4:$D$1500,日次入力!$A$4:$A$1500,"&gt;="&amp;DATE(2027,3,9),日次入力!$A$4:$A$1500,"&lt;="&amp;DATE(2027,3,15),日次入力!$C$4:$C$1500,"LINEウェビナー"))</f>
        <v/>
      </c>
      <c r="D334" s="42" t="str">
        <f aca="false">IF(COUNTIFS(日次入力!$A$4:$A$1500,"&gt;="&amp;DATE(2027,3,9),日次入力!$A$4:$A$1500,"&lt;="&amp;DATE(2027,3,15),日次入力!$C$4:$C$1500,"LINEウェビナー")=0,"",SUMIFS(日次入力!$E$4:$E$1500,日次入力!$A$4:$A$1500,"&gt;="&amp;DATE(2027,3,9),日次入力!$A$4:$A$1500,"&lt;="&amp;DATE(2027,3,15),日次入力!$C$4:$C$1500,"LINEウェビナー"))</f>
        <v/>
      </c>
      <c r="E334" s="42" t="str">
        <f aca="false">IF(COUNTIFS(日次入力!$A$4:$A$1500,"&gt;="&amp;DATE(2027,3,9),日次入力!$A$4:$A$1500,"&lt;="&amp;DATE(2027,3,15),日次入力!$C$4:$C$1500,"LINEウェビナー")=0,"",SUMIFS(日次入力!$F$4:$F$1500,日次入力!$A$4:$A$1500,"&gt;="&amp;DATE(2027,3,9),日次入力!$A$4:$A$1500,"&lt;="&amp;DATE(2027,3,15),日次入力!$C$4:$C$1500,"LINEウェビナー"))</f>
        <v/>
      </c>
      <c r="F334" s="42" t="str">
        <f aca="false">IF(COUNTIFS(日次入力!$A$4:$A$1500,"&gt;="&amp;DATE(2027,3,9),日次入力!$A$4:$A$1500,"&lt;="&amp;DATE(2027,3,15),日次入力!$C$4:$C$1500,"LINEウェビナー")=0,"",SUMIFS(日次入力!$G$4:$G$1500,日次入力!$A$4:$A$1500,"&gt;="&amp;DATE(2027,3,9),日次入力!$A$4:$A$1500,"&lt;="&amp;DATE(2027,3,15),日次入力!$C$4:$C$1500,"LINEウェビナー"))</f>
        <v/>
      </c>
      <c r="G334" s="15" t="str">
        <f aca="false">IFERROR(E334/D334,"")</f>
        <v/>
      </c>
      <c r="H334" s="37" t="str">
        <f aca="false">IFERROR(C334/E334,"")</f>
        <v/>
      </c>
      <c r="I334" s="37" t="str">
        <f aca="false">IFERROR(C334/D334*1000,"")</f>
        <v/>
      </c>
      <c r="J334" s="15" t="str">
        <f aca="false">IFERROR(F334/E334,"")</f>
        <v/>
      </c>
      <c r="K334" s="37" t="str">
        <f aca="false">IFERROR(C334/F334,"")</f>
        <v/>
      </c>
      <c r="L334" s="42" t="str">
        <f aca="false">IF(COUNTIFS(日次入力!$A$4:$A$1500,"&gt;="&amp;DATE(2027,3,9),日次入力!$A$4:$A$1500,"&lt;="&amp;DATE(2027,3,15),日次入力!$C$4:$C$1500,"LINEウェビナー")=0,"",SUMIFS(日次入力!$H$4:$H$1500,日次入力!$A$4:$A$1500,"&gt;="&amp;DATE(2027,3,9),日次入力!$A$4:$A$1500,"&lt;="&amp;DATE(2027,3,15),日次入力!$C$4:$C$1500,"LINEウェビナー"))</f>
        <v/>
      </c>
      <c r="M334" s="15" t="str">
        <f aca="false">IF(L334="","",IFERROR(L334/F334,""))</f>
        <v/>
      </c>
      <c r="N334" s="42" t="str">
        <f aca="false">IF(COUNTIFS(日次入力!$A$4:$A$1500,"&gt;="&amp;DATE(2027,3,9),日次入力!$A$4:$A$1500,"&lt;="&amp;DATE(2027,3,15),日次入力!$C$4:$C$1500,"LINEウェビナー")=0,"",SUMIFS(日次入力!$I$4:$I$1500,日次入力!$A$4:$A$1500,"&gt;="&amp;DATE(2027,3,9),日次入力!$A$4:$A$1500,"&lt;="&amp;DATE(2027,3,15),日次入力!$C$4:$C$1500,"LINEウェビナー"))</f>
        <v/>
      </c>
      <c r="O334" s="15" t="str">
        <f aca="false">IF(N334="","",IFERROR(N334/L334,""))</f>
        <v/>
      </c>
      <c r="P334" s="37" t="str">
        <f aca="false">IF(N334=0,"",IFERROR(C334/N334,""))</f>
        <v/>
      </c>
      <c r="Q334" s="38" t="str">
        <f aca="false">IF(N334=0,"",IFERROR(IF(C334/N334&lt;=用語集!$B$22,"◎ 許容内","✗ 超過"),"—"))</f>
        <v>—</v>
      </c>
      <c r="R334" s="39" t="str">
        <f aca="false">IFERROR(用語集!$B$22/P334,"")</f>
        <v/>
      </c>
    </row>
    <row r="335" customFormat="false" ht="15" hidden="false" customHeight="false" outlineLevel="0" collapsed="false">
      <c r="A335" s="34" t="s">
        <v>158</v>
      </c>
      <c r="B335" s="35" t="s">
        <v>159</v>
      </c>
      <c r="C335" s="41" t="str">
        <f aca="false">IF(COUNTIFS(日次入力!$A$4:$A$1500,"&gt;="&amp;DATE(2027,3,16),日次入力!$A$4:$A$1500,"&lt;="&amp;DATE(2027,3,22),日次入力!$C$4:$C$1500,"LINEウェビナー")=0,"",SUMIFS(日次入力!$D$4:$D$1500,日次入力!$A$4:$A$1500,"&gt;="&amp;DATE(2027,3,16),日次入力!$A$4:$A$1500,"&lt;="&amp;DATE(2027,3,22),日次入力!$C$4:$C$1500,"LINEウェビナー"))</f>
        <v/>
      </c>
      <c r="D335" s="42" t="str">
        <f aca="false">IF(COUNTIFS(日次入力!$A$4:$A$1500,"&gt;="&amp;DATE(2027,3,16),日次入力!$A$4:$A$1500,"&lt;="&amp;DATE(2027,3,22),日次入力!$C$4:$C$1500,"LINEウェビナー")=0,"",SUMIFS(日次入力!$E$4:$E$1500,日次入力!$A$4:$A$1500,"&gt;="&amp;DATE(2027,3,16),日次入力!$A$4:$A$1500,"&lt;="&amp;DATE(2027,3,22),日次入力!$C$4:$C$1500,"LINEウェビナー"))</f>
        <v/>
      </c>
      <c r="E335" s="42" t="str">
        <f aca="false">IF(COUNTIFS(日次入力!$A$4:$A$1500,"&gt;="&amp;DATE(2027,3,16),日次入力!$A$4:$A$1500,"&lt;="&amp;DATE(2027,3,22),日次入力!$C$4:$C$1500,"LINEウェビナー")=0,"",SUMIFS(日次入力!$F$4:$F$1500,日次入力!$A$4:$A$1500,"&gt;="&amp;DATE(2027,3,16),日次入力!$A$4:$A$1500,"&lt;="&amp;DATE(2027,3,22),日次入力!$C$4:$C$1500,"LINEウェビナー"))</f>
        <v/>
      </c>
      <c r="F335" s="42" t="str">
        <f aca="false">IF(COUNTIFS(日次入力!$A$4:$A$1500,"&gt;="&amp;DATE(2027,3,16),日次入力!$A$4:$A$1500,"&lt;="&amp;DATE(2027,3,22),日次入力!$C$4:$C$1500,"LINEウェビナー")=0,"",SUMIFS(日次入力!$G$4:$G$1500,日次入力!$A$4:$A$1500,"&gt;="&amp;DATE(2027,3,16),日次入力!$A$4:$A$1500,"&lt;="&amp;DATE(2027,3,22),日次入力!$C$4:$C$1500,"LINEウェビナー"))</f>
        <v/>
      </c>
      <c r="G335" s="15" t="str">
        <f aca="false">IFERROR(E335/D335,"")</f>
        <v/>
      </c>
      <c r="H335" s="37" t="str">
        <f aca="false">IFERROR(C335/E335,"")</f>
        <v/>
      </c>
      <c r="I335" s="37" t="str">
        <f aca="false">IFERROR(C335/D335*1000,"")</f>
        <v/>
      </c>
      <c r="J335" s="15" t="str">
        <f aca="false">IFERROR(F335/E335,"")</f>
        <v/>
      </c>
      <c r="K335" s="37" t="str">
        <f aca="false">IFERROR(C335/F335,"")</f>
        <v/>
      </c>
      <c r="L335" s="42" t="str">
        <f aca="false">IF(COUNTIFS(日次入力!$A$4:$A$1500,"&gt;="&amp;DATE(2027,3,16),日次入力!$A$4:$A$1500,"&lt;="&amp;DATE(2027,3,22),日次入力!$C$4:$C$1500,"LINEウェビナー")=0,"",SUMIFS(日次入力!$H$4:$H$1500,日次入力!$A$4:$A$1500,"&gt;="&amp;DATE(2027,3,16),日次入力!$A$4:$A$1500,"&lt;="&amp;DATE(2027,3,22),日次入力!$C$4:$C$1500,"LINEウェビナー"))</f>
        <v/>
      </c>
      <c r="M335" s="15" t="str">
        <f aca="false">IF(L335="","",IFERROR(L335/F335,""))</f>
        <v/>
      </c>
      <c r="N335" s="42" t="str">
        <f aca="false">IF(COUNTIFS(日次入力!$A$4:$A$1500,"&gt;="&amp;DATE(2027,3,16),日次入力!$A$4:$A$1500,"&lt;="&amp;DATE(2027,3,22),日次入力!$C$4:$C$1500,"LINEウェビナー")=0,"",SUMIFS(日次入力!$I$4:$I$1500,日次入力!$A$4:$A$1500,"&gt;="&amp;DATE(2027,3,16),日次入力!$A$4:$A$1500,"&lt;="&amp;DATE(2027,3,22),日次入力!$C$4:$C$1500,"LINEウェビナー"))</f>
        <v/>
      </c>
      <c r="O335" s="15" t="str">
        <f aca="false">IF(N335="","",IFERROR(N335/L335,""))</f>
        <v/>
      </c>
      <c r="P335" s="37" t="str">
        <f aca="false">IF(N335=0,"",IFERROR(C335/N335,""))</f>
        <v/>
      </c>
      <c r="Q335" s="38" t="str">
        <f aca="false">IF(N335=0,"",IFERROR(IF(C335/N335&lt;=用語集!$B$22,"◎ 許容内","✗ 超過"),"—"))</f>
        <v>—</v>
      </c>
      <c r="R335" s="39" t="str">
        <f aca="false">IFERROR(用語集!$B$22/P335,"")</f>
        <v/>
      </c>
    </row>
    <row r="336" customFormat="false" ht="15" hidden="false" customHeight="false" outlineLevel="0" collapsed="false">
      <c r="A336" s="34" t="s">
        <v>160</v>
      </c>
      <c r="B336" s="35" t="s">
        <v>161</v>
      </c>
      <c r="C336" s="41" t="str">
        <f aca="false">IF(COUNTIFS(日次入力!$A$4:$A$1500,"&gt;="&amp;DATE(2027,3,23),日次入力!$A$4:$A$1500,"&lt;="&amp;DATE(2027,3,29),日次入力!$C$4:$C$1500,"LINEウェビナー")=0,"",SUMIFS(日次入力!$D$4:$D$1500,日次入力!$A$4:$A$1500,"&gt;="&amp;DATE(2027,3,23),日次入力!$A$4:$A$1500,"&lt;="&amp;DATE(2027,3,29),日次入力!$C$4:$C$1500,"LINEウェビナー"))</f>
        <v/>
      </c>
      <c r="D336" s="42" t="str">
        <f aca="false">IF(COUNTIFS(日次入力!$A$4:$A$1500,"&gt;="&amp;DATE(2027,3,23),日次入力!$A$4:$A$1500,"&lt;="&amp;DATE(2027,3,29),日次入力!$C$4:$C$1500,"LINEウェビナー")=0,"",SUMIFS(日次入力!$E$4:$E$1500,日次入力!$A$4:$A$1500,"&gt;="&amp;DATE(2027,3,23),日次入力!$A$4:$A$1500,"&lt;="&amp;DATE(2027,3,29),日次入力!$C$4:$C$1500,"LINEウェビナー"))</f>
        <v/>
      </c>
      <c r="E336" s="42" t="str">
        <f aca="false">IF(COUNTIFS(日次入力!$A$4:$A$1500,"&gt;="&amp;DATE(2027,3,23),日次入力!$A$4:$A$1500,"&lt;="&amp;DATE(2027,3,29),日次入力!$C$4:$C$1500,"LINEウェビナー")=0,"",SUMIFS(日次入力!$F$4:$F$1500,日次入力!$A$4:$A$1500,"&gt;="&amp;DATE(2027,3,23),日次入力!$A$4:$A$1500,"&lt;="&amp;DATE(2027,3,29),日次入力!$C$4:$C$1500,"LINEウェビナー"))</f>
        <v/>
      </c>
      <c r="F336" s="42" t="str">
        <f aca="false">IF(COUNTIFS(日次入力!$A$4:$A$1500,"&gt;="&amp;DATE(2027,3,23),日次入力!$A$4:$A$1500,"&lt;="&amp;DATE(2027,3,29),日次入力!$C$4:$C$1500,"LINEウェビナー")=0,"",SUMIFS(日次入力!$G$4:$G$1500,日次入力!$A$4:$A$1500,"&gt;="&amp;DATE(2027,3,23),日次入力!$A$4:$A$1500,"&lt;="&amp;DATE(2027,3,29),日次入力!$C$4:$C$1500,"LINEウェビナー"))</f>
        <v/>
      </c>
      <c r="G336" s="15" t="str">
        <f aca="false">IFERROR(E336/D336,"")</f>
        <v/>
      </c>
      <c r="H336" s="37" t="str">
        <f aca="false">IFERROR(C336/E336,"")</f>
        <v/>
      </c>
      <c r="I336" s="37" t="str">
        <f aca="false">IFERROR(C336/D336*1000,"")</f>
        <v/>
      </c>
      <c r="J336" s="15" t="str">
        <f aca="false">IFERROR(F336/E336,"")</f>
        <v/>
      </c>
      <c r="K336" s="37" t="str">
        <f aca="false">IFERROR(C336/F336,"")</f>
        <v/>
      </c>
      <c r="L336" s="42" t="str">
        <f aca="false">IF(COUNTIFS(日次入力!$A$4:$A$1500,"&gt;="&amp;DATE(2027,3,23),日次入力!$A$4:$A$1500,"&lt;="&amp;DATE(2027,3,29),日次入力!$C$4:$C$1500,"LINEウェビナー")=0,"",SUMIFS(日次入力!$H$4:$H$1500,日次入力!$A$4:$A$1500,"&gt;="&amp;DATE(2027,3,23),日次入力!$A$4:$A$1500,"&lt;="&amp;DATE(2027,3,29),日次入力!$C$4:$C$1500,"LINEウェビナー"))</f>
        <v/>
      </c>
      <c r="M336" s="15" t="str">
        <f aca="false">IF(L336="","",IFERROR(L336/F336,""))</f>
        <v/>
      </c>
      <c r="N336" s="42" t="str">
        <f aca="false">IF(COUNTIFS(日次入力!$A$4:$A$1500,"&gt;="&amp;DATE(2027,3,23),日次入力!$A$4:$A$1500,"&lt;="&amp;DATE(2027,3,29),日次入力!$C$4:$C$1500,"LINEウェビナー")=0,"",SUMIFS(日次入力!$I$4:$I$1500,日次入力!$A$4:$A$1500,"&gt;="&amp;DATE(2027,3,23),日次入力!$A$4:$A$1500,"&lt;="&amp;DATE(2027,3,29),日次入力!$C$4:$C$1500,"LINEウェビナー"))</f>
        <v/>
      </c>
      <c r="O336" s="15" t="str">
        <f aca="false">IF(N336="","",IFERROR(N336/L336,""))</f>
        <v/>
      </c>
      <c r="P336" s="37" t="str">
        <f aca="false">IF(N336=0,"",IFERROR(C336/N336,""))</f>
        <v/>
      </c>
      <c r="Q336" s="38" t="str">
        <f aca="false">IF(N336=0,"",IFERROR(IF(C336/N336&lt;=用語集!$B$22,"◎ 許容内","✗ 超過"),"—"))</f>
        <v>—</v>
      </c>
      <c r="R336" s="39" t="str">
        <f aca="false">IFERROR(用語集!$B$22/P336,"")</f>
        <v/>
      </c>
    </row>
    <row r="337" customFormat="false" ht="15" hidden="false" customHeight="false" outlineLevel="0" collapsed="false">
      <c r="A337" s="34" t="s">
        <v>162</v>
      </c>
      <c r="B337" s="35" t="s">
        <v>163</v>
      </c>
      <c r="C337" s="41" t="str">
        <f aca="false">IF(COUNTIFS(日次入力!$A$4:$A$1500,"&gt;="&amp;DATE(2027,3,30),日次入力!$A$4:$A$1500,"&lt;="&amp;DATE(2027,4,5),日次入力!$C$4:$C$1500,"LINEウェビナー")=0,"",SUMIFS(日次入力!$D$4:$D$1500,日次入力!$A$4:$A$1500,"&gt;="&amp;DATE(2027,3,30),日次入力!$A$4:$A$1500,"&lt;="&amp;DATE(2027,4,5),日次入力!$C$4:$C$1500,"LINEウェビナー"))</f>
        <v/>
      </c>
      <c r="D337" s="42" t="str">
        <f aca="false">IF(COUNTIFS(日次入力!$A$4:$A$1500,"&gt;="&amp;DATE(2027,3,30),日次入力!$A$4:$A$1500,"&lt;="&amp;DATE(2027,4,5),日次入力!$C$4:$C$1500,"LINEウェビナー")=0,"",SUMIFS(日次入力!$E$4:$E$1500,日次入力!$A$4:$A$1500,"&gt;="&amp;DATE(2027,3,30),日次入力!$A$4:$A$1500,"&lt;="&amp;DATE(2027,4,5),日次入力!$C$4:$C$1500,"LINEウェビナー"))</f>
        <v/>
      </c>
      <c r="E337" s="42" t="str">
        <f aca="false">IF(COUNTIFS(日次入力!$A$4:$A$1500,"&gt;="&amp;DATE(2027,3,30),日次入力!$A$4:$A$1500,"&lt;="&amp;DATE(2027,4,5),日次入力!$C$4:$C$1500,"LINEウェビナー")=0,"",SUMIFS(日次入力!$F$4:$F$1500,日次入力!$A$4:$A$1500,"&gt;="&amp;DATE(2027,3,30),日次入力!$A$4:$A$1500,"&lt;="&amp;DATE(2027,4,5),日次入力!$C$4:$C$1500,"LINEウェビナー"))</f>
        <v/>
      </c>
      <c r="F337" s="42" t="str">
        <f aca="false">IF(COUNTIFS(日次入力!$A$4:$A$1500,"&gt;="&amp;DATE(2027,3,30),日次入力!$A$4:$A$1500,"&lt;="&amp;DATE(2027,4,5),日次入力!$C$4:$C$1500,"LINEウェビナー")=0,"",SUMIFS(日次入力!$G$4:$G$1500,日次入力!$A$4:$A$1500,"&gt;="&amp;DATE(2027,3,30),日次入力!$A$4:$A$1500,"&lt;="&amp;DATE(2027,4,5),日次入力!$C$4:$C$1500,"LINEウェビナー"))</f>
        <v/>
      </c>
      <c r="G337" s="15" t="str">
        <f aca="false">IFERROR(E337/D337,"")</f>
        <v/>
      </c>
      <c r="H337" s="37" t="str">
        <f aca="false">IFERROR(C337/E337,"")</f>
        <v/>
      </c>
      <c r="I337" s="37" t="str">
        <f aca="false">IFERROR(C337/D337*1000,"")</f>
        <v/>
      </c>
      <c r="J337" s="15" t="str">
        <f aca="false">IFERROR(F337/E337,"")</f>
        <v/>
      </c>
      <c r="K337" s="37" t="str">
        <f aca="false">IFERROR(C337/F337,"")</f>
        <v/>
      </c>
      <c r="L337" s="42" t="str">
        <f aca="false">IF(COUNTIFS(日次入力!$A$4:$A$1500,"&gt;="&amp;DATE(2027,3,30),日次入力!$A$4:$A$1500,"&lt;="&amp;DATE(2027,4,5),日次入力!$C$4:$C$1500,"LINEウェビナー")=0,"",SUMIFS(日次入力!$H$4:$H$1500,日次入力!$A$4:$A$1500,"&gt;="&amp;DATE(2027,3,30),日次入力!$A$4:$A$1500,"&lt;="&amp;DATE(2027,4,5),日次入力!$C$4:$C$1500,"LINEウェビナー"))</f>
        <v/>
      </c>
      <c r="M337" s="15" t="str">
        <f aca="false">IF(L337="","",IFERROR(L337/F337,""))</f>
        <v/>
      </c>
      <c r="N337" s="42" t="str">
        <f aca="false">IF(COUNTIFS(日次入力!$A$4:$A$1500,"&gt;="&amp;DATE(2027,3,30),日次入力!$A$4:$A$1500,"&lt;="&amp;DATE(2027,4,5),日次入力!$C$4:$C$1500,"LINEウェビナー")=0,"",SUMIFS(日次入力!$I$4:$I$1500,日次入力!$A$4:$A$1500,"&gt;="&amp;DATE(2027,3,30),日次入力!$A$4:$A$1500,"&lt;="&amp;DATE(2027,4,5),日次入力!$C$4:$C$1500,"LINEウェビナー"))</f>
        <v/>
      </c>
      <c r="O337" s="15" t="str">
        <f aca="false">IF(N337="","",IFERROR(N337/L337,""))</f>
        <v/>
      </c>
      <c r="P337" s="37" t="str">
        <f aca="false">IF(N337=0,"",IFERROR(C337/N337,""))</f>
        <v/>
      </c>
      <c r="Q337" s="38" t="str">
        <f aca="false">IF(N337=0,"",IFERROR(IF(C337/N337&lt;=用語集!$B$22,"◎ 許容内","✗ 超過"),"—"))</f>
        <v>—</v>
      </c>
      <c r="R337" s="39" t="str">
        <f aca="false">IFERROR(用語集!$B$22/P337,"")</f>
        <v/>
      </c>
    </row>
    <row r="338" customFormat="false" ht="15" hidden="false" customHeight="false" outlineLevel="0" collapsed="false">
      <c r="A338" s="43" t="s">
        <v>164</v>
      </c>
      <c r="B338" s="44"/>
      <c r="C338" s="45" t="n">
        <f aca="false">SUM(C286:C337)</f>
        <v>46605</v>
      </c>
      <c r="D338" s="46" t="n">
        <f aca="false">SUM(D286:D337)</f>
        <v>821729</v>
      </c>
      <c r="E338" s="46" t="n">
        <f aca="false">SUM(E286:E337)</f>
        <v>41277</v>
      </c>
      <c r="F338" s="46" t="n">
        <f aca="false">SUM(F286:F337)</f>
        <v>0</v>
      </c>
      <c r="G338" s="47" t="n">
        <f aca="false">IFERROR(E338/D338,"")</f>
        <v>0.0502318891021249</v>
      </c>
      <c r="H338" s="45" t="n">
        <f aca="false">IFERROR(C338/E338,"")</f>
        <v>1.12907914819391</v>
      </c>
      <c r="I338" s="45" t="n">
        <f aca="false">IFERROR(C338/D338*1000,"")</f>
        <v>56.7157785595981</v>
      </c>
      <c r="J338" s="47" t="n">
        <f aca="false">IFERROR(F338/D338,"")</f>
        <v>0</v>
      </c>
      <c r="K338" s="45" t="str">
        <f aca="false">IFERROR(C338/F338,"")</f>
        <v/>
      </c>
      <c r="L338" s="46" t="n">
        <f aca="false">SUM(L286:L337)</f>
        <v>0</v>
      </c>
      <c r="M338" s="47" t="str">
        <f aca="false">IF(L338=0,"",IFERROR(L338/F338,""))</f>
        <v/>
      </c>
      <c r="N338" s="46" t="n">
        <f aca="false">SUM(N286:N337)</f>
        <v>0</v>
      </c>
      <c r="O338" s="47" t="str">
        <f aca="false">IF(L338=0,"",IFERROR(N338/L338,""))</f>
        <v/>
      </c>
      <c r="P338" s="45" t="str">
        <f aca="false">IF(N338=0,"",IFERROR(C338/N338,""))</f>
        <v/>
      </c>
      <c r="Q338" s="43" t="str">
        <f aca="false">IF(N338=0,"",IFERROR(IF(C338/N338&lt;=用語集!$B$22,"◎ 許容内","✗ 超過"),"—"))</f>
        <v/>
      </c>
      <c r="R338" s="48" t="str">
        <f aca="false">IFERROR(用語集!$B$22/P338,"")</f>
        <v/>
      </c>
    </row>
    <row r="340" customFormat="false" ht="17.15" hidden="false" customHeight="false" outlineLevel="0" collapsed="false">
      <c r="A340" s="31" t="s">
        <v>170</v>
      </c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</row>
    <row r="341" customFormat="false" ht="25.5" hidden="false" customHeight="true" outlineLevel="0" collapsed="false">
      <c r="A341" s="32" t="s">
        <v>48</v>
      </c>
      <c r="B341" s="32" t="s">
        <v>49</v>
      </c>
      <c r="C341" s="32" t="s">
        <v>35</v>
      </c>
      <c r="D341" s="33" t="s">
        <v>36</v>
      </c>
      <c r="E341" s="32" t="s">
        <v>37</v>
      </c>
      <c r="F341" s="33" t="s">
        <v>38</v>
      </c>
      <c r="G341" s="33" t="s">
        <v>50</v>
      </c>
      <c r="H341" s="33" t="s">
        <v>51</v>
      </c>
      <c r="I341" s="33" t="s">
        <v>52</v>
      </c>
      <c r="J341" s="33" t="s">
        <v>53</v>
      </c>
      <c r="K341" s="33" t="s">
        <v>54</v>
      </c>
      <c r="L341" s="32" t="s">
        <v>39</v>
      </c>
      <c r="M341" s="32" t="s">
        <v>55</v>
      </c>
      <c r="N341" s="32" t="s">
        <v>40</v>
      </c>
      <c r="O341" s="32" t="s">
        <v>23</v>
      </c>
      <c r="P341" s="33" t="s">
        <v>56</v>
      </c>
      <c r="Q341" s="32" t="s">
        <v>57</v>
      </c>
      <c r="R341" s="32" t="s">
        <v>58</v>
      </c>
    </row>
    <row r="342" customFormat="false" ht="15" hidden="false" customHeight="false" outlineLevel="0" collapsed="false">
      <c r="A342" s="34" t="s">
        <v>59</v>
      </c>
      <c r="B342" s="35" t="s">
        <v>60</v>
      </c>
      <c r="C342" s="36" t="n">
        <v>26054</v>
      </c>
      <c r="D342" s="12" t="n">
        <v>435079</v>
      </c>
      <c r="E342" s="12" t="n">
        <v>23437</v>
      </c>
      <c r="F342" s="12" t="n">
        <v>0</v>
      </c>
      <c r="G342" s="15" t="n">
        <f aca="false">IFERROR(E342/D342,"")</f>
        <v>0.0538683779267673</v>
      </c>
      <c r="H342" s="37" t="n">
        <f aca="false">IFERROR(C342/E342,"")</f>
        <v>1.11166104876904</v>
      </c>
      <c r="I342" s="37" t="n">
        <f aca="false">IFERROR(C342/D342*1000,"")</f>
        <v>59.8833775015572</v>
      </c>
      <c r="J342" s="15" t="n">
        <f aca="false">IFERROR(F342/E342,"")</f>
        <v>0</v>
      </c>
      <c r="K342" s="37" t="str">
        <f aca="false">IFERROR(C342/F342,"")</f>
        <v/>
      </c>
      <c r="L342" s="12"/>
      <c r="M342" s="15" t="str">
        <f aca="false">IF(L342="","",IFERROR(L342/F342,""))</f>
        <v/>
      </c>
      <c r="N342" s="12"/>
      <c r="O342" s="15" t="str">
        <f aca="false">IF(N342="","",IFERROR(N342/L342,""))</f>
        <v/>
      </c>
      <c r="P342" s="37" t="str">
        <f aca="false">IF(N342=0,"",IFERROR(C342/N342,""))</f>
        <v/>
      </c>
      <c r="Q342" s="38" t="str">
        <f aca="false">IF(N342=0,"",IFERROR(IF(C342/N342&lt;=用語集!$B$22,"◎ 許容内","✗ 超過"),"—"))</f>
        <v/>
      </c>
      <c r="R342" s="39" t="str">
        <f aca="false">IFERROR(用語集!$B$22/P342,"")</f>
        <v/>
      </c>
    </row>
    <row r="343" customFormat="false" ht="15" hidden="false" customHeight="false" outlineLevel="0" collapsed="false">
      <c r="A343" s="34" t="s">
        <v>61</v>
      </c>
      <c r="B343" s="35" t="s">
        <v>62</v>
      </c>
      <c r="C343" s="36" t="n">
        <v>28429</v>
      </c>
      <c r="D343" s="12" t="n">
        <v>686048</v>
      </c>
      <c r="E343" s="12" t="n">
        <v>19757</v>
      </c>
      <c r="F343" s="12" t="n">
        <v>0</v>
      </c>
      <c r="G343" s="15" t="n">
        <f aca="false">IFERROR(E343/D343,"")</f>
        <v>0.028798276505434</v>
      </c>
      <c r="H343" s="37" t="n">
        <f aca="false">IFERROR(C343/E343,"")</f>
        <v>1.43893303639216</v>
      </c>
      <c r="I343" s="37" t="n">
        <f aca="false">IFERROR(C343/D343*1000,"")</f>
        <v>41.4387914548253</v>
      </c>
      <c r="J343" s="15" t="n">
        <f aca="false">IFERROR(F343/E343,"")</f>
        <v>0</v>
      </c>
      <c r="K343" s="37" t="str">
        <f aca="false">IFERROR(C343/F343,"")</f>
        <v/>
      </c>
      <c r="L343" s="12"/>
      <c r="M343" s="15" t="str">
        <f aca="false">IF(L343="","",IFERROR(L343/F343,""))</f>
        <v/>
      </c>
      <c r="N343" s="12"/>
      <c r="O343" s="15" t="str">
        <f aca="false">IF(N343="","",IFERROR(N343/L343,""))</f>
        <v/>
      </c>
      <c r="P343" s="37" t="str">
        <f aca="false">IF(N343=0,"",IFERROR(C343/N343,""))</f>
        <v/>
      </c>
      <c r="Q343" s="38" t="str">
        <f aca="false">IF(N343=0,"",IFERROR(IF(C343/N343&lt;=用語集!$B$22,"◎ 許容内","✗ 超過"),"—"))</f>
        <v/>
      </c>
      <c r="R343" s="39" t="str">
        <f aca="false">IFERROR(用語集!$B$22/P343,"")</f>
        <v/>
      </c>
    </row>
    <row r="344" customFormat="false" ht="15" hidden="false" customHeight="false" outlineLevel="0" collapsed="false">
      <c r="A344" s="34" t="s">
        <v>63</v>
      </c>
      <c r="B344" s="35" t="s">
        <v>64</v>
      </c>
      <c r="C344" s="36" t="n">
        <v>13347</v>
      </c>
      <c r="D344" s="12" t="n">
        <v>299697</v>
      </c>
      <c r="E344" s="12" t="n">
        <v>9829</v>
      </c>
      <c r="F344" s="12" t="n">
        <v>0</v>
      </c>
      <c r="G344" s="15" t="n">
        <f aca="false">IFERROR(E344/D344,"")</f>
        <v>0.0327964577556666</v>
      </c>
      <c r="H344" s="37" t="n">
        <f aca="false">IFERROR(C344/E344,"")</f>
        <v>1.35792043951572</v>
      </c>
      <c r="I344" s="37" t="n">
        <f aca="false">IFERROR(C344/D344*1000,"")</f>
        <v>44.5349803301334</v>
      </c>
      <c r="J344" s="15" t="n">
        <f aca="false">IFERROR(F344/E344,"")</f>
        <v>0</v>
      </c>
      <c r="K344" s="37" t="str">
        <f aca="false">IFERROR(C344/F344,"")</f>
        <v/>
      </c>
      <c r="L344" s="12"/>
      <c r="M344" s="15" t="str">
        <f aca="false">IF(L344="","",IFERROR(L344/F344,""))</f>
        <v/>
      </c>
      <c r="N344" s="12"/>
      <c r="O344" s="15" t="str">
        <f aca="false">IF(N344="","",IFERROR(N344/L344,""))</f>
        <v/>
      </c>
      <c r="P344" s="37" t="str">
        <f aca="false">IF(N344=0,"",IFERROR(C344/N344,""))</f>
        <v/>
      </c>
      <c r="Q344" s="38" t="str">
        <f aca="false">IF(N344=0,"",IFERROR(IF(C344/N344&lt;=用語集!$B$22,"◎ 許容内","✗ 超過"),"—"))</f>
        <v/>
      </c>
      <c r="R344" s="39" t="str">
        <f aca="false">IFERROR(用語集!$B$22/P344,"")</f>
        <v/>
      </c>
    </row>
    <row r="345" customFormat="false" ht="15" hidden="false" customHeight="false" outlineLevel="0" collapsed="false">
      <c r="A345" s="34" t="s">
        <v>65</v>
      </c>
      <c r="B345" s="35" t="s">
        <v>66</v>
      </c>
      <c r="C345" s="36" t="n">
        <v>12696</v>
      </c>
      <c r="D345" s="12" t="n">
        <v>221984</v>
      </c>
      <c r="E345" s="12" t="n">
        <v>8223</v>
      </c>
      <c r="F345" s="12" t="n">
        <v>0</v>
      </c>
      <c r="G345" s="15" t="n">
        <f aca="false">IFERROR(E345/D345,"")</f>
        <v>0.0370432103214646</v>
      </c>
      <c r="H345" s="37" t="n">
        <f aca="false">IFERROR(C345/E345,"")</f>
        <v>1.5439620576432</v>
      </c>
      <c r="I345" s="37" t="n">
        <f aca="false">IFERROR(C345/D345*1000,"")</f>
        <v>57.1933112296382</v>
      </c>
      <c r="J345" s="15" t="n">
        <f aca="false">IFERROR(F345/E345,"")</f>
        <v>0</v>
      </c>
      <c r="K345" s="37" t="str">
        <f aca="false">IFERROR(C345/F345,"")</f>
        <v/>
      </c>
      <c r="L345" s="12"/>
      <c r="M345" s="15" t="str">
        <f aca="false">IF(L345="","",IFERROR(L345/F345,""))</f>
        <v/>
      </c>
      <c r="N345" s="12"/>
      <c r="O345" s="15" t="str">
        <f aca="false">IF(N345="","",IFERROR(N345/L345,""))</f>
        <v/>
      </c>
      <c r="P345" s="37" t="str">
        <f aca="false">IF(N345=0,"",IFERROR(C345/N345,""))</f>
        <v/>
      </c>
      <c r="Q345" s="38" t="str">
        <f aca="false">IF(N345=0,"",IFERROR(IF(C345/N345&lt;=用語集!$B$22,"◎ 許容内","✗ 超過"),"—"))</f>
        <v/>
      </c>
      <c r="R345" s="39" t="str">
        <f aca="false">IFERROR(用語集!$B$22/P345,"")</f>
        <v/>
      </c>
    </row>
    <row r="346" customFormat="false" ht="15" hidden="false" customHeight="false" outlineLevel="0" collapsed="false">
      <c r="A346" s="34" t="s">
        <v>68</v>
      </c>
      <c r="B346" s="35" t="s">
        <v>69</v>
      </c>
      <c r="C346" s="40" t="s">
        <v>67</v>
      </c>
      <c r="D346" s="13"/>
      <c r="E346" s="13"/>
      <c r="F346" s="13"/>
      <c r="G346" s="15" t="str">
        <f aca="false">IFERROR(E346/D346,"")</f>
        <v/>
      </c>
      <c r="H346" s="37" t="str">
        <f aca="false">IFERROR(C346/E346,"")</f>
        <v/>
      </c>
      <c r="I346" s="37" t="str">
        <f aca="false">IFERROR(C346/D346*1000,"")</f>
        <v/>
      </c>
      <c r="J346" s="15" t="str">
        <f aca="false">IFERROR(F346/E346,"")</f>
        <v/>
      </c>
      <c r="K346" s="37" t="str">
        <f aca="false">IFERROR(C346/F346,"")</f>
        <v/>
      </c>
      <c r="L346" s="12"/>
      <c r="M346" s="15" t="str">
        <f aca="false">IF(L346="","",IFERROR(L346/F346,""))</f>
        <v/>
      </c>
      <c r="N346" s="12"/>
      <c r="O346" s="15" t="str">
        <f aca="false">IF(N346="","",IFERROR(N346/L346,""))</f>
        <v/>
      </c>
      <c r="P346" s="37" t="str">
        <f aca="false">IF(N346=0,"",IFERROR(C346/N346,""))</f>
        <v/>
      </c>
      <c r="Q346" s="38" t="str">
        <f aca="false">IF(N346=0,"",IFERROR(IF(C346/N346&lt;=用語集!$B$22,"◎ 許容内","✗ 超過"),"—"))</f>
        <v/>
      </c>
      <c r="R346" s="39" t="str">
        <f aca="false">IFERROR(用語集!$B$22/P346,"")</f>
        <v/>
      </c>
    </row>
    <row r="347" customFormat="false" ht="15" hidden="false" customHeight="false" outlineLevel="0" collapsed="false">
      <c r="A347" s="34" t="s">
        <v>70</v>
      </c>
      <c r="B347" s="35" t="s">
        <v>71</v>
      </c>
      <c r="C347" s="40" t="s">
        <v>67</v>
      </c>
      <c r="D347" s="13"/>
      <c r="E347" s="13"/>
      <c r="F347" s="13"/>
      <c r="G347" s="15" t="str">
        <f aca="false">IFERROR(E347/D347,"")</f>
        <v/>
      </c>
      <c r="H347" s="37" t="str">
        <f aca="false">IFERROR(C347/E347,"")</f>
        <v/>
      </c>
      <c r="I347" s="37" t="str">
        <f aca="false">IFERROR(C347/D347*1000,"")</f>
        <v/>
      </c>
      <c r="J347" s="15" t="str">
        <f aca="false">IFERROR(F347/E347,"")</f>
        <v/>
      </c>
      <c r="K347" s="37" t="str">
        <f aca="false">IFERROR(C347/F347,"")</f>
        <v/>
      </c>
      <c r="L347" s="12"/>
      <c r="M347" s="15" t="str">
        <f aca="false">IF(L347="","",IFERROR(L347/F347,""))</f>
        <v/>
      </c>
      <c r="N347" s="12"/>
      <c r="O347" s="15" t="str">
        <f aca="false">IF(N347="","",IFERROR(N347/L347,""))</f>
        <v/>
      </c>
      <c r="P347" s="37" t="str">
        <f aca="false">IF(N347=0,"",IFERROR(C347/N347,""))</f>
        <v/>
      </c>
      <c r="Q347" s="38" t="str">
        <f aca="false">IF(N347=0,"",IFERROR(IF(C347/N347&lt;=用語集!$B$22,"◎ 許容内","✗ 超過"),"—"))</f>
        <v/>
      </c>
      <c r="R347" s="39" t="str">
        <f aca="false">IFERROR(用語集!$B$22/P347,"")</f>
        <v/>
      </c>
    </row>
    <row r="348" customFormat="false" ht="15" hidden="false" customHeight="false" outlineLevel="0" collapsed="false">
      <c r="A348" s="34" t="s">
        <v>72</v>
      </c>
      <c r="B348" s="35" t="s">
        <v>73</v>
      </c>
      <c r="C348" s="40" t="s">
        <v>67</v>
      </c>
      <c r="D348" s="13"/>
      <c r="E348" s="13"/>
      <c r="F348" s="13"/>
      <c r="G348" s="15" t="str">
        <f aca="false">IFERROR(E348/D348,"")</f>
        <v/>
      </c>
      <c r="H348" s="37" t="str">
        <f aca="false">IFERROR(C348/E348,"")</f>
        <v/>
      </c>
      <c r="I348" s="37" t="str">
        <f aca="false">IFERROR(C348/D348*1000,"")</f>
        <v/>
      </c>
      <c r="J348" s="15" t="str">
        <f aca="false">IFERROR(F348/E348,"")</f>
        <v/>
      </c>
      <c r="K348" s="37" t="str">
        <f aca="false">IFERROR(C348/F348,"")</f>
        <v/>
      </c>
      <c r="L348" s="12"/>
      <c r="M348" s="15" t="str">
        <f aca="false">IF(L348="","",IFERROR(L348/F348,""))</f>
        <v/>
      </c>
      <c r="N348" s="12"/>
      <c r="O348" s="15" t="str">
        <f aca="false">IF(N348="","",IFERROR(N348/L348,""))</f>
        <v/>
      </c>
      <c r="P348" s="37" t="str">
        <f aca="false">IF(N348=0,"",IFERROR(C348/N348,""))</f>
        <v/>
      </c>
      <c r="Q348" s="38" t="str">
        <f aca="false">IF(N348=0,"",IFERROR(IF(C348/N348&lt;=用語集!$B$22,"◎ 許容内","✗ 超過"),"—"))</f>
        <v/>
      </c>
      <c r="R348" s="39" t="str">
        <f aca="false">IFERROR(用語集!$B$22/P348,"")</f>
        <v/>
      </c>
    </row>
    <row r="349" customFormat="false" ht="15" hidden="false" customHeight="false" outlineLevel="0" collapsed="false">
      <c r="A349" s="34" t="s">
        <v>74</v>
      </c>
      <c r="B349" s="35" t="s">
        <v>75</v>
      </c>
      <c r="C349" s="40" t="s">
        <v>67</v>
      </c>
      <c r="D349" s="13"/>
      <c r="E349" s="13"/>
      <c r="F349" s="13"/>
      <c r="G349" s="15" t="str">
        <f aca="false">IFERROR(E349/D349,"")</f>
        <v/>
      </c>
      <c r="H349" s="37" t="str">
        <f aca="false">IFERROR(C349/E349,"")</f>
        <v/>
      </c>
      <c r="I349" s="37" t="str">
        <f aca="false">IFERROR(C349/D349*1000,"")</f>
        <v/>
      </c>
      <c r="J349" s="15" t="str">
        <f aca="false">IFERROR(F349/E349,"")</f>
        <v/>
      </c>
      <c r="K349" s="37" t="str">
        <f aca="false">IFERROR(C349/F349,"")</f>
        <v/>
      </c>
      <c r="L349" s="12"/>
      <c r="M349" s="15" t="str">
        <f aca="false">IF(L349="","",IFERROR(L349/F349,""))</f>
        <v/>
      </c>
      <c r="N349" s="12"/>
      <c r="O349" s="15" t="str">
        <f aca="false">IF(N349="","",IFERROR(N349/L349,""))</f>
        <v/>
      </c>
      <c r="P349" s="37" t="str">
        <f aca="false">IF(N349=0,"",IFERROR(C349/N349,""))</f>
        <v/>
      </c>
      <c r="Q349" s="38" t="str">
        <f aca="false">IF(N349=0,"",IFERROR(IF(C349/N349&lt;=用語集!$B$22,"◎ 許容内","✗ 超過"),"—"))</f>
        <v/>
      </c>
      <c r="R349" s="39" t="str">
        <f aca="false">IFERROR(用語集!$B$22/P349,"")</f>
        <v/>
      </c>
    </row>
    <row r="350" customFormat="false" ht="15" hidden="false" customHeight="false" outlineLevel="0" collapsed="false">
      <c r="A350" s="34" t="s">
        <v>76</v>
      </c>
      <c r="B350" s="35" t="s">
        <v>77</v>
      </c>
      <c r="C350" s="40" t="s">
        <v>67</v>
      </c>
      <c r="D350" s="13"/>
      <c r="E350" s="13"/>
      <c r="F350" s="13"/>
      <c r="G350" s="15" t="str">
        <f aca="false">IFERROR(E350/D350,"")</f>
        <v/>
      </c>
      <c r="H350" s="37" t="str">
        <f aca="false">IFERROR(C350/E350,"")</f>
        <v/>
      </c>
      <c r="I350" s="37" t="str">
        <f aca="false">IFERROR(C350/D350*1000,"")</f>
        <v/>
      </c>
      <c r="J350" s="15" t="str">
        <f aca="false">IFERROR(F350/E350,"")</f>
        <v/>
      </c>
      <c r="K350" s="37" t="str">
        <f aca="false">IFERROR(C350/F350,"")</f>
        <v/>
      </c>
      <c r="L350" s="12"/>
      <c r="M350" s="15" t="str">
        <f aca="false">IF(L350="","",IFERROR(L350/F350,""))</f>
        <v/>
      </c>
      <c r="N350" s="12"/>
      <c r="O350" s="15" t="str">
        <f aca="false">IF(N350="","",IFERROR(N350/L350,""))</f>
        <v/>
      </c>
      <c r="P350" s="37" t="str">
        <f aca="false">IF(N350=0,"",IFERROR(C350/N350,""))</f>
        <v/>
      </c>
      <c r="Q350" s="38" t="str">
        <f aca="false">IF(N350=0,"",IFERROR(IF(C350/N350&lt;=用語集!$B$22,"◎ 許容内","✗ 超過"),"—"))</f>
        <v/>
      </c>
      <c r="R350" s="39" t="str">
        <f aca="false">IFERROR(用語集!$B$22/P350,"")</f>
        <v/>
      </c>
    </row>
    <row r="351" customFormat="false" ht="15" hidden="false" customHeight="false" outlineLevel="0" collapsed="false">
      <c r="A351" s="34" t="s">
        <v>78</v>
      </c>
      <c r="B351" s="35" t="s">
        <v>79</v>
      </c>
      <c r="C351" s="41" t="str">
        <f aca="false">IF(COUNTIFS(日次入力!$A$4:$A$1500,"&gt;="&amp;DATE(2026,6,9),日次入力!$A$4:$A$1500,"&lt;="&amp;DATE(2026,6,15),日次入力!$C$4:$C$1500,"LINE常設")=0,"",SUMIFS(日次入力!$D$4:$D$1500,日次入力!$A$4:$A$1500,"&gt;="&amp;DATE(2026,6,9),日次入力!$A$4:$A$1500,"&lt;="&amp;DATE(2026,6,15),日次入力!$C$4:$C$1500,"LINE常設"))</f>
        <v/>
      </c>
      <c r="D351" s="42" t="str">
        <f aca="false">IF(COUNTIFS(日次入力!$A$4:$A$1500,"&gt;="&amp;DATE(2026,6,9),日次入力!$A$4:$A$1500,"&lt;="&amp;DATE(2026,6,15),日次入力!$C$4:$C$1500,"LINE常設")=0,"",SUMIFS(日次入力!$E$4:$E$1500,日次入力!$A$4:$A$1500,"&gt;="&amp;DATE(2026,6,9),日次入力!$A$4:$A$1500,"&lt;="&amp;DATE(2026,6,15),日次入力!$C$4:$C$1500,"LINE常設"))</f>
        <v/>
      </c>
      <c r="E351" s="42" t="str">
        <f aca="false">IF(COUNTIFS(日次入力!$A$4:$A$1500,"&gt;="&amp;DATE(2026,6,9),日次入力!$A$4:$A$1500,"&lt;="&amp;DATE(2026,6,15),日次入力!$C$4:$C$1500,"LINE常設")=0,"",SUMIFS(日次入力!$F$4:$F$1500,日次入力!$A$4:$A$1500,"&gt;="&amp;DATE(2026,6,9),日次入力!$A$4:$A$1500,"&lt;="&amp;DATE(2026,6,15),日次入力!$C$4:$C$1500,"LINE常設"))</f>
        <v/>
      </c>
      <c r="F351" s="42" t="str">
        <f aca="false">IF(COUNTIFS(日次入力!$A$4:$A$1500,"&gt;="&amp;DATE(2026,6,9),日次入力!$A$4:$A$1500,"&lt;="&amp;DATE(2026,6,15),日次入力!$C$4:$C$1500,"LINE常設")=0,"",SUMIFS(日次入力!$G$4:$G$1500,日次入力!$A$4:$A$1500,"&gt;="&amp;DATE(2026,6,9),日次入力!$A$4:$A$1500,"&lt;="&amp;DATE(2026,6,15),日次入力!$C$4:$C$1500,"LINE常設"))</f>
        <v/>
      </c>
      <c r="G351" s="15" t="str">
        <f aca="false">IFERROR(E351/D351,"")</f>
        <v/>
      </c>
      <c r="H351" s="37" t="str">
        <f aca="false">IFERROR(C351/E351,"")</f>
        <v/>
      </c>
      <c r="I351" s="37" t="str">
        <f aca="false">IFERROR(C351/D351*1000,"")</f>
        <v/>
      </c>
      <c r="J351" s="15" t="str">
        <f aca="false">IFERROR(F351/E351,"")</f>
        <v/>
      </c>
      <c r="K351" s="37" t="str">
        <f aca="false">IFERROR(C351/F351,"")</f>
        <v/>
      </c>
      <c r="L351" s="42" t="str">
        <f aca="false">IF(COUNTIFS(日次入力!$A$4:$A$1500,"&gt;="&amp;DATE(2026,6,9),日次入力!$A$4:$A$1500,"&lt;="&amp;DATE(2026,6,15),日次入力!$C$4:$C$1500,"LINE常設")=0,"",SUMIFS(日次入力!$H$4:$H$1500,日次入力!$A$4:$A$1500,"&gt;="&amp;DATE(2026,6,9),日次入力!$A$4:$A$1500,"&lt;="&amp;DATE(2026,6,15),日次入力!$C$4:$C$1500,"LINE常設"))</f>
        <v/>
      </c>
      <c r="M351" s="15" t="str">
        <f aca="false">IF(L351="","",IFERROR(L351/F351,""))</f>
        <v/>
      </c>
      <c r="N351" s="42" t="str">
        <f aca="false">IF(COUNTIFS(日次入力!$A$4:$A$1500,"&gt;="&amp;DATE(2026,6,9),日次入力!$A$4:$A$1500,"&lt;="&amp;DATE(2026,6,15),日次入力!$C$4:$C$1500,"LINE常設")=0,"",SUMIFS(日次入力!$I$4:$I$1500,日次入力!$A$4:$A$1500,"&gt;="&amp;DATE(2026,6,9),日次入力!$A$4:$A$1500,"&lt;="&amp;DATE(2026,6,15),日次入力!$C$4:$C$1500,"LINE常設"))</f>
        <v/>
      </c>
      <c r="O351" s="15" t="str">
        <f aca="false">IF(N351="","",IFERROR(N351/L351,""))</f>
        <v/>
      </c>
      <c r="P351" s="37" t="str">
        <f aca="false">IF(N351=0,"",IFERROR(C351/N351,""))</f>
        <v/>
      </c>
      <c r="Q351" s="38" t="str">
        <f aca="false">IF(N351=0,"",IFERROR(IF(C351/N351&lt;=用語集!$B$22,"◎ 許容内","✗ 超過"),"—"))</f>
        <v>—</v>
      </c>
      <c r="R351" s="39" t="str">
        <f aca="false">IFERROR(用語集!$B$22/P351,"")</f>
        <v/>
      </c>
    </row>
    <row r="352" customFormat="false" ht="15" hidden="false" customHeight="false" outlineLevel="0" collapsed="false">
      <c r="A352" s="34" t="s">
        <v>80</v>
      </c>
      <c r="B352" s="35" t="s">
        <v>81</v>
      </c>
      <c r="C352" s="41" t="str">
        <f aca="false">IF(COUNTIFS(日次入力!$A$4:$A$1500,"&gt;="&amp;DATE(2026,6,16),日次入力!$A$4:$A$1500,"&lt;="&amp;DATE(2026,6,22),日次入力!$C$4:$C$1500,"LINE常設")=0,"",SUMIFS(日次入力!$D$4:$D$1500,日次入力!$A$4:$A$1500,"&gt;="&amp;DATE(2026,6,16),日次入力!$A$4:$A$1500,"&lt;="&amp;DATE(2026,6,22),日次入力!$C$4:$C$1500,"LINE常設"))</f>
        <v/>
      </c>
      <c r="D352" s="42" t="str">
        <f aca="false">IF(COUNTIFS(日次入力!$A$4:$A$1500,"&gt;="&amp;DATE(2026,6,16),日次入力!$A$4:$A$1500,"&lt;="&amp;DATE(2026,6,22),日次入力!$C$4:$C$1500,"LINE常設")=0,"",SUMIFS(日次入力!$E$4:$E$1500,日次入力!$A$4:$A$1500,"&gt;="&amp;DATE(2026,6,16),日次入力!$A$4:$A$1500,"&lt;="&amp;DATE(2026,6,22),日次入力!$C$4:$C$1500,"LINE常設"))</f>
        <v/>
      </c>
      <c r="E352" s="42" t="str">
        <f aca="false">IF(COUNTIFS(日次入力!$A$4:$A$1500,"&gt;="&amp;DATE(2026,6,16),日次入力!$A$4:$A$1500,"&lt;="&amp;DATE(2026,6,22),日次入力!$C$4:$C$1500,"LINE常設")=0,"",SUMIFS(日次入力!$F$4:$F$1500,日次入力!$A$4:$A$1500,"&gt;="&amp;DATE(2026,6,16),日次入力!$A$4:$A$1500,"&lt;="&amp;DATE(2026,6,22),日次入力!$C$4:$C$1500,"LINE常設"))</f>
        <v/>
      </c>
      <c r="F352" s="42" t="str">
        <f aca="false">IF(COUNTIFS(日次入力!$A$4:$A$1500,"&gt;="&amp;DATE(2026,6,16),日次入力!$A$4:$A$1500,"&lt;="&amp;DATE(2026,6,22),日次入力!$C$4:$C$1500,"LINE常設")=0,"",SUMIFS(日次入力!$G$4:$G$1500,日次入力!$A$4:$A$1500,"&gt;="&amp;DATE(2026,6,16),日次入力!$A$4:$A$1500,"&lt;="&amp;DATE(2026,6,22),日次入力!$C$4:$C$1500,"LINE常設"))</f>
        <v/>
      </c>
      <c r="G352" s="15" t="str">
        <f aca="false">IFERROR(E352/D352,"")</f>
        <v/>
      </c>
      <c r="H352" s="37" t="str">
        <f aca="false">IFERROR(C352/E352,"")</f>
        <v/>
      </c>
      <c r="I352" s="37" t="str">
        <f aca="false">IFERROR(C352/D352*1000,"")</f>
        <v/>
      </c>
      <c r="J352" s="15" t="str">
        <f aca="false">IFERROR(F352/E352,"")</f>
        <v/>
      </c>
      <c r="K352" s="37" t="str">
        <f aca="false">IFERROR(C352/F352,"")</f>
        <v/>
      </c>
      <c r="L352" s="42" t="str">
        <f aca="false">IF(COUNTIFS(日次入力!$A$4:$A$1500,"&gt;="&amp;DATE(2026,6,16),日次入力!$A$4:$A$1500,"&lt;="&amp;DATE(2026,6,22),日次入力!$C$4:$C$1500,"LINE常設")=0,"",SUMIFS(日次入力!$H$4:$H$1500,日次入力!$A$4:$A$1500,"&gt;="&amp;DATE(2026,6,16),日次入力!$A$4:$A$1500,"&lt;="&amp;DATE(2026,6,22),日次入力!$C$4:$C$1500,"LINE常設"))</f>
        <v/>
      </c>
      <c r="M352" s="15" t="str">
        <f aca="false">IF(L352="","",IFERROR(L352/F352,""))</f>
        <v/>
      </c>
      <c r="N352" s="42" t="str">
        <f aca="false">IF(COUNTIFS(日次入力!$A$4:$A$1500,"&gt;="&amp;DATE(2026,6,16),日次入力!$A$4:$A$1500,"&lt;="&amp;DATE(2026,6,22),日次入力!$C$4:$C$1500,"LINE常設")=0,"",SUMIFS(日次入力!$I$4:$I$1500,日次入力!$A$4:$A$1500,"&gt;="&amp;DATE(2026,6,16),日次入力!$A$4:$A$1500,"&lt;="&amp;DATE(2026,6,22),日次入力!$C$4:$C$1500,"LINE常設"))</f>
        <v/>
      </c>
      <c r="O352" s="15" t="str">
        <f aca="false">IF(N352="","",IFERROR(N352/L352,""))</f>
        <v/>
      </c>
      <c r="P352" s="37" t="str">
        <f aca="false">IF(N352=0,"",IFERROR(C352/N352,""))</f>
        <v/>
      </c>
      <c r="Q352" s="38" t="str">
        <f aca="false">IF(N352=0,"",IFERROR(IF(C352/N352&lt;=用語集!$B$22,"◎ 許容内","✗ 超過"),"—"))</f>
        <v>—</v>
      </c>
      <c r="R352" s="39" t="str">
        <f aca="false">IFERROR(用語集!$B$22/P352,"")</f>
        <v/>
      </c>
    </row>
    <row r="353" customFormat="false" ht="15" hidden="false" customHeight="false" outlineLevel="0" collapsed="false">
      <c r="A353" s="34" t="s">
        <v>82</v>
      </c>
      <c r="B353" s="35" t="s">
        <v>83</v>
      </c>
      <c r="C353" s="41" t="str">
        <f aca="false">IF(COUNTIFS(日次入力!$A$4:$A$1500,"&gt;="&amp;DATE(2026,6,23),日次入力!$A$4:$A$1500,"&lt;="&amp;DATE(2026,6,29),日次入力!$C$4:$C$1500,"LINE常設")=0,"",SUMIFS(日次入力!$D$4:$D$1500,日次入力!$A$4:$A$1500,"&gt;="&amp;DATE(2026,6,23),日次入力!$A$4:$A$1500,"&lt;="&amp;DATE(2026,6,29),日次入力!$C$4:$C$1500,"LINE常設"))</f>
        <v/>
      </c>
      <c r="D353" s="42" t="str">
        <f aca="false">IF(COUNTIFS(日次入力!$A$4:$A$1500,"&gt;="&amp;DATE(2026,6,23),日次入力!$A$4:$A$1500,"&lt;="&amp;DATE(2026,6,29),日次入力!$C$4:$C$1500,"LINE常設")=0,"",SUMIFS(日次入力!$E$4:$E$1500,日次入力!$A$4:$A$1500,"&gt;="&amp;DATE(2026,6,23),日次入力!$A$4:$A$1500,"&lt;="&amp;DATE(2026,6,29),日次入力!$C$4:$C$1500,"LINE常設"))</f>
        <v/>
      </c>
      <c r="E353" s="42" t="str">
        <f aca="false">IF(COUNTIFS(日次入力!$A$4:$A$1500,"&gt;="&amp;DATE(2026,6,23),日次入力!$A$4:$A$1500,"&lt;="&amp;DATE(2026,6,29),日次入力!$C$4:$C$1500,"LINE常設")=0,"",SUMIFS(日次入力!$F$4:$F$1500,日次入力!$A$4:$A$1500,"&gt;="&amp;DATE(2026,6,23),日次入力!$A$4:$A$1500,"&lt;="&amp;DATE(2026,6,29),日次入力!$C$4:$C$1500,"LINE常設"))</f>
        <v/>
      </c>
      <c r="F353" s="42" t="str">
        <f aca="false">IF(COUNTIFS(日次入力!$A$4:$A$1500,"&gt;="&amp;DATE(2026,6,23),日次入力!$A$4:$A$1500,"&lt;="&amp;DATE(2026,6,29),日次入力!$C$4:$C$1500,"LINE常設")=0,"",SUMIFS(日次入力!$G$4:$G$1500,日次入力!$A$4:$A$1500,"&gt;="&amp;DATE(2026,6,23),日次入力!$A$4:$A$1500,"&lt;="&amp;DATE(2026,6,29),日次入力!$C$4:$C$1500,"LINE常設"))</f>
        <v/>
      </c>
      <c r="G353" s="15" t="str">
        <f aca="false">IFERROR(E353/D353,"")</f>
        <v/>
      </c>
      <c r="H353" s="37" t="str">
        <f aca="false">IFERROR(C353/E353,"")</f>
        <v/>
      </c>
      <c r="I353" s="37" t="str">
        <f aca="false">IFERROR(C353/D353*1000,"")</f>
        <v/>
      </c>
      <c r="J353" s="15" t="str">
        <f aca="false">IFERROR(F353/E353,"")</f>
        <v/>
      </c>
      <c r="K353" s="37" t="str">
        <f aca="false">IFERROR(C353/F353,"")</f>
        <v/>
      </c>
      <c r="L353" s="42" t="str">
        <f aca="false">IF(COUNTIFS(日次入力!$A$4:$A$1500,"&gt;="&amp;DATE(2026,6,23),日次入力!$A$4:$A$1500,"&lt;="&amp;DATE(2026,6,29),日次入力!$C$4:$C$1500,"LINE常設")=0,"",SUMIFS(日次入力!$H$4:$H$1500,日次入力!$A$4:$A$1500,"&gt;="&amp;DATE(2026,6,23),日次入力!$A$4:$A$1500,"&lt;="&amp;DATE(2026,6,29),日次入力!$C$4:$C$1500,"LINE常設"))</f>
        <v/>
      </c>
      <c r="M353" s="15" t="str">
        <f aca="false">IF(L353="","",IFERROR(L353/F353,""))</f>
        <v/>
      </c>
      <c r="N353" s="42" t="str">
        <f aca="false">IF(COUNTIFS(日次入力!$A$4:$A$1500,"&gt;="&amp;DATE(2026,6,23),日次入力!$A$4:$A$1500,"&lt;="&amp;DATE(2026,6,29),日次入力!$C$4:$C$1500,"LINE常設")=0,"",SUMIFS(日次入力!$I$4:$I$1500,日次入力!$A$4:$A$1500,"&gt;="&amp;DATE(2026,6,23),日次入力!$A$4:$A$1500,"&lt;="&amp;DATE(2026,6,29),日次入力!$C$4:$C$1500,"LINE常設"))</f>
        <v/>
      </c>
      <c r="O353" s="15" t="str">
        <f aca="false">IF(N353="","",IFERROR(N353/L353,""))</f>
        <v/>
      </c>
      <c r="P353" s="37" t="str">
        <f aca="false">IF(N353=0,"",IFERROR(C353/N353,""))</f>
        <v/>
      </c>
      <c r="Q353" s="38" t="str">
        <f aca="false">IF(N353=0,"",IFERROR(IF(C353/N353&lt;=用語集!$B$22,"◎ 許容内","✗ 超過"),"—"))</f>
        <v>—</v>
      </c>
      <c r="R353" s="39" t="str">
        <f aca="false">IFERROR(用語集!$B$22/P353,"")</f>
        <v/>
      </c>
    </row>
    <row r="354" customFormat="false" ht="15" hidden="false" customHeight="false" outlineLevel="0" collapsed="false">
      <c r="A354" s="34" t="s">
        <v>84</v>
      </c>
      <c r="B354" s="35" t="s">
        <v>85</v>
      </c>
      <c r="C354" s="41" t="str">
        <f aca="false">IF(COUNTIFS(日次入力!$A$4:$A$1500,"&gt;="&amp;DATE(2026,6,30),日次入力!$A$4:$A$1500,"&lt;="&amp;DATE(2026,7,6),日次入力!$C$4:$C$1500,"LINE常設")=0,"",SUMIFS(日次入力!$D$4:$D$1500,日次入力!$A$4:$A$1500,"&gt;="&amp;DATE(2026,6,30),日次入力!$A$4:$A$1500,"&lt;="&amp;DATE(2026,7,6),日次入力!$C$4:$C$1500,"LINE常設"))</f>
        <v/>
      </c>
      <c r="D354" s="42" t="str">
        <f aca="false">IF(COUNTIFS(日次入力!$A$4:$A$1500,"&gt;="&amp;DATE(2026,6,30),日次入力!$A$4:$A$1500,"&lt;="&amp;DATE(2026,7,6),日次入力!$C$4:$C$1500,"LINE常設")=0,"",SUMIFS(日次入力!$E$4:$E$1500,日次入力!$A$4:$A$1500,"&gt;="&amp;DATE(2026,6,30),日次入力!$A$4:$A$1500,"&lt;="&amp;DATE(2026,7,6),日次入力!$C$4:$C$1500,"LINE常設"))</f>
        <v/>
      </c>
      <c r="E354" s="42" t="str">
        <f aca="false">IF(COUNTIFS(日次入力!$A$4:$A$1500,"&gt;="&amp;DATE(2026,6,30),日次入力!$A$4:$A$1500,"&lt;="&amp;DATE(2026,7,6),日次入力!$C$4:$C$1500,"LINE常設")=0,"",SUMIFS(日次入力!$F$4:$F$1500,日次入力!$A$4:$A$1500,"&gt;="&amp;DATE(2026,6,30),日次入力!$A$4:$A$1500,"&lt;="&amp;DATE(2026,7,6),日次入力!$C$4:$C$1500,"LINE常設"))</f>
        <v/>
      </c>
      <c r="F354" s="42" t="str">
        <f aca="false">IF(COUNTIFS(日次入力!$A$4:$A$1500,"&gt;="&amp;DATE(2026,6,30),日次入力!$A$4:$A$1500,"&lt;="&amp;DATE(2026,7,6),日次入力!$C$4:$C$1500,"LINE常設")=0,"",SUMIFS(日次入力!$G$4:$G$1500,日次入力!$A$4:$A$1500,"&gt;="&amp;DATE(2026,6,30),日次入力!$A$4:$A$1500,"&lt;="&amp;DATE(2026,7,6),日次入力!$C$4:$C$1500,"LINE常設"))</f>
        <v/>
      </c>
      <c r="G354" s="15" t="str">
        <f aca="false">IFERROR(E354/D354,"")</f>
        <v/>
      </c>
      <c r="H354" s="37" t="str">
        <f aca="false">IFERROR(C354/E354,"")</f>
        <v/>
      </c>
      <c r="I354" s="37" t="str">
        <f aca="false">IFERROR(C354/D354*1000,"")</f>
        <v/>
      </c>
      <c r="J354" s="15" t="str">
        <f aca="false">IFERROR(F354/E354,"")</f>
        <v/>
      </c>
      <c r="K354" s="37" t="str">
        <f aca="false">IFERROR(C354/F354,"")</f>
        <v/>
      </c>
      <c r="L354" s="42" t="str">
        <f aca="false">IF(COUNTIFS(日次入力!$A$4:$A$1500,"&gt;="&amp;DATE(2026,6,30),日次入力!$A$4:$A$1500,"&lt;="&amp;DATE(2026,7,6),日次入力!$C$4:$C$1500,"LINE常設")=0,"",SUMIFS(日次入力!$H$4:$H$1500,日次入力!$A$4:$A$1500,"&gt;="&amp;DATE(2026,6,30),日次入力!$A$4:$A$1500,"&lt;="&amp;DATE(2026,7,6),日次入力!$C$4:$C$1500,"LINE常設"))</f>
        <v/>
      </c>
      <c r="M354" s="15" t="str">
        <f aca="false">IF(L354="","",IFERROR(L354/F354,""))</f>
        <v/>
      </c>
      <c r="N354" s="42" t="str">
        <f aca="false">IF(COUNTIFS(日次入力!$A$4:$A$1500,"&gt;="&amp;DATE(2026,6,30),日次入力!$A$4:$A$1500,"&lt;="&amp;DATE(2026,7,6),日次入力!$C$4:$C$1500,"LINE常設")=0,"",SUMIFS(日次入力!$I$4:$I$1500,日次入力!$A$4:$A$1500,"&gt;="&amp;DATE(2026,6,30),日次入力!$A$4:$A$1500,"&lt;="&amp;DATE(2026,7,6),日次入力!$C$4:$C$1500,"LINE常設"))</f>
        <v/>
      </c>
      <c r="O354" s="15" t="str">
        <f aca="false">IF(N354="","",IFERROR(N354/L354,""))</f>
        <v/>
      </c>
      <c r="P354" s="37" t="str">
        <f aca="false">IF(N354=0,"",IFERROR(C354/N354,""))</f>
        <v/>
      </c>
      <c r="Q354" s="38" t="str">
        <f aca="false">IF(N354=0,"",IFERROR(IF(C354/N354&lt;=用語集!$B$22,"◎ 許容内","✗ 超過"),"—"))</f>
        <v>—</v>
      </c>
      <c r="R354" s="39" t="str">
        <f aca="false">IFERROR(用語集!$B$22/P354,"")</f>
        <v/>
      </c>
    </row>
    <row r="355" customFormat="false" ht="15" hidden="false" customHeight="false" outlineLevel="0" collapsed="false">
      <c r="A355" s="34" t="s">
        <v>86</v>
      </c>
      <c r="B355" s="35" t="s">
        <v>87</v>
      </c>
      <c r="C355" s="41" t="str">
        <f aca="false">IF(COUNTIFS(日次入力!$A$4:$A$1500,"&gt;="&amp;DATE(2026,7,7),日次入力!$A$4:$A$1500,"&lt;="&amp;DATE(2026,7,13),日次入力!$C$4:$C$1500,"LINE常設")=0,"",SUMIFS(日次入力!$D$4:$D$1500,日次入力!$A$4:$A$1500,"&gt;="&amp;DATE(2026,7,7),日次入力!$A$4:$A$1500,"&lt;="&amp;DATE(2026,7,13),日次入力!$C$4:$C$1500,"LINE常設"))</f>
        <v/>
      </c>
      <c r="D355" s="42" t="str">
        <f aca="false">IF(COUNTIFS(日次入力!$A$4:$A$1500,"&gt;="&amp;DATE(2026,7,7),日次入力!$A$4:$A$1500,"&lt;="&amp;DATE(2026,7,13),日次入力!$C$4:$C$1500,"LINE常設")=0,"",SUMIFS(日次入力!$E$4:$E$1500,日次入力!$A$4:$A$1500,"&gt;="&amp;DATE(2026,7,7),日次入力!$A$4:$A$1500,"&lt;="&amp;DATE(2026,7,13),日次入力!$C$4:$C$1500,"LINE常設"))</f>
        <v/>
      </c>
      <c r="E355" s="42" t="str">
        <f aca="false">IF(COUNTIFS(日次入力!$A$4:$A$1500,"&gt;="&amp;DATE(2026,7,7),日次入力!$A$4:$A$1500,"&lt;="&amp;DATE(2026,7,13),日次入力!$C$4:$C$1500,"LINE常設")=0,"",SUMIFS(日次入力!$F$4:$F$1500,日次入力!$A$4:$A$1500,"&gt;="&amp;DATE(2026,7,7),日次入力!$A$4:$A$1500,"&lt;="&amp;DATE(2026,7,13),日次入力!$C$4:$C$1500,"LINE常設"))</f>
        <v/>
      </c>
      <c r="F355" s="42" t="str">
        <f aca="false">IF(COUNTIFS(日次入力!$A$4:$A$1500,"&gt;="&amp;DATE(2026,7,7),日次入力!$A$4:$A$1500,"&lt;="&amp;DATE(2026,7,13),日次入力!$C$4:$C$1500,"LINE常設")=0,"",SUMIFS(日次入力!$G$4:$G$1500,日次入力!$A$4:$A$1500,"&gt;="&amp;DATE(2026,7,7),日次入力!$A$4:$A$1500,"&lt;="&amp;DATE(2026,7,13),日次入力!$C$4:$C$1500,"LINE常設"))</f>
        <v/>
      </c>
      <c r="G355" s="15" t="str">
        <f aca="false">IFERROR(E355/D355,"")</f>
        <v/>
      </c>
      <c r="H355" s="37" t="str">
        <f aca="false">IFERROR(C355/E355,"")</f>
        <v/>
      </c>
      <c r="I355" s="37" t="str">
        <f aca="false">IFERROR(C355/D355*1000,"")</f>
        <v/>
      </c>
      <c r="J355" s="15" t="str">
        <f aca="false">IFERROR(F355/E355,"")</f>
        <v/>
      </c>
      <c r="K355" s="37" t="str">
        <f aca="false">IFERROR(C355/F355,"")</f>
        <v/>
      </c>
      <c r="L355" s="42" t="str">
        <f aca="false">IF(COUNTIFS(日次入力!$A$4:$A$1500,"&gt;="&amp;DATE(2026,7,7),日次入力!$A$4:$A$1500,"&lt;="&amp;DATE(2026,7,13),日次入力!$C$4:$C$1500,"LINE常設")=0,"",SUMIFS(日次入力!$H$4:$H$1500,日次入力!$A$4:$A$1500,"&gt;="&amp;DATE(2026,7,7),日次入力!$A$4:$A$1500,"&lt;="&amp;DATE(2026,7,13),日次入力!$C$4:$C$1500,"LINE常設"))</f>
        <v/>
      </c>
      <c r="M355" s="15" t="str">
        <f aca="false">IF(L355="","",IFERROR(L355/F355,""))</f>
        <v/>
      </c>
      <c r="N355" s="42" t="str">
        <f aca="false">IF(COUNTIFS(日次入力!$A$4:$A$1500,"&gt;="&amp;DATE(2026,7,7),日次入力!$A$4:$A$1500,"&lt;="&amp;DATE(2026,7,13),日次入力!$C$4:$C$1500,"LINE常設")=0,"",SUMIFS(日次入力!$I$4:$I$1500,日次入力!$A$4:$A$1500,"&gt;="&amp;DATE(2026,7,7),日次入力!$A$4:$A$1500,"&lt;="&amp;DATE(2026,7,13),日次入力!$C$4:$C$1500,"LINE常設"))</f>
        <v/>
      </c>
      <c r="O355" s="15" t="str">
        <f aca="false">IF(N355="","",IFERROR(N355/L355,""))</f>
        <v/>
      </c>
      <c r="P355" s="37" t="str">
        <f aca="false">IF(N355=0,"",IFERROR(C355/N355,""))</f>
        <v/>
      </c>
      <c r="Q355" s="38" t="str">
        <f aca="false">IF(N355=0,"",IFERROR(IF(C355/N355&lt;=用語集!$B$22,"◎ 許容内","✗ 超過"),"—"))</f>
        <v>—</v>
      </c>
      <c r="R355" s="39" t="str">
        <f aca="false">IFERROR(用語集!$B$22/P355,"")</f>
        <v/>
      </c>
    </row>
    <row r="356" customFormat="false" ht="15" hidden="false" customHeight="false" outlineLevel="0" collapsed="false">
      <c r="A356" s="34" t="s">
        <v>88</v>
      </c>
      <c r="B356" s="35" t="s">
        <v>89</v>
      </c>
      <c r="C356" s="41" t="str">
        <f aca="false">IF(COUNTIFS(日次入力!$A$4:$A$1500,"&gt;="&amp;DATE(2026,7,14),日次入力!$A$4:$A$1500,"&lt;="&amp;DATE(2026,7,20),日次入力!$C$4:$C$1500,"LINE常設")=0,"",SUMIFS(日次入力!$D$4:$D$1500,日次入力!$A$4:$A$1500,"&gt;="&amp;DATE(2026,7,14),日次入力!$A$4:$A$1500,"&lt;="&amp;DATE(2026,7,20),日次入力!$C$4:$C$1500,"LINE常設"))</f>
        <v/>
      </c>
      <c r="D356" s="42" t="str">
        <f aca="false">IF(COUNTIFS(日次入力!$A$4:$A$1500,"&gt;="&amp;DATE(2026,7,14),日次入力!$A$4:$A$1500,"&lt;="&amp;DATE(2026,7,20),日次入力!$C$4:$C$1500,"LINE常設")=0,"",SUMIFS(日次入力!$E$4:$E$1500,日次入力!$A$4:$A$1500,"&gt;="&amp;DATE(2026,7,14),日次入力!$A$4:$A$1500,"&lt;="&amp;DATE(2026,7,20),日次入力!$C$4:$C$1500,"LINE常設"))</f>
        <v/>
      </c>
      <c r="E356" s="42" t="str">
        <f aca="false">IF(COUNTIFS(日次入力!$A$4:$A$1500,"&gt;="&amp;DATE(2026,7,14),日次入力!$A$4:$A$1500,"&lt;="&amp;DATE(2026,7,20),日次入力!$C$4:$C$1500,"LINE常設")=0,"",SUMIFS(日次入力!$F$4:$F$1500,日次入力!$A$4:$A$1500,"&gt;="&amp;DATE(2026,7,14),日次入力!$A$4:$A$1500,"&lt;="&amp;DATE(2026,7,20),日次入力!$C$4:$C$1500,"LINE常設"))</f>
        <v/>
      </c>
      <c r="F356" s="42" t="str">
        <f aca="false">IF(COUNTIFS(日次入力!$A$4:$A$1500,"&gt;="&amp;DATE(2026,7,14),日次入力!$A$4:$A$1500,"&lt;="&amp;DATE(2026,7,20),日次入力!$C$4:$C$1500,"LINE常設")=0,"",SUMIFS(日次入力!$G$4:$G$1500,日次入力!$A$4:$A$1500,"&gt;="&amp;DATE(2026,7,14),日次入力!$A$4:$A$1500,"&lt;="&amp;DATE(2026,7,20),日次入力!$C$4:$C$1500,"LINE常設"))</f>
        <v/>
      </c>
      <c r="G356" s="15" t="str">
        <f aca="false">IFERROR(E356/D356,"")</f>
        <v/>
      </c>
      <c r="H356" s="37" t="str">
        <f aca="false">IFERROR(C356/E356,"")</f>
        <v/>
      </c>
      <c r="I356" s="37" t="str">
        <f aca="false">IFERROR(C356/D356*1000,"")</f>
        <v/>
      </c>
      <c r="J356" s="15" t="str">
        <f aca="false">IFERROR(F356/E356,"")</f>
        <v/>
      </c>
      <c r="K356" s="37" t="str">
        <f aca="false">IFERROR(C356/F356,"")</f>
        <v/>
      </c>
      <c r="L356" s="42" t="str">
        <f aca="false">IF(COUNTIFS(日次入力!$A$4:$A$1500,"&gt;="&amp;DATE(2026,7,14),日次入力!$A$4:$A$1500,"&lt;="&amp;DATE(2026,7,20),日次入力!$C$4:$C$1500,"LINE常設")=0,"",SUMIFS(日次入力!$H$4:$H$1500,日次入力!$A$4:$A$1500,"&gt;="&amp;DATE(2026,7,14),日次入力!$A$4:$A$1500,"&lt;="&amp;DATE(2026,7,20),日次入力!$C$4:$C$1500,"LINE常設"))</f>
        <v/>
      </c>
      <c r="M356" s="15" t="str">
        <f aca="false">IF(L356="","",IFERROR(L356/F356,""))</f>
        <v/>
      </c>
      <c r="N356" s="42" t="str">
        <f aca="false">IF(COUNTIFS(日次入力!$A$4:$A$1500,"&gt;="&amp;DATE(2026,7,14),日次入力!$A$4:$A$1500,"&lt;="&amp;DATE(2026,7,20),日次入力!$C$4:$C$1500,"LINE常設")=0,"",SUMIFS(日次入力!$I$4:$I$1500,日次入力!$A$4:$A$1500,"&gt;="&amp;DATE(2026,7,14),日次入力!$A$4:$A$1500,"&lt;="&amp;DATE(2026,7,20),日次入力!$C$4:$C$1500,"LINE常設"))</f>
        <v/>
      </c>
      <c r="O356" s="15" t="str">
        <f aca="false">IF(N356="","",IFERROR(N356/L356,""))</f>
        <v/>
      </c>
      <c r="P356" s="37" t="str">
        <f aca="false">IF(N356=0,"",IFERROR(C356/N356,""))</f>
        <v/>
      </c>
      <c r="Q356" s="38" t="str">
        <f aca="false">IF(N356=0,"",IFERROR(IF(C356/N356&lt;=用語集!$B$22,"◎ 許容内","✗ 超過"),"—"))</f>
        <v>—</v>
      </c>
      <c r="R356" s="39" t="str">
        <f aca="false">IFERROR(用語集!$B$22/P356,"")</f>
        <v/>
      </c>
    </row>
    <row r="357" customFormat="false" ht="15" hidden="false" customHeight="false" outlineLevel="0" collapsed="false">
      <c r="A357" s="34" t="s">
        <v>90</v>
      </c>
      <c r="B357" s="35" t="s">
        <v>91</v>
      </c>
      <c r="C357" s="41" t="str">
        <f aca="false">IF(COUNTIFS(日次入力!$A$4:$A$1500,"&gt;="&amp;DATE(2026,7,21),日次入力!$A$4:$A$1500,"&lt;="&amp;DATE(2026,7,27),日次入力!$C$4:$C$1500,"LINE常設")=0,"",SUMIFS(日次入力!$D$4:$D$1500,日次入力!$A$4:$A$1500,"&gt;="&amp;DATE(2026,7,21),日次入力!$A$4:$A$1500,"&lt;="&amp;DATE(2026,7,27),日次入力!$C$4:$C$1500,"LINE常設"))</f>
        <v/>
      </c>
      <c r="D357" s="42" t="str">
        <f aca="false">IF(COUNTIFS(日次入力!$A$4:$A$1500,"&gt;="&amp;DATE(2026,7,21),日次入力!$A$4:$A$1500,"&lt;="&amp;DATE(2026,7,27),日次入力!$C$4:$C$1500,"LINE常設")=0,"",SUMIFS(日次入力!$E$4:$E$1500,日次入力!$A$4:$A$1500,"&gt;="&amp;DATE(2026,7,21),日次入力!$A$4:$A$1500,"&lt;="&amp;DATE(2026,7,27),日次入力!$C$4:$C$1500,"LINE常設"))</f>
        <v/>
      </c>
      <c r="E357" s="42" t="str">
        <f aca="false">IF(COUNTIFS(日次入力!$A$4:$A$1500,"&gt;="&amp;DATE(2026,7,21),日次入力!$A$4:$A$1500,"&lt;="&amp;DATE(2026,7,27),日次入力!$C$4:$C$1500,"LINE常設")=0,"",SUMIFS(日次入力!$F$4:$F$1500,日次入力!$A$4:$A$1500,"&gt;="&amp;DATE(2026,7,21),日次入力!$A$4:$A$1500,"&lt;="&amp;DATE(2026,7,27),日次入力!$C$4:$C$1500,"LINE常設"))</f>
        <v/>
      </c>
      <c r="F357" s="42" t="str">
        <f aca="false">IF(COUNTIFS(日次入力!$A$4:$A$1500,"&gt;="&amp;DATE(2026,7,21),日次入力!$A$4:$A$1500,"&lt;="&amp;DATE(2026,7,27),日次入力!$C$4:$C$1500,"LINE常設")=0,"",SUMIFS(日次入力!$G$4:$G$1500,日次入力!$A$4:$A$1500,"&gt;="&amp;DATE(2026,7,21),日次入力!$A$4:$A$1500,"&lt;="&amp;DATE(2026,7,27),日次入力!$C$4:$C$1500,"LINE常設"))</f>
        <v/>
      </c>
      <c r="G357" s="15" t="str">
        <f aca="false">IFERROR(E357/D357,"")</f>
        <v/>
      </c>
      <c r="H357" s="37" t="str">
        <f aca="false">IFERROR(C357/E357,"")</f>
        <v/>
      </c>
      <c r="I357" s="37" t="str">
        <f aca="false">IFERROR(C357/D357*1000,"")</f>
        <v/>
      </c>
      <c r="J357" s="15" t="str">
        <f aca="false">IFERROR(F357/E357,"")</f>
        <v/>
      </c>
      <c r="K357" s="37" t="str">
        <f aca="false">IFERROR(C357/F357,"")</f>
        <v/>
      </c>
      <c r="L357" s="42" t="str">
        <f aca="false">IF(COUNTIFS(日次入力!$A$4:$A$1500,"&gt;="&amp;DATE(2026,7,21),日次入力!$A$4:$A$1500,"&lt;="&amp;DATE(2026,7,27),日次入力!$C$4:$C$1500,"LINE常設")=0,"",SUMIFS(日次入力!$H$4:$H$1500,日次入力!$A$4:$A$1500,"&gt;="&amp;DATE(2026,7,21),日次入力!$A$4:$A$1500,"&lt;="&amp;DATE(2026,7,27),日次入力!$C$4:$C$1500,"LINE常設"))</f>
        <v/>
      </c>
      <c r="M357" s="15" t="str">
        <f aca="false">IF(L357="","",IFERROR(L357/F357,""))</f>
        <v/>
      </c>
      <c r="N357" s="42" t="str">
        <f aca="false">IF(COUNTIFS(日次入力!$A$4:$A$1500,"&gt;="&amp;DATE(2026,7,21),日次入力!$A$4:$A$1500,"&lt;="&amp;DATE(2026,7,27),日次入力!$C$4:$C$1500,"LINE常設")=0,"",SUMIFS(日次入力!$I$4:$I$1500,日次入力!$A$4:$A$1500,"&gt;="&amp;DATE(2026,7,21),日次入力!$A$4:$A$1500,"&lt;="&amp;DATE(2026,7,27),日次入力!$C$4:$C$1500,"LINE常設"))</f>
        <v/>
      </c>
      <c r="O357" s="15" t="str">
        <f aca="false">IF(N357="","",IFERROR(N357/L357,""))</f>
        <v/>
      </c>
      <c r="P357" s="37" t="str">
        <f aca="false">IF(N357=0,"",IFERROR(C357/N357,""))</f>
        <v/>
      </c>
      <c r="Q357" s="38" t="str">
        <f aca="false">IF(N357=0,"",IFERROR(IF(C357/N357&lt;=用語集!$B$22,"◎ 許容内","✗ 超過"),"—"))</f>
        <v>—</v>
      </c>
      <c r="R357" s="39" t="str">
        <f aca="false">IFERROR(用語集!$B$22/P357,"")</f>
        <v/>
      </c>
    </row>
    <row r="358" customFormat="false" ht="15" hidden="false" customHeight="false" outlineLevel="0" collapsed="false">
      <c r="A358" s="34" t="s">
        <v>92</v>
      </c>
      <c r="B358" s="35" t="s">
        <v>93</v>
      </c>
      <c r="C358" s="41" t="str">
        <f aca="false">IF(COUNTIFS(日次入力!$A$4:$A$1500,"&gt;="&amp;DATE(2026,7,28),日次入力!$A$4:$A$1500,"&lt;="&amp;DATE(2026,8,3),日次入力!$C$4:$C$1500,"LINE常設")=0,"",SUMIFS(日次入力!$D$4:$D$1500,日次入力!$A$4:$A$1500,"&gt;="&amp;DATE(2026,7,28),日次入力!$A$4:$A$1500,"&lt;="&amp;DATE(2026,8,3),日次入力!$C$4:$C$1500,"LINE常設"))</f>
        <v/>
      </c>
      <c r="D358" s="42" t="str">
        <f aca="false">IF(COUNTIFS(日次入力!$A$4:$A$1500,"&gt;="&amp;DATE(2026,7,28),日次入力!$A$4:$A$1500,"&lt;="&amp;DATE(2026,8,3),日次入力!$C$4:$C$1500,"LINE常設")=0,"",SUMIFS(日次入力!$E$4:$E$1500,日次入力!$A$4:$A$1500,"&gt;="&amp;DATE(2026,7,28),日次入力!$A$4:$A$1500,"&lt;="&amp;DATE(2026,8,3),日次入力!$C$4:$C$1500,"LINE常設"))</f>
        <v/>
      </c>
      <c r="E358" s="42" t="str">
        <f aca="false">IF(COUNTIFS(日次入力!$A$4:$A$1500,"&gt;="&amp;DATE(2026,7,28),日次入力!$A$4:$A$1500,"&lt;="&amp;DATE(2026,8,3),日次入力!$C$4:$C$1500,"LINE常設")=0,"",SUMIFS(日次入力!$F$4:$F$1500,日次入力!$A$4:$A$1500,"&gt;="&amp;DATE(2026,7,28),日次入力!$A$4:$A$1500,"&lt;="&amp;DATE(2026,8,3),日次入力!$C$4:$C$1500,"LINE常設"))</f>
        <v/>
      </c>
      <c r="F358" s="42" t="str">
        <f aca="false">IF(COUNTIFS(日次入力!$A$4:$A$1500,"&gt;="&amp;DATE(2026,7,28),日次入力!$A$4:$A$1500,"&lt;="&amp;DATE(2026,8,3),日次入力!$C$4:$C$1500,"LINE常設")=0,"",SUMIFS(日次入力!$G$4:$G$1500,日次入力!$A$4:$A$1500,"&gt;="&amp;DATE(2026,7,28),日次入力!$A$4:$A$1500,"&lt;="&amp;DATE(2026,8,3),日次入力!$C$4:$C$1500,"LINE常設"))</f>
        <v/>
      </c>
      <c r="G358" s="15" t="str">
        <f aca="false">IFERROR(E358/D358,"")</f>
        <v/>
      </c>
      <c r="H358" s="37" t="str">
        <f aca="false">IFERROR(C358/E358,"")</f>
        <v/>
      </c>
      <c r="I358" s="37" t="str">
        <f aca="false">IFERROR(C358/D358*1000,"")</f>
        <v/>
      </c>
      <c r="J358" s="15" t="str">
        <f aca="false">IFERROR(F358/E358,"")</f>
        <v/>
      </c>
      <c r="K358" s="37" t="str">
        <f aca="false">IFERROR(C358/F358,"")</f>
        <v/>
      </c>
      <c r="L358" s="42" t="str">
        <f aca="false">IF(COUNTIFS(日次入力!$A$4:$A$1500,"&gt;="&amp;DATE(2026,7,28),日次入力!$A$4:$A$1500,"&lt;="&amp;DATE(2026,8,3),日次入力!$C$4:$C$1500,"LINE常設")=0,"",SUMIFS(日次入力!$H$4:$H$1500,日次入力!$A$4:$A$1500,"&gt;="&amp;DATE(2026,7,28),日次入力!$A$4:$A$1500,"&lt;="&amp;DATE(2026,8,3),日次入力!$C$4:$C$1500,"LINE常設"))</f>
        <v/>
      </c>
      <c r="M358" s="15" t="str">
        <f aca="false">IF(L358="","",IFERROR(L358/F358,""))</f>
        <v/>
      </c>
      <c r="N358" s="42" t="str">
        <f aca="false">IF(COUNTIFS(日次入力!$A$4:$A$1500,"&gt;="&amp;DATE(2026,7,28),日次入力!$A$4:$A$1500,"&lt;="&amp;DATE(2026,8,3),日次入力!$C$4:$C$1500,"LINE常設")=0,"",SUMIFS(日次入力!$I$4:$I$1500,日次入力!$A$4:$A$1500,"&gt;="&amp;DATE(2026,7,28),日次入力!$A$4:$A$1500,"&lt;="&amp;DATE(2026,8,3),日次入力!$C$4:$C$1500,"LINE常設"))</f>
        <v/>
      </c>
      <c r="O358" s="15" t="str">
        <f aca="false">IF(N358="","",IFERROR(N358/L358,""))</f>
        <v/>
      </c>
      <c r="P358" s="37" t="str">
        <f aca="false">IF(N358=0,"",IFERROR(C358/N358,""))</f>
        <v/>
      </c>
      <c r="Q358" s="38" t="str">
        <f aca="false">IF(N358=0,"",IFERROR(IF(C358/N358&lt;=用語集!$B$22,"◎ 許容内","✗ 超過"),"—"))</f>
        <v>—</v>
      </c>
      <c r="R358" s="39" t="str">
        <f aca="false">IFERROR(用語集!$B$22/P358,"")</f>
        <v/>
      </c>
    </row>
    <row r="359" customFormat="false" ht="15" hidden="false" customHeight="false" outlineLevel="0" collapsed="false">
      <c r="A359" s="34" t="s">
        <v>94</v>
      </c>
      <c r="B359" s="35" t="s">
        <v>95</v>
      </c>
      <c r="C359" s="41" t="str">
        <f aca="false">IF(COUNTIFS(日次入力!$A$4:$A$1500,"&gt;="&amp;DATE(2026,8,4),日次入力!$A$4:$A$1500,"&lt;="&amp;DATE(2026,8,10),日次入力!$C$4:$C$1500,"LINE常設")=0,"",SUMIFS(日次入力!$D$4:$D$1500,日次入力!$A$4:$A$1500,"&gt;="&amp;DATE(2026,8,4),日次入力!$A$4:$A$1500,"&lt;="&amp;DATE(2026,8,10),日次入力!$C$4:$C$1500,"LINE常設"))</f>
        <v/>
      </c>
      <c r="D359" s="42" t="str">
        <f aca="false">IF(COUNTIFS(日次入力!$A$4:$A$1500,"&gt;="&amp;DATE(2026,8,4),日次入力!$A$4:$A$1500,"&lt;="&amp;DATE(2026,8,10),日次入力!$C$4:$C$1500,"LINE常設")=0,"",SUMIFS(日次入力!$E$4:$E$1500,日次入力!$A$4:$A$1500,"&gt;="&amp;DATE(2026,8,4),日次入力!$A$4:$A$1500,"&lt;="&amp;DATE(2026,8,10),日次入力!$C$4:$C$1500,"LINE常設"))</f>
        <v/>
      </c>
      <c r="E359" s="42" t="str">
        <f aca="false">IF(COUNTIFS(日次入力!$A$4:$A$1500,"&gt;="&amp;DATE(2026,8,4),日次入力!$A$4:$A$1500,"&lt;="&amp;DATE(2026,8,10),日次入力!$C$4:$C$1500,"LINE常設")=0,"",SUMIFS(日次入力!$F$4:$F$1500,日次入力!$A$4:$A$1500,"&gt;="&amp;DATE(2026,8,4),日次入力!$A$4:$A$1500,"&lt;="&amp;DATE(2026,8,10),日次入力!$C$4:$C$1500,"LINE常設"))</f>
        <v/>
      </c>
      <c r="F359" s="42" t="str">
        <f aca="false">IF(COUNTIFS(日次入力!$A$4:$A$1500,"&gt;="&amp;DATE(2026,8,4),日次入力!$A$4:$A$1500,"&lt;="&amp;DATE(2026,8,10),日次入力!$C$4:$C$1500,"LINE常設")=0,"",SUMIFS(日次入力!$G$4:$G$1500,日次入力!$A$4:$A$1500,"&gt;="&amp;DATE(2026,8,4),日次入力!$A$4:$A$1500,"&lt;="&amp;DATE(2026,8,10),日次入力!$C$4:$C$1500,"LINE常設"))</f>
        <v/>
      </c>
      <c r="G359" s="15" t="str">
        <f aca="false">IFERROR(E359/D359,"")</f>
        <v/>
      </c>
      <c r="H359" s="37" t="str">
        <f aca="false">IFERROR(C359/E359,"")</f>
        <v/>
      </c>
      <c r="I359" s="37" t="str">
        <f aca="false">IFERROR(C359/D359*1000,"")</f>
        <v/>
      </c>
      <c r="J359" s="15" t="str">
        <f aca="false">IFERROR(F359/E359,"")</f>
        <v/>
      </c>
      <c r="K359" s="37" t="str">
        <f aca="false">IFERROR(C359/F359,"")</f>
        <v/>
      </c>
      <c r="L359" s="42" t="str">
        <f aca="false">IF(COUNTIFS(日次入力!$A$4:$A$1500,"&gt;="&amp;DATE(2026,8,4),日次入力!$A$4:$A$1500,"&lt;="&amp;DATE(2026,8,10),日次入力!$C$4:$C$1500,"LINE常設")=0,"",SUMIFS(日次入力!$H$4:$H$1500,日次入力!$A$4:$A$1500,"&gt;="&amp;DATE(2026,8,4),日次入力!$A$4:$A$1500,"&lt;="&amp;DATE(2026,8,10),日次入力!$C$4:$C$1500,"LINE常設"))</f>
        <v/>
      </c>
      <c r="M359" s="15" t="str">
        <f aca="false">IF(L359="","",IFERROR(L359/F359,""))</f>
        <v/>
      </c>
      <c r="N359" s="42" t="str">
        <f aca="false">IF(COUNTIFS(日次入力!$A$4:$A$1500,"&gt;="&amp;DATE(2026,8,4),日次入力!$A$4:$A$1500,"&lt;="&amp;DATE(2026,8,10),日次入力!$C$4:$C$1500,"LINE常設")=0,"",SUMIFS(日次入力!$I$4:$I$1500,日次入力!$A$4:$A$1500,"&gt;="&amp;DATE(2026,8,4),日次入力!$A$4:$A$1500,"&lt;="&amp;DATE(2026,8,10),日次入力!$C$4:$C$1500,"LINE常設"))</f>
        <v/>
      </c>
      <c r="O359" s="15" t="str">
        <f aca="false">IF(N359="","",IFERROR(N359/L359,""))</f>
        <v/>
      </c>
      <c r="P359" s="37" t="str">
        <f aca="false">IF(N359=0,"",IFERROR(C359/N359,""))</f>
        <v/>
      </c>
      <c r="Q359" s="38" t="str">
        <f aca="false">IF(N359=0,"",IFERROR(IF(C359/N359&lt;=用語集!$B$22,"◎ 許容内","✗ 超過"),"—"))</f>
        <v>—</v>
      </c>
      <c r="R359" s="39" t="str">
        <f aca="false">IFERROR(用語集!$B$22/P359,"")</f>
        <v/>
      </c>
    </row>
    <row r="360" customFormat="false" ht="15" hidden="false" customHeight="false" outlineLevel="0" collapsed="false">
      <c r="A360" s="34" t="s">
        <v>96</v>
      </c>
      <c r="B360" s="35" t="s">
        <v>97</v>
      </c>
      <c r="C360" s="41" t="str">
        <f aca="false">IF(COUNTIFS(日次入力!$A$4:$A$1500,"&gt;="&amp;DATE(2026,8,11),日次入力!$A$4:$A$1500,"&lt;="&amp;DATE(2026,8,17),日次入力!$C$4:$C$1500,"LINE常設")=0,"",SUMIFS(日次入力!$D$4:$D$1500,日次入力!$A$4:$A$1500,"&gt;="&amp;DATE(2026,8,11),日次入力!$A$4:$A$1500,"&lt;="&amp;DATE(2026,8,17),日次入力!$C$4:$C$1500,"LINE常設"))</f>
        <v/>
      </c>
      <c r="D360" s="42" t="str">
        <f aca="false">IF(COUNTIFS(日次入力!$A$4:$A$1500,"&gt;="&amp;DATE(2026,8,11),日次入力!$A$4:$A$1500,"&lt;="&amp;DATE(2026,8,17),日次入力!$C$4:$C$1500,"LINE常設")=0,"",SUMIFS(日次入力!$E$4:$E$1500,日次入力!$A$4:$A$1500,"&gt;="&amp;DATE(2026,8,11),日次入力!$A$4:$A$1500,"&lt;="&amp;DATE(2026,8,17),日次入力!$C$4:$C$1500,"LINE常設"))</f>
        <v/>
      </c>
      <c r="E360" s="42" t="str">
        <f aca="false">IF(COUNTIFS(日次入力!$A$4:$A$1500,"&gt;="&amp;DATE(2026,8,11),日次入力!$A$4:$A$1500,"&lt;="&amp;DATE(2026,8,17),日次入力!$C$4:$C$1500,"LINE常設")=0,"",SUMIFS(日次入力!$F$4:$F$1500,日次入力!$A$4:$A$1500,"&gt;="&amp;DATE(2026,8,11),日次入力!$A$4:$A$1500,"&lt;="&amp;DATE(2026,8,17),日次入力!$C$4:$C$1500,"LINE常設"))</f>
        <v/>
      </c>
      <c r="F360" s="42" t="str">
        <f aca="false">IF(COUNTIFS(日次入力!$A$4:$A$1500,"&gt;="&amp;DATE(2026,8,11),日次入力!$A$4:$A$1500,"&lt;="&amp;DATE(2026,8,17),日次入力!$C$4:$C$1500,"LINE常設")=0,"",SUMIFS(日次入力!$G$4:$G$1500,日次入力!$A$4:$A$1500,"&gt;="&amp;DATE(2026,8,11),日次入力!$A$4:$A$1500,"&lt;="&amp;DATE(2026,8,17),日次入力!$C$4:$C$1500,"LINE常設"))</f>
        <v/>
      </c>
      <c r="G360" s="15" t="str">
        <f aca="false">IFERROR(E360/D360,"")</f>
        <v/>
      </c>
      <c r="H360" s="37" t="str">
        <f aca="false">IFERROR(C360/E360,"")</f>
        <v/>
      </c>
      <c r="I360" s="37" t="str">
        <f aca="false">IFERROR(C360/D360*1000,"")</f>
        <v/>
      </c>
      <c r="J360" s="15" t="str">
        <f aca="false">IFERROR(F360/E360,"")</f>
        <v/>
      </c>
      <c r="K360" s="37" t="str">
        <f aca="false">IFERROR(C360/F360,"")</f>
        <v/>
      </c>
      <c r="L360" s="42" t="str">
        <f aca="false">IF(COUNTIFS(日次入力!$A$4:$A$1500,"&gt;="&amp;DATE(2026,8,11),日次入力!$A$4:$A$1500,"&lt;="&amp;DATE(2026,8,17),日次入力!$C$4:$C$1500,"LINE常設")=0,"",SUMIFS(日次入力!$H$4:$H$1500,日次入力!$A$4:$A$1500,"&gt;="&amp;DATE(2026,8,11),日次入力!$A$4:$A$1500,"&lt;="&amp;DATE(2026,8,17),日次入力!$C$4:$C$1500,"LINE常設"))</f>
        <v/>
      </c>
      <c r="M360" s="15" t="str">
        <f aca="false">IF(L360="","",IFERROR(L360/F360,""))</f>
        <v/>
      </c>
      <c r="N360" s="42" t="str">
        <f aca="false">IF(COUNTIFS(日次入力!$A$4:$A$1500,"&gt;="&amp;DATE(2026,8,11),日次入力!$A$4:$A$1500,"&lt;="&amp;DATE(2026,8,17),日次入力!$C$4:$C$1500,"LINE常設")=0,"",SUMIFS(日次入力!$I$4:$I$1500,日次入力!$A$4:$A$1500,"&gt;="&amp;DATE(2026,8,11),日次入力!$A$4:$A$1500,"&lt;="&amp;DATE(2026,8,17),日次入力!$C$4:$C$1500,"LINE常設"))</f>
        <v/>
      </c>
      <c r="O360" s="15" t="str">
        <f aca="false">IF(N360="","",IFERROR(N360/L360,""))</f>
        <v/>
      </c>
      <c r="P360" s="37" t="str">
        <f aca="false">IF(N360=0,"",IFERROR(C360/N360,""))</f>
        <v/>
      </c>
      <c r="Q360" s="38" t="str">
        <f aca="false">IF(N360=0,"",IFERROR(IF(C360/N360&lt;=用語集!$B$22,"◎ 許容内","✗ 超過"),"—"))</f>
        <v>—</v>
      </c>
      <c r="R360" s="39" t="str">
        <f aca="false">IFERROR(用語集!$B$22/P360,"")</f>
        <v/>
      </c>
    </row>
    <row r="361" customFormat="false" ht="15" hidden="false" customHeight="false" outlineLevel="0" collapsed="false">
      <c r="A361" s="34" t="s">
        <v>98</v>
      </c>
      <c r="B361" s="35" t="s">
        <v>99</v>
      </c>
      <c r="C361" s="41" t="str">
        <f aca="false">IF(COUNTIFS(日次入力!$A$4:$A$1500,"&gt;="&amp;DATE(2026,8,18),日次入力!$A$4:$A$1500,"&lt;="&amp;DATE(2026,8,24),日次入力!$C$4:$C$1500,"LINE常設")=0,"",SUMIFS(日次入力!$D$4:$D$1500,日次入力!$A$4:$A$1500,"&gt;="&amp;DATE(2026,8,18),日次入力!$A$4:$A$1500,"&lt;="&amp;DATE(2026,8,24),日次入力!$C$4:$C$1500,"LINE常設"))</f>
        <v/>
      </c>
      <c r="D361" s="42" t="str">
        <f aca="false">IF(COUNTIFS(日次入力!$A$4:$A$1500,"&gt;="&amp;DATE(2026,8,18),日次入力!$A$4:$A$1500,"&lt;="&amp;DATE(2026,8,24),日次入力!$C$4:$C$1500,"LINE常設")=0,"",SUMIFS(日次入力!$E$4:$E$1500,日次入力!$A$4:$A$1500,"&gt;="&amp;DATE(2026,8,18),日次入力!$A$4:$A$1500,"&lt;="&amp;DATE(2026,8,24),日次入力!$C$4:$C$1500,"LINE常設"))</f>
        <v/>
      </c>
      <c r="E361" s="42" t="str">
        <f aca="false">IF(COUNTIFS(日次入力!$A$4:$A$1500,"&gt;="&amp;DATE(2026,8,18),日次入力!$A$4:$A$1500,"&lt;="&amp;DATE(2026,8,24),日次入力!$C$4:$C$1500,"LINE常設")=0,"",SUMIFS(日次入力!$F$4:$F$1500,日次入力!$A$4:$A$1500,"&gt;="&amp;DATE(2026,8,18),日次入力!$A$4:$A$1500,"&lt;="&amp;DATE(2026,8,24),日次入力!$C$4:$C$1500,"LINE常設"))</f>
        <v/>
      </c>
      <c r="F361" s="42" t="str">
        <f aca="false">IF(COUNTIFS(日次入力!$A$4:$A$1500,"&gt;="&amp;DATE(2026,8,18),日次入力!$A$4:$A$1500,"&lt;="&amp;DATE(2026,8,24),日次入力!$C$4:$C$1500,"LINE常設")=0,"",SUMIFS(日次入力!$G$4:$G$1500,日次入力!$A$4:$A$1500,"&gt;="&amp;DATE(2026,8,18),日次入力!$A$4:$A$1500,"&lt;="&amp;DATE(2026,8,24),日次入力!$C$4:$C$1500,"LINE常設"))</f>
        <v/>
      </c>
      <c r="G361" s="15" t="str">
        <f aca="false">IFERROR(E361/D361,"")</f>
        <v/>
      </c>
      <c r="H361" s="37" t="str">
        <f aca="false">IFERROR(C361/E361,"")</f>
        <v/>
      </c>
      <c r="I361" s="37" t="str">
        <f aca="false">IFERROR(C361/D361*1000,"")</f>
        <v/>
      </c>
      <c r="J361" s="15" t="str">
        <f aca="false">IFERROR(F361/E361,"")</f>
        <v/>
      </c>
      <c r="K361" s="37" t="str">
        <f aca="false">IFERROR(C361/F361,"")</f>
        <v/>
      </c>
      <c r="L361" s="42" t="str">
        <f aca="false">IF(COUNTIFS(日次入力!$A$4:$A$1500,"&gt;="&amp;DATE(2026,8,18),日次入力!$A$4:$A$1500,"&lt;="&amp;DATE(2026,8,24),日次入力!$C$4:$C$1500,"LINE常設")=0,"",SUMIFS(日次入力!$H$4:$H$1500,日次入力!$A$4:$A$1500,"&gt;="&amp;DATE(2026,8,18),日次入力!$A$4:$A$1500,"&lt;="&amp;DATE(2026,8,24),日次入力!$C$4:$C$1500,"LINE常設"))</f>
        <v/>
      </c>
      <c r="M361" s="15" t="str">
        <f aca="false">IF(L361="","",IFERROR(L361/F361,""))</f>
        <v/>
      </c>
      <c r="N361" s="42" t="str">
        <f aca="false">IF(COUNTIFS(日次入力!$A$4:$A$1500,"&gt;="&amp;DATE(2026,8,18),日次入力!$A$4:$A$1500,"&lt;="&amp;DATE(2026,8,24),日次入力!$C$4:$C$1500,"LINE常設")=0,"",SUMIFS(日次入力!$I$4:$I$1500,日次入力!$A$4:$A$1500,"&gt;="&amp;DATE(2026,8,18),日次入力!$A$4:$A$1500,"&lt;="&amp;DATE(2026,8,24),日次入力!$C$4:$C$1500,"LINE常設"))</f>
        <v/>
      </c>
      <c r="O361" s="15" t="str">
        <f aca="false">IF(N361="","",IFERROR(N361/L361,""))</f>
        <v/>
      </c>
      <c r="P361" s="37" t="str">
        <f aca="false">IF(N361=0,"",IFERROR(C361/N361,""))</f>
        <v/>
      </c>
      <c r="Q361" s="38" t="str">
        <f aca="false">IF(N361=0,"",IFERROR(IF(C361/N361&lt;=用語集!$B$22,"◎ 許容内","✗ 超過"),"—"))</f>
        <v>—</v>
      </c>
      <c r="R361" s="39" t="str">
        <f aca="false">IFERROR(用語集!$B$22/P361,"")</f>
        <v/>
      </c>
    </row>
    <row r="362" customFormat="false" ht="15" hidden="false" customHeight="false" outlineLevel="0" collapsed="false">
      <c r="A362" s="34" t="s">
        <v>100</v>
      </c>
      <c r="B362" s="35" t="s">
        <v>101</v>
      </c>
      <c r="C362" s="41" t="str">
        <f aca="false">IF(COUNTIFS(日次入力!$A$4:$A$1500,"&gt;="&amp;DATE(2026,8,25),日次入力!$A$4:$A$1500,"&lt;="&amp;DATE(2026,8,31),日次入力!$C$4:$C$1500,"LINE常設")=0,"",SUMIFS(日次入力!$D$4:$D$1500,日次入力!$A$4:$A$1500,"&gt;="&amp;DATE(2026,8,25),日次入力!$A$4:$A$1500,"&lt;="&amp;DATE(2026,8,31),日次入力!$C$4:$C$1500,"LINE常設"))</f>
        <v/>
      </c>
      <c r="D362" s="42" t="str">
        <f aca="false">IF(COUNTIFS(日次入力!$A$4:$A$1500,"&gt;="&amp;DATE(2026,8,25),日次入力!$A$4:$A$1500,"&lt;="&amp;DATE(2026,8,31),日次入力!$C$4:$C$1500,"LINE常設")=0,"",SUMIFS(日次入力!$E$4:$E$1500,日次入力!$A$4:$A$1500,"&gt;="&amp;DATE(2026,8,25),日次入力!$A$4:$A$1500,"&lt;="&amp;DATE(2026,8,31),日次入力!$C$4:$C$1500,"LINE常設"))</f>
        <v/>
      </c>
      <c r="E362" s="42" t="str">
        <f aca="false">IF(COUNTIFS(日次入力!$A$4:$A$1500,"&gt;="&amp;DATE(2026,8,25),日次入力!$A$4:$A$1500,"&lt;="&amp;DATE(2026,8,31),日次入力!$C$4:$C$1500,"LINE常設")=0,"",SUMIFS(日次入力!$F$4:$F$1500,日次入力!$A$4:$A$1500,"&gt;="&amp;DATE(2026,8,25),日次入力!$A$4:$A$1500,"&lt;="&amp;DATE(2026,8,31),日次入力!$C$4:$C$1500,"LINE常設"))</f>
        <v/>
      </c>
      <c r="F362" s="42" t="str">
        <f aca="false">IF(COUNTIFS(日次入力!$A$4:$A$1500,"&gt;="&amp;DATE(2026,8,25),日次入力!$A$4:$A$1500,"&lt;="&amp;DATE(2026,8,31),日次入力!$C$4:$C$1500,"LINE常設")=0,"",SUMIFS(日次入力!$G$4:$G$1500,日次入力!$A$4:$A$1500,"&gt;="&amp;DATE(2026,8,25),日次入力!$A$4:$A$1500,"&lt;="&amp;DATE(2026,8,31),日次入力!$C$4:$C$1500,"LINE常設"))</f>
        <v/>
      </c>
      <c r="G362" s="15" t="str">
        <f aca="false">IFERROR(E362/D362,"")</f>
        <v/>
      </c>
      <c r="H362" s="37" t="str">
        <f aca="false">IFERROR(C362/E362,"")</f>
        <v/>
      </c>
      <c r="I362" s="37" t="str">
        <f aca="false">IFERROR(C362/D362*1000,"")</f>
        <v/>
      </c>
      <c r="J362" s="15" t="str">
        <f aca="false">IFERROR(F362/E362,"")</f>
        <v/>
      </c>
      <c r="K362" s="37" t="str">
        <f aca="false">IFERROR(C362/F362,"")</f>
        <v/>
      </c>
      <c r="L362" s="42" t="str">
        <f aca="false">IF(COUNTIFS(日次入力!$A$4:$A$1500,"&gt;="&amp;DATE(2026,8,25),日次入力!$A$4:$A$1500,"&lt;="&amp;DATE(2026,8,31),日次入力!$C$4:$C$1500,"LINE常設")=0,"",SUMIFS(日次入力!$H$4:$H$1500,日次入力!$A$4:$A$1500,"&gt;="&amp;DATE(2026,8,25),日次入力!$A$4:$A$1500,"&lt;="&amp;DATE(2026,8,31),日次入力!$C$4:$C$1500,"LINE常設"))</f>
        <v/>
      </c>
      <c r="M362" s="15" t="str">
        <f aca="false">IF(L362="","",IFERROR(L362/F362,""))</f>
        <v/>
      </c>
      <c r="N362" s="42" t="str">
        <f aca="false">IF(COUNTIFS(日次入力!$A$4:$A$1500,"&gt;="&amp;DATE(2026,8,25),日次入力!$A$4:$A$1500,"&lt;="&amp;DATE(2026,8,31),日次入力!$C$4:$C$1500,"LINE常設")=0,"",SUMIFS(日次入力!$I$4:$I$1500,日次入力!$A$4:$A$1500,"&gt;="&amp;DATE(2026,8,25),日次入力!$A$4:$A$1500,"&lt;="&amp;DATE(2026,8,31),日次入力!$C$4:$C$1500,"LINE常設"))</f>
        <v/>
      </c>
      <c r="O362" s="15" t="str">
        <f aca="false">IF(N362="","",IFERROR(N362/L362,""))</f>
        <v/>
      </c>
      <c r="P362" s="37" t="str">
        <f aca="false">IF(N362=0,"",IFERROR(C362/N362,""))</f>
        <v/>
      </c>
      <c r="Q362" s="38" t="str">
        <f aca="false">IF(N362=0,"",IFERROR(IF(C362/N362&lt;=用語集!$B$22,"◎ 許容内","✗ 超過"),"—"))</f>
        <v>—</v>
      </c>
      <c r="R362" s="39" t="str">
        <f aca="false">IFERROR(用語集!$B$22/P362,"")</f>
        <v/>
      </c>
    </row>
    <row r="363" customFormat="false" ht="15" hidden="false" customHeight="false" outlineLevel="0" collapsed="false">
      <c r="A363" s="34" t="s">
        <v>102</v>
      </c>
      <c r="B363" s="35" t="s">
        <v>103</v>
      </c>
      <c r="C363" s="41" t="str">
        <f aca="false">IF(COUNTIFS(日次入力!$A$4:$A$1500,"&gt;="&amp;DATE(2026,9,1),日次入力!$A$4:$A$1500,"&lt;="&amp;DATE(2026,9,7),日次入力!$C$4:$C$1500,"LINE常設")=0,"",SUMIFS(日次入力!$D$4:$D$1500,日次入力!$A$4:$A$1500,"&gt;="&amp;DATE(2026,9,1),日次入力!$A$4:$A$1500,"&lt;="&amp;DATE(2026,9,7),日次入力!$C$4:$C$1500,"LINE常設"))</f>
        <v/>
      </c>
      <c r="D363" s="42" t="str">
        <f aca="false">IF(COUNTIFS(日次入力!$A$4:$A$1500,"&gt;="&amp;DATE(2026,9,1),日次入力!$A$4:$A$1500,"&lt;="&amp;DATE(2026,9,7),日次入力!$C$4:$C$1500,"LINE常設")=0,"",SUMIFS(日次入力!$E$4:$E$1500,日次入力!$A$4:$A$1500,"&gt;="&amp;DATE(2026,9,1),日次入力!$A$4:$A$1500,"&lt;="&amp;DATE(2026,9,7),日次入力!$C$4:$C$1500,"LINE常設"))</f>
        <v/>
      </c>
      <c r="E363" s="42" t="str">
        <f aca="false">IF(COUNTIFS(日次入力!$A$4:$A$1500,"&gt;="&amp;DATE(2026,9,1),日次入力!$A$4:$A$1500,"&lt;="&amp;DATE(2026,9,7),日次入力!$C$4:$C$1500,"LINE常設")=0,"",SUMIFS(日次入力!$F$4:$F$1500,日次入力!$A$4:$A$1500,"&gt;="&amp;DATE(2026,9,1),日次入力!$A$4:$A$1500,"&lt;="&amp;DATE(2026,9,7),日次入力!$C$4:$C$1500,"LINE常設"))</f>
        <v/>
      </c>
      <c r="F363" s="42" t="str">
        <f aca="false">IF(COUNTIFS(日次入力!$A$4:$A$1500,"&gt;="&amp;DATE(2026,9,1),日次入力!$A$4:$A$1500,"&lt;="&amp;DATE(2026,9,7),日次入力!$C$4:$C$1500,"LINE常設")=0,"",SUMIFS(日次入力!$G$4:$G$1500,日次入力!$A$4:$A$1500,"&gt;="&amp;DATE(2026,9,1),日次入力!$A$4:$A$1500,"&lt;="&amp;DATE(2026,9,7),日次入力!$C$4:$C$1500,"LINE常設"))</f>
        <v/>
      </c>
      <c r="G363" s="15" t="str">
        <f aca="false">IFERROR(E363/D363,"")</f>
        <v/>
      </c>
      <c r="H363" s="37" t="str">
        <f aca="false">IFERROR(C363/E363,"")</f>
        <v/>
      </c>
      <c r="I363" s="37" t="str">
        <f aca="false">IFERROR(C363/D363*1000,"")</f>
        <v/>
      </c>
      <c r="J363" s="15" t="str">
        <f aca="false">IFERROR(F363/E363,"")</f>
        <v/>
      </c>
      <c r="K363" s="37" t="str">
        <f aca="false">IFERROR(C363/F363,"")</f>
        <v/>
      </c>
      <c r="L363" s="42" t="str">
        <f aca="false">IF(COUNTIFS(日次入力!$A$4:$A$1500,"&gt;="&amp;DATE(2026,9,1),日次入力!$A$4:$A$1500,"&lt;="&amp;DATE(2026,9,7),日次入力!$C$4:$C$1500,"LINE常設")=0,"",SUMIFS(日次入力!$H$4:$H$1500,日次入力!$A$4:$A$1500,"&gt;="&amp;DATE(2026,9,1),日次入力!$A$4:$A$1500,"&lt;="&amp;DATE(2026,9,7),日次入力!$C$4:$C$1500,"LINE常設"))</f>
        <v/>
      </c>
      <c r="M363" s="15" t="str">
        <f aca="false">IF(L363="","",IFERROR(L363/F363,""))</f>
        <v/>
      </c>
      <c r="N363" s="42" t="str">
        <f aca="false">IF(COUNTIFS(日次入力!$A$4:$A$1500,"&gt;="&amp;DATE(2026,9,1),日次入力!$A$4:$A$1500,"&lt;="&amp;DATE(2026,9,7),日次入力!$C$4:$C$1500,"LINE常設")=0,"",SUMIFS(日次入力!$I$4:$I$1500,日次入力!$A$4:$A$1500,"&gt;="&amp;DATE(2026,9,1),日次入力!$A$4:$A$1500,"&lt;="&amp;DATE(2026,9,7),日次入力!$C$4:$C$1500,"LINE常設"))</f>
        <v/>
      </c>
      <c r="O363" s="15" t="str">
        <f aca="false">IF(N363="","",IFERROR(N363/L363,""))</f>
        <v/>
      </c>
      <c r="P363" s="37" t="str">
        <f aca="false">IF(N363=0,"",IFERROR(C363/N363,""))</f>
        <v/>
      </c>
      <c r="Q363" s="38" t="str">
        <f aca="false">IF(N363=0,"",IFERROR(IF(C363/N363&lt;=用語集!$B$22,"◎ 許容内","✗ 超過"),"—"))</f>
        <v>—</v>
      </c>
      <c r="R363" s="39" t="str">
        <f aca="false">IFERROR(用語集!$B$22/P363,"")</f>
        <v/>
      </c>
    </row>
    <row r="364" customFormat="false" ht="15" hidden="false" customHeight="false" outlineLevel="0" collapsed="false">
      <c r="A364" s="34" t="s">
        <v>104</v>
      </c>
      <c r="B364" s="35" t="s">
        <v>105</v>
      </c>
      <c r="C364" s="41" t="str">
        <f aca="false">IF(COUNTIFS(日次入力!$A$4:$A$1500,"&gt;="&amp;DATE(2026,9,8),日次入力!$A$4:$A$1500,"&lt;="&amp;DATE(2026,9,14),日次入力!$C$4:$C$1500,"LINE常設")=0,"",SUMIFS(日次入力!$D$4:$D$1500,日次入力!$A$4:$A$1500,"&gt;="&amp;DATE(2026,9,8),日次入力!$A$4:$A$1500,"&lt;="&amp;DATE(2026,9,14),日次入力!$C$4:$C$1500,"LINE常設"))</f>
        <v/>
      </c>
      <c r="D364" s="42" t="str">
        <f aca="false">IF(COUNTIFS(日次入力!$A$4:$A$1500,"&gt;="&amp;DATE(2026,9,8),日次入力!$A$4:$A$1500,"&lt;="&amp;DATE(2026,9,14),日次入力!$C$4:$C$1500,"LINE常設")=0,"",SUMIFS(日次入力!$E$4:$E$1500,日次入力!$A$4:$A$1500,"&gt;="&amp;DATE(2026,9,8),日次入力!$A$4:$A$1500,"&lt;="&amp;DATE(2026,9,14),日次入力!$C$4:$C$1500,"LINE常設"))</f>
        <v/>
      </c>
      <c r="E364" s="42" t="str">
        <f aca="false">IF(COUNTIFS(日次入力!$A$4:$A$1500,"&gt;="&amp;DATE(2026,9,8),日次入力!$A$4:$A$1500,"&lt;="&amp;DATE(2026,9,14),日次入力!$C$4:$C$1500,"LINE常設")=0,"",SUMIFS(日次入力!$F$4:$F$1500,日次入力!$A$4:$A$1500,"&gt;="&amp;DATE(2026,9,8),日次入力!$A$4:$A$1500,"&lt;="&amp;DATE(2026,9,14),日次入力!$C$4:$C$1500,"LINE常設"))</f>
        <v/>
      </c>
      <c r="F364" s="42" t="str">
        <f aca="false">IF(COUNTIFS(日次入力!$A$4:$A$1500,"&gt;="&amp;DATE(2026,9,8),日次入力!$A$4:$A$1500,"&lt;="&amp;DATE(2026,9,14),日次入力!$C$4:$C$1500,"LINE常設")=0,"",SUMIFS(日次入力!$G$4:$G$1500,日次入力!$A$4:$A$1500,"&gt;="&amp;DATE(2026,9,8),日次入力!$A$4:$A$1500,"&lt;="&amp;DATE(2026,9,14),日次入力!$C$4:$C$1500,"LINE常設"))</f>
        <v/>
      </c>
      <c r="G364" s="15" t="str">
        <f aca="false">IFERROR(E364/D364,"")</f>
        <v/>
      </c>
      <c r="H364" s="37" t="str">
        <f aca="false">IFERROR(C364/E364,"")</f>
        <v/>
      </c>
      <c r="I364" s="37" t="str">
        <f aca="false">IFERROR(C364/D364*1000,"")</f>
        <v/>
      </c>
      <c r="J364" s="15" t="str">
        <f aca="false">IFERROR(F364/E364,"")</f>
        <v/>
      </c>
      <c r="K364" s="37" t="str">
        <f aca="false">IFERROR(C364/F364,"")</f>
        <v/>
      </c>
      <c r="L364" s="42" t="str">
        <f aca="false">IF(COUNTIFS(日次入力!$A$4:$A$1500,"&gt;="&amp;DATE(2026,9,8),日次入力!$A$4:$A$1500,"&lt;="&amp;DATE(2026,9,14),日次入力!$C$4:$C$1500,"LINE常設")=0,"",SUMIFS(日次入力!$H$4:$H$1500,日次入力!$A$4:$A$1500,"&gt;="&amp;DATE(2026,9,8),日次入力!$A$4:$A$1500,"&lt;="&amp;DATE(2026,9,14),日次入力!$C$4:$C$1500,"LINE常設"))</f>
        <v/>
      </c>
      <c r="M364" s="15" t="str">
        <f aca="false">IF(L364="","",IFERROR(L364/F364,""))</f>
        <v/>
      </c>
      <c r="N364" s="42" t="str">
        <f aca="false">IF(COUNTIFS(日次入力!$A$4:$A$1500,"&gt;="&amp;DATE(2026,9,8),日次入力!$A$4:$A$1500,"&lt;="&amp;DATE(2026,9,14),日次入力!$C$4:$C$1500,"LINE常設")=0,"",SUMIFS(日次入力!$I$4:$I$1500,日次入力!$A$4:$A$1500,"&gt;="&amp;DATE(2026,9,8),日次入力!$A$4:$A$1500,"&lt;="&amp;DATE(2026,9,14),日次入力!$C$4:$C$1500,"LINE常設"))</f>
        <v/>
      </c>
      <c r="O364" s="15" t="str">
        <f aca="false">IF(N364="","",IFERROR(N364/L364,""))</f>
        <v/>
      </c>
      <c r="P364" s="37" t="str">
        <f aca="false">IF(N364=0,"",IFERROR(C364/N364,""))</f>
        <v/>
      </c>
      <c r="Q364" s="38" t="str">
        <f aca="false">IF(N364=0,"",IFERROR(IF(C364/N364&lt;=用語集!$B$22,"◎ 許容内","✗ 超過"),"—"))</f>
        <v>—</v>
      </c>
      <c r="R364" s="39" t="str">
        <f aca="false">IFERROR(用語集!$B$22/P364,"")</f>
        <v/>
      </c>
    </row>
    <row r="365" customFormat="false" ht="15" hidden="false" customHeight="false" outlineLevel="0" collapsed="false">
      <c r="A365" s="34" t="s">
        <v>106</v>
      </c>
      <c r="B365" s="35" t="s">
        <v>107</v>
      </c>
      <c r="C365" s="41" t="str">
        <f aca="false">IF(COUNTIFS(日次入力!$A$4:$A$1500,"&gt;="&amp;DATE(2026,9,15),日次入力!$A$4:$A$1500,"&lt;="&amp;DATE(2026,9,21),日次入力!$C$4:$C$1500,"LINE常設")=0,"",SUMIFS(日次入力!$D$4:$D$1500,日次入力!$A$4:$A$1500,"&gt;="&amp;DATE(2026,9,15),日次入力!$A$4:$A$1500,"&lt;="&amp;DATE(2026,9,21),日次入力!$C$4:$C$1500,"LINE常設"))</f>
        <v/>
      </c>
      <c r="D365" s="42" t="str">
        <f aca="false">IF(COUNTIFS(日次入力!$A$4:$A$1500,"&gt;="&amp;DATE(2026,9,15),日次入力!$A$4:$A$1500,"&lt;="&amp;DATE(2026,9,21),日次入力!$C$4:$C$1500,"LINE常設")=0,"",SUMIFS(日次入力!$E$4:$E$1500,日次入力!$A$4:$A$1500,"&gt;="&amp;DATE(2026,9,15),日次入力!$A$4:$A$1500,"&lt;="&amp;DATE(2026,9,21),日次入力!$C$4:$C$1500,"LINE常設"))</f>
        <v/>
      </c>
      <c r="E365" s="42" t="str">
        <f aca="false">IF(COUNTIFS(日次入力!$A$4:$A$1500,"&gt;="&amp;DATE(2026,9,15),日次入力!$A$4:$A$1500,"&lt;="&amp;DATE(2026,9,21),日次入力!$C$4:$C$1500,"LINE常設")=0,"",SUMIFS(日次入力!$F$4:$F$1500,日次入力!$A$4:$A$1500,"&gt;="&amp;DATE(2026,9,15),日次入力!$A$4:$A$1500,"&lt;="&amp;DATE(2026,9,21),日次入力!$C$4:$C$1500,"LINE常設"))</f>
        <v/>
      </c>
      <c r="F365" s="42" t="str">
        <f aca="false">IF(COUNTIFS(日次入力!$A$4:$A$1500,"&gt;="&amp;DATE(2026,9,15),日次入力!$A$4:$A$1500,"&lt;="&amp;DATE(2026,9,21),日次入力!$C$4:$C$1500,"LINE常設")=0,"",SUMIFS(日次入力!$G$4:$G$1500,日次入力!$A$4:$A$1500,"&gt;="&amp;DATE(2026,9,15),日次入力!$A$4:$A$1500,"&lt;="&amp;DATE(2026,9,21),日次入力!$C$4:$C$1500,"LINE常設"))</f>
        <v/>
      </c>
      <c r="G365" s="15" t="str">
        <f aca="false">IFERROR(E365/D365,"")</f>
        <v/>
      </c>
      <c r="H365" s="37" t="str">
        <f aca="false">IFERROR(C365/E365,"")</f>
        <v/>
      </c>
      <c r="I365" s="37" t="str">
        <f aca="false">IFERROR(C365/D365*1000,"")</f>
        <v/>
      </c>
      <c r="J365" s="15" t="str">
        <f aca="false">IFERROR(F365/E365,"")</f>
        <v/>
      </c>
      <c r="K365" s="37" t="str">
        <f aca="false">IFERROR(C365/F365,"")</f>
        <v/>
      </c>
      <c r="L365" s="42" t="str">
        <f aca="false">IF(COUNTIFS(日次入力!$A$4:$A$1500,"&gt;="&amp;DATE(2026,9,15),日次入力!$A$4:$A$1500,"&lt;="&amp;DATE(2026,9,21),日次入力!$C$4:$C$1500,"LINE常設")=0,"",SUMIFS(日次入力!$H$4:$H$1500,日次入力!$A$4:$A$1500,"&gt;="&amp;DATE(2026,9,15),日次入力!$A$4:$A$1500,"&lt;="&amp;DATE(2026,9,21),日次入力!$C$4:$C$1500,"LINE常設"))</f>
        <v/>
      </c>
      <c r="M365" s="15" t="str">
        <f aca="false">IF(L365="","",IFERROR(L365/F365,""))</f>
        <v/>
      </c>
      <c r="N365" s="42" t="str">
        <f aca="false">IF(COUNTIFS(日次入力!$A$4:$A$1500,"&gt;="&amp;DATE(2026,9,15),日次入力!$A$4:$A$1500,"&lt;="&amp;DATE(2026,9,21),日次入力!$C$4:$C$1500,"LINE常設")=0,"",SUMIFS(日次入力!$I$4:$I$1500,日次入力!$A$4:$A$1500,"&gt;="&amp;DATE(2026,9,15),日次入力!$A$4:$A$1500,"&lt;="&amp;DATE(2026,9,21),日次入力!$C$4:$C$1500,"LINE常設"))</f>
        <v/>
      </c>
      <c r="O365" s="15" t="str">
        <f aca="false">IF(N365="","",IFERROR(N365/L365,""))</f>
        <v/>
      </c>
      <c r="P365" s="37" t="str">
        <f aca="false">IF(N365=0,"",IFERROR(C365/N365,""))</f>
        <v/>
      </c>
      <c r="Q365" s="38" t="str">
        <f aca="false">IF(N365=0,"",IFERROR(IF(C365/N365&lt;=用語集!$B$22,"◎ 許容内","✗ 超過"),"—"))</f>
        <v>—</v>
      </c>
      <c r="R365" s="39" t="str">
        <f aca="false">IFERROR(用語集!$B$22/P365,"")</f>
        <v/>
      </c>
    </row>
    <row r="366" customFormat="false" ht="15" hidden="false" customHeight="false" outlineLevel="0" collapsed="false">
      <c r="A366" s="34" t="s">
        <v>108</v>
      </c>
      <c r="B366" s="35" t="s">
        <v>109</v>
      </c>
      <c r="C366" s="41" t="str">
        <f aca="false">IF(COUNTIFS(日次入力!$A$4:$A$1500,"&gt;="&amp;DATE(2026,9,22),日次入力!$A$4:$A$1500,"&lt;="&amp;DATE(2026,9,28),日次入力!$C$4:$C$1500,"LINE常設")=0,"",SUMIFS(日次入力!$D$4:$D$1500,日次入力!$A$4:$A$1500,"&gt;="&amp;DATE(2026,9,22),日次入力!$A$4:$A$1500,"&lt;="&amp;DATE(2026,9,28),日次入力!$C$4:$C$1500,"LINE常設"))</f>
        <v/>
      </c>
      <c r="D366" s="42" t="str">
        <f aca="false">IF(COUNTIFS(日次入力!$A$4:$A$1500,"&gt;="&amp;DATE(2026,9,22),日次入力!$A$4:$A$1500,"&lt;="&amp;DATE(2026,9,28),日次入力!$C$4:$C$1500,"LINE常設")=0,"",SUMIFS(日次入力!$E$4:$E$1500,日次入力!$A$4:$A$1500,"&gt;="&amp;DATE(2026,9,22),日次入力!$A$4:$A$1500,"&lt;="&amp;DATE(2026,9,28),日次入力!$C$4:$C$1500,"LINE常設"))</f>
        <v/>
      </c>
      <c r="E366" s="42" t="str">
        <f aca="false">IF(COUNTIFS(日次入力!$A$4:$A$1500,"&gt;="&amp;DATE(2026,9,22),日次入力!$A$4:$A$1500,"&lt;="&amp;DATE(2026,9,28),日次入力!$C$4:$C$1500,"LINE常設")=0,"",SUMIFS(日次入力!$F$4:$F$1500,日次入力!$A$4:$A$1500,"&gt;="&amp;DATE(2026,9,22),日次入力!$A$4:$A$1500,"&lt;="&amp;DATE(2026,9,28),日次入力!$C$4:$C$1500,"LINE常設"))</f>
        <v/>
      </c>
      <c r="F366" s="42" t="str">
        <f aca="false">IF(COUNTIFS(日次入力!$A$4:$A$1500,"&gt;="&amp;DATE(2026,9,22),日次入力!$A$4:$A$1500,"&lt;="&amp;DATE(2026,9,28),日次入力!$C$4:$C$1500,"LINE常設")=0,"",SUMIFS(日次入力!$G$4:$G$1500,日次入力!$A$4:$A$1500,"&gt;="&amp;DATE(2026,9,22),日次入力!$A$4:$A$1500,"&lt;="&amp;DATE(2026,9,28),日次入力!$C$4:$C$1500,"LINE常設"))</f>
        <v/>
      </c>
      <c r="G366" s="15" t="str">
        <f aca="false">IFERROR(E366/D366,"")</f>
        <v/>
      </c>
      <c r="H366" s="37" t="str">
        <f aca="false">IFERROR(C366/E366,"")</f>
        <v/>
      </c>
      <c r="I366" s="37" t="str">
        <f aca="false">IFERROR(C366/D366*1000,"")</f>
        <v/>
      </c>
      <c r="J366" s="15" t="str">
        <f aca="false">IFERROR(F366/E366,"")</f>
        <v/>
      </c>
      <c r="K366" s="37" t="str">
        <f aca="false">IFERROR(C366/F366,"")</f>
        <v/>
      </c>
      <c r="L366" s="42" t="str">
        <f aca="false">IF(COUNTIFS(日次入力!$A$4:$A$1500,"&gt;="&amp;DATE(2026,9,22),日次入力!$A$4:$A$1500,"&lt;="&amp;DATE(2026,9,28),日次入力!$C$4:$C$1500,"LINE常設")=0,"",SUMIFS(日次入力!$H$4:$H$1500,日次入力!$A$4:$A$1500,"&gt;="&amp;DATE(2026,9,22),日次入力!$A$4:$A$1500,"&lt;="&amp;DATE(2026,9,28),日次入力!$C$4:$C$1500,"LINE常設"))</f>
        <v/>
      </c>
      <c r="M366" s="15" t="str">
        <f aca="false">IF(L366="","",IFERROR(L366/F366,""))</f>
        <v/>
      </c>
      <c r="N366" s="42" t="str">
        <f aca="false">IF(COUNTIFS(日次入力!$A$4:$A$1500,"&gt;="&amp;DATE(2026,9,22),日次入力!$A$4:$A$1500,"&lt;="&amp;DATE(2026,9,28),日次入力!$C$4:$C$1500,"LINE常設")=0,"",SUMIFS(日次入力!$I$4:$I$1500,日次入力!$A$4:$A$1500,"&gt;="&amp;DATE(2026,9,22),日次入力!$A$4:$A$1500,"&lt;="&amp;DATE(2026,9,28),日次入力!$C$4:$C$1500,"LINE常設"))</f>
        <v/>
      </c>
      <c r="O366" s="15" t="str">
        <f aca="false">IF(N366="","",IFERROR(N366/L366,""))</f>
        <v/>
      </c>
      <c r="P366" s="37" t="str">
        <f aca="false">IF(N366=0,"",IFERROR(C366/N366,""))</f>
        <v/>
      </c>
      <c r="Q366" s="38" t="str">
        <f aca="false">IF(N366=0,"",IFERROR(IF(C366/N366&lt;=用語集!$B$22,"◎ 許容内","✗ 超過"),"—"))</f>
        <v>—</v>
      </c>
      <c r="R366" s="39" t="str">
        <f aca="false">IFERROR(用語集!$B$22/P366,"")</f>
        <v/>
      </c>
    </row>
    <row r="367" customFormat="false" ht="15" hidden="false" customHeight="false" outlineLevel="0" collapsed="false">
      <c r="A367" s="34" t="s">
        <v>110</v>
      </c>
      <c r="B367" s="35" t="s">
        <v>111</v>
      </c>
      <c r="C367" s="41" t="str">
        <f aca="false">IF(COUNTIFS(日次入力!$A$4:$A$1500,"&gt;="&amp;DATE(2026,9,29),日次入力!$A$4:$A$1500,"&lt;="&amp;DATE(2026,10,5),日次入力!$C$4:$C$1500,"LINE常設")=0,"",SUMIFS(日次入力!$D$4:$D$1500,日次入力!$A$4:$A$1500,"&gt;="&amp;DATE(2026,9,29),日次入力!$A$4:$A$1500,"&lt;="&amp;DATE(2026,10,5),日次入力!$C$4:$C$1500,"LINE常設"))</f>
        <v/>
      </c>
      <c r="D367" s="42" t="str">
        <f aca="false">IF(COUNTIFS(日次入力!$A$4:$A$1500,"&gt;="&amp;DATE(2026,9,29),日次入力!$A$4:$A$1500,"&lt;="&amp;DATE(2026,10,5),日次入力!$C$4:$C$1500,"LINE常設")=0,"",SUMIFS(日次入力!$E$4:$E$1500,日次入力!$A$4:$A$1500,"&gt;="&amp;DATE(2026,9,29),日次入力!$A$4:$A$1500,"&lt;="&amp;DATE(2026,10,5),日次入力!$C$4:$C$1500,"LINE常設"))</f>
        <v/>
      </c>
      <c r="E367" s="42" t="str">
        <f aca="false">IF(COUNTIFS(日次入力!$A$4:$A$1500,"&gt;="&amp;DATE(2026,9,29),日次入力!$A$4:$A$1500,"&lt;="&amp;DATE(2026,10,5),日次入力!$C$4:$C$1500,"LINE常設")=0,"",SUMIFS(日次入力!$F$4:$F$1500,日次入力!$A$4:$A$1500,"&gt;="&amp;DATE(2026,9,29),日次入力!$A$4:$A$1500,"&lt;="&amp;DATE(2026,10,5),日次入力!$C$4:$C$1500,"LINE常設"))</f>
        <v/>
      </c>
      <c r="F367" s="42" t="str">
        <f aca="false">IF(COUNTIFS(日次入力!$A$4:$A$1500,"&gt;="&amp;DATE(2026,9,29),日次入力!$A$4:$A$1500,"&lt;="&amp;DATE(2026,10,5),日次入力!$C$4:$C$1500,"LINE常設")=0,"",SUMIFS(日次入力!$G$4:$G$1500,日次入力!$A$4:$A$1500,"&gt;="&amp;DATE(2026,9,29),日次入力!$A$4:$A$1500,"&lt;="&amp;DATE(2026,10,5),日次入力!$C$4:$C$1500,"LINE常設"))</f>
        <v/>
      </c>
      <c r="G367" s="15" t="str">
        <f aca="false">IFERROR(E367/D367,"")</f>
        <v/>
      </c>
      <c r="H367" s="37" t="str">
        <f aca="false">IFERROR(C367/E367,"")</f>
        <v/>
      </c>
      <c r="I367" s="37" t="str">
        <f aca="false">IFERROR(C367/D367*1000,"")</f>
        <v/>
      </c>
      <c r="J367" s="15" t="str">
        <f aca="false">IFERROR(F367/E367,"")</f>
        <v/>
      </c>
      <c r="K367" s="37" t="str">
        <f aca="false">IFERROR(C367/F367,"")</f>
        <v/>
      </c>
      <c r="L367" s="42" t="str">
        <f aca="false">IF(COUNTIFS(日次入力!$A$4:$A$1500,"&gt;="&amp;DATE(2026,9,29),日次入力!$A$4:$A$1500,"&lt;="&amp;DATE(2026,10,5),日次入力!$C$4:$C$1500,"LINE常設")=0,"",SUMIFS(日次入力!$H$4:$H$1500,日次入力!$A$4:$A$1500,"&gt;="&amp;DATE(2026,9,29),日次入力!$A$4:$A$1500,"&lt;="&amp;DATE(2026,10,5),日次入力!$C$4:$C$1500,"LINE常設"))</f>
        <v/>
      </c>
      <c r="M367" s="15" t="str">
        <f aca="false">IF(L367="","",IFERROR(L367/F367,""))</f>
        <v/>
      </c>
      <c r="N367" s="42" t="str">
        <f aca="false">IF(COUNTIFS(日次入力!$A$4:$A$1500,"&gt;="&amp;DATE(2026,9,29),日次入力!$A$4:$A$1500,"&lt;="&amp;DATE(2026,10,5),日次入力!$C$4:$C$1500,"LINE常設")=0,"",SUMIFS(日次入力!$I$4:$I$1500,日次入力!$A$4:$A$1500,"&gt;="&amp;DATE(2026,9,29),日次入力!$A$4:$A$1500,"&lt;="&amp;DATE(2026,10,5),日次入力!$C$4:$C$1500,"LINE常設"))</f>
        <v/>
      </c>
      <c r="O367" s="15" t="str">
        <f aca="false">IF(N367="","",IFERROR(N367/L367,""))</f>
        <v/>
      </c>
      <c r="P367" s="37" t="str">
        <f aca="false">IF(N367=0,"",IFERROR(C367/N367,""))</f>
        <v/>
      </c>
      <c r="Q367" s="38" t="str">
        <f aca="false">IF(N367=0,"",IFERROR(IF(C367/N367&lt;=用語集!$B$22,"◎ 許容内","✗ 超過"),"—"))</f>
        <v>—</v>
      </c>
      <c r="R367" s="39" t="str">
        <f aca="false">IFERROR(用語集!$B$22/P367,"")</f>
        <v/>
      </c>
    </row>
    <row r="368" customFormat="false" ht="15" hidden="false" customHeight="false" outlineLevel="0" collapsed="false">
      <c r="A368" s="34" t="s">
        <v>112</v>
      </c>
      <c r="B368" s="35" t="s">
        <v>113</v>
      </c>
      <c r="C368" s="41" t="str">
        <f aca="false">IF(COUNTIFS(日次入力!$A$4:$A$1500,"&gt;="&amp;DATE(2026,10,6),日次入力!$A$4:$A$1500,"&lt;="&amp;DATE(2026,10,12),日次入力!$C$4:$C$1500,"LINE常設")=0,"",SUMIFS(日次入力!$D$4:$D$1500,日次入力!$A$4:$A$1500,"&gt;="&amp;DATE(2026,10,6),日次入力!$A$4:$A$1500,"&lt;="&amp;DATE(2026,10,12),日次入力!$C$4:$C$1500,"LINE常設"))</f>
        <v/>
      </c>
      <c r="D368" s="42" t="str">
        <f aca="false">IF(COUNTIFS(日次入力!$A$4:$A$1500,"&gt;="&amp;DATE(2026,10,6),日次入力!$A$4:$A$1500,"&lt;="&amp;DATE(2026,10,12),日次入力!$C$4:$C$1500,"LINE常設")=0,"",SUMIFS(日次入力!$E$4:$E$1500,日次入力!$A$4:$A$1500,"&gt;="&amp;DATE(2026,10,6),日次入力!$A$4:$A$1500,"&lt;="&amp;DATE(2026,10,12),日次入力!$C$4:$C$1500,"LINE常設"))</f>
        <v/>
      </c>
      <c r="E368" s="42" t="str">
        <f aca="false">IF(COUNTIFS(日次入力!$A$4:$A$1500,"&gt;="&amp;DATE(2026,10,6),日次入力!$A$4:$A$1500,"&lt;="&amp;DATE(2026,10,12),日次入力!$C$4:$C$1500,"LINE常設")=0,"",SUMIFS(日次入力!$F$4:$F$1500,日次入力!$A$4:$A$1500,"&gt;="&amp;DATE(2026,10,6),日次入力!$A$4:$A$1500,"&lt;="&amp;DATE(2026,10,12),日次入力!$C$4:$C$1500,"LINE常設"))</f>
        <v/>
      </c>
      <c r="F368" s="42" t="str">
        <f aca="false">IF(COUNTIFS(日次入力!$A$4:$A$1500,"&gt;="&amp;DATE(2026,10,6),日次入力!$A$4:$A$1500,"&lt;="&amp;DATE(2026,10,12),日次入力!$C$4:$C$1500,"LINE常設")=0,"",SUMIFS(日次入力!$G$4:$G$1500,日次入力!$A$4:$A$1500,"&gt;="&amp;DATE(2026,10,6),日次入力!$A$4:$A$1500,"&lt;="&amp;DATE(2026,10,12),日次入力!$C$4:$C$1500,"LINE常設"))</f>
        <v/>
      </c>
      <c r="G368" s="15" t="str">
        <f aca="false">IFERROR(E368/D368,"")</f>
        <v/>
      </c>
      <c r="H368" s="37" t="str">
        <f aca="false">IFERROR(C368/E368,"")</f>
        <v/>
      </c>
      <c r="I368" s="37" t="str">
        <f aca="false">IFERROR(C368/D368*1000,"")</f>
        <v/>
      </c>
      <c r="J368" s="15" t="str">
        <f aca="false">IFERROR(F368/E368,"")</f>
        <v/>
      </c>
      <c r="K368" s="37" t="str">
        <f aca="false">IFERROR(C368/F368,"")</f>
        <v/>
      </c>
      <c r="L368" s="42" t="str">
        <f aca="false">IF(COUNTIFS(日次入力!$A$4:$A$1500,"&gt;="&amp;DATE(2026,10,6),日次入力!$A$4:$A$1500,"&lt;="&amp;DATE(2026,10,12),日次入力!$C$4:$C$1500,"LINE常設")=0,"",SUMIFS(日次入力!$H$4:$H$1500,日次入力!$A$4:$A$1500,"&gt;="&amp;DATE(2026,10,6),日次入力!$A$4:$A$1500,"&lt;="&amp;DATE(2026,10,12),日次入力!$C$4:$C$1500,"LINE常設"))</f>
        <v/>
      </c>
      <c r="M368" s="15" t="str">
        <f aca="false">IF(L368="","",IFERROR(L368/F368,""))</f>
        <v/>
      </c>
      <c r="N368" s="42" t="str">
        <f aca="false">IF(COUNTIFS(日次入力!$A$4:$A$1500,"&gt;="&amp;DATE(2026,10,6),日次入力!$A$4:$A$1500,"&lt;="&amp;DATE(2026,10,12),日次入力!$C$4:$C$1500,"LINE常設")=0,"",SUMIFS(日次入力!$I$4:$I$1500,日次入力!$A$4:$A$1500,"&gt;="&amp;DATE(2026,10,6),日次入力!$A$4:$A$1500,"&lt;="&amp;DATE(2026,10,12),日次入力!$C$4:$C$1500,"LINE常設"))</f>
        <v/>
      </c>
      <c r="O368" s="15" t="str">
        <f aca="false">IF(N368="","",IFERROR(N368/L368,""))</f>
        <v/>
      </c>
      <c r="P368" s="37" t="str">
        <f aca="false">IF(N368=0,"",IFERROR(C368/N368,""))</f>
        <v/>
      </c>
      <c r="Q368" s="38" t="str">
        <f aca="false">IF(N368=0,"",IFERROR(IF(C368/N368&lt;=用語集!$B$22,"◎ 許容内","✗ 超過"),"—"))</f>
        <v>—</v>
      </c>
      <c r="R368" s="39" t="str">
        <f aca="false">IFERROR(用語集!$B$22/P368,"")</f>
        <v/>
      </c>
    </row>
    <row r="369" customFormat="false" ht="15" hidden="false" customHeight="false" outlineLevel="0" collapsed="false">
      <c r="A369" s="34" t="s">
        <v>114</v>
      </c>
      <c r="B369" s="35" t="s">
        <v>115</v>
      </c>
      <c r="C369" s="41" t="str">
        <f aca="false">IF(COUNTIFS(日次入力!$A$4:$A$1500,"&gt;="&amp;DATE(2026,10,13),日次入力!$A$4:$A$1500,"&lt;="&amp;DATE(2026,10,19),日次入力!$C$4:$C$1500,"LINE常設")=0,"",SUMIFS(日次入力!$D$4:$D$1500,日次入力!$A$4:$A$1500,"&gt;="&amp;DATE(2026,10,13),日次入力!$A$4:$A$1500,"&lt;="&amp;DATE(2026,10,19),日次入力!$C$4:$C$1500,"LINE常設"))</f>
        <v/>
      </c>
      <c r="D369" s="42" t="str">
        <f aca="false">IF(COUNTIFS(日次入力!$A$4:$A$1500,"&gt;="&amp;DATE(2026,10,13),日次入力!$A$4:$A$1500,"&lt;="&amp;DATE(2026,10,19),日次入力!$C$4:$C$1500,"LINE常設")=0,"",SUMIFS(日次入力!$E$4:$E$1500,日次入力!$A$4:$A$1500,"&gt;="&amp;DATE(2026,10,13),日次入力!$A$4:$A$1500,"&lt;="&amp;DATE(2026,10,19),日次入力!$C$4:$C$1500,"LINE常設"))</f>
        <v/>
      </c>
      <c r="E369" s="42" t="str">
        <f aca="false">IF(COUNTIFS(日次入力!$A$4:$A$1500,"&gt;="&amp;DATE(2026,10,13),日次入力!$A$4:$A$1500,"&lt;="&amp;DATE(2026,10,19),日次入力!$C$4:$C$1500,"LINE常設")=0,"",SUMIFS(日次入力!$F$4:$F$1500,日次入力!$A$4:$A$1500,"&gt;="&amp;DATE(2026,10,13),日次入力!$A$4:$A$1500,"&lt;="&amp;DATE(2026,10,19),日次入力!$C$4:$C$1500,"LINE常設"))</f>
        <v/>
      </c>
      <c r="F369" s="42" t="str">
        <f aca="false">IF(COUNTIFS(日次入力!$A$4:$A$1500,"&gt;="&amp;DATE(2026,10,13),日次入力!$A$4:$A$1500,"&lt;="&amp;DATE(2026,10,19),日次入力!$C$4:$C$1500,"LINE常設")=0,"",SUMIFS(日次入力!$G$4:$G$1500,日次入力!$A$4:$A$1500,"&gt;="&amp;DATE(2026,10,13),日次入力!$A$4:$A$1500,"&lt;="&amp;DATE(2026,10,19),日次入力!$C$4:$C$1500,"LINE常設"))</f>
        <v/>
      </c>
      <c r="G369" s="15" t="str">
        <f aca="false">IFERROR(E369/D369,"")</f>
        <v/>
      </c>
      <c r="H369" s="37" t="str">
        <f aca="false">IFERROR(C369/E369,"")</f>
        <v/>
      </c>
      <c r="I369" s="37" t="str">
        <f aca="false">IFERROR(C369/D369*1000,"")</f>
        <v/>
      </c>
      <c r="J369" s="15" t="str">
        <f aca="false">IFERROR(F369/E369,"")</f>
        <v/>
      </c>
      <c r="K369" s="37" t="str">
        <f aca="false">IFERROR(C369/F369,"")</f>
        <v/>
      </c>
      <c r="L369" s="42" t="str">
        <f aca="false">IF(COUNTIFS(日次入力!$A$4:$A$1500,"&gt;="&amp;DATE(2026,10,13),日次入力!$A$4:$A$1500,"&lt;="&amp;DATE(2026,10,19),日次入力!$C$4:$C$1500,"LINE常設")=0,"",SUMIFS(日次入力!$H$4:$H$1500,日次入力!$A$4:$A$1500,"&gt;="&amp;DATE(2026,10,13),日次入力!$A$4:$A$1500,"&lt;="&amp;DATE(2026,10,19),日次入力!$C$4:$C$1500,"LINE常設"))</f>
        <v/>
      </c>
      <c r="M369" s="15" t="str">
        <f aca="false">IF(L369="","",IFERROR(L369/F369,""))</f>
        <v/>
      </c>
      <c r="N369" s="42" t="str">
        <f aca="false">IF(COUNTIFS(日次入力!$A$4:$A$1500,"&gt;="&amp;DATE(2026,10,13),日次入力!$A$4:$A$1500,"&lt;="&amp;DATE(2026,10,19),日次入力!$C$4:$C$1500,"LINE常設")=0,"",SUMIFS(日次入力!$I$4:$I$1500,日次入力!$A$4:$A$1500,"&gt;="&amp;DATE(2026,10,13),日次入力!$A$4:$A$1500,"&lt;="&amp;DATE(2026,10,19),日次入力!$C$4:$C$1500,"LINE常設"))</f>
        <v/>
      </c>
      <c r="O369" s="15" t="str">
        <f aca="false">IF(N369="","",IFERROR(N369/L369,""))</f>
        <v/>
      </c>
      <c r="P369" s="37" t="str">
        <f aca="false">IF(N369=0,"",IFERROR(C369/N369,""))</f>
        <v/>
      </c>
      <c r="Q369" s="38" t="str">
        <f aca="false">IF(N369=0,"",IFERROR(IF(C369/N369&lt;=用語集!$B$22,"◎ 許容内","✗ 超過"),"—"))</f>
        <v>—</v>
      </c>
      <c r="R369" s="39" t="str">
        <f aca="false">IFERROR(用語集!$B$22/P369,"")</f>
        <v/>
      </c>
    </row>
    <row r="370" customFormat="false" ht="15" hidden="false" customHeight="false" outlineLevel="0" collapsed="false">
      <c r="A370" s="34" t="s">
        <v>116</v>
      </c>
      <c r="B370" s="35" t="s">
        <v>117</v>
      </c>
      <c r="C370" s="41" t="str">
        <f aca="false">IF(COUNTIFS(日次入力!$A$4:$A$1500,"&gt;="&amp;DATE(2026,10,20),日次入力!$A$4:$A$1500,"&lt;="&amp;DATE(2026,10,26),日次入力!$C$4:$C$1500,"LINE常設")=0,"",SUMIFS(日次入力!$D$4:$D$1500,日次入力!$A$4:$A$1500,"&gt;="&amp;DATE(2026,10,20),日次入力!$A$4:$A$1500,"&lt;="&amp;DATE(2026,10,26),日次入力!$C$4:$C$1500,"LINE常設"))</f>
        <v/>
      </c>
      <c r="D370" s="42" t="str">
        <f aca="false">IF(COUNTIFS(日次入力!$A$4:$A$1500,"&gt;="&amp;DATE(2026,10,20),日次入力!$A$4:$A$1500,"&lt;="&amp;DATE(2026,10,26),日次入力!$C$4:$C$1500,"LINE常設")=0,"",SUMIFS(日次入力!$E$4:$E$1500,日次入力!$A$4:$A$1500,"&gt;="&amp;DATE(2026,10,20),日次入力!$A$4:$A$1500,"&lt;="&amp;DATE(2026,10,26),日次入力!$C$4:$C$1500,"LINE常設"))</f>
        <v/>
      </c>
      <c r="E370" s="42" t="str">
        <f aca="false">IF(COUNTIFS(日次入力!$A$4:$A$1500,"&gt;="&amp;DATE(2026,10,20),日次入力!$A$4:$A$1500,"&lt;="&amp;DATE(2026,10,26),日次入力!$C$4:$C$1500,"LINE常設")=0,"",SUMIFS(日次入力!$F$4:$F$1500,日次入力!$A$4:$A$1500,"&gt;="&amp;DATE(2026,10,20),日次入力!$A$4:$A$1500,"&lt;="&amp;DATE(2026,10,26),日次入力!$C$4:$C$1500,"LINE常設"))</f>
        <v/>
      </c>
      <c r="F370" s="42" t="str">
        <f aca="false">IF(COUNTIFS(日次入力!$A$4:$A$1500,"&gt;="&amp;DATE(2026,10,20),日次入力!$A$4:$A$1500,"&lt;="&amp;DATE(2026,10,26),日次入力!$C$4:$C$1500,"LINE常設")=0,"",SUMIFS(日次入力!$G$4:$G$1500,日次入力!$A$4:$A$1500,"&gt;="&amp;DATE(2026,10,20),日次入力!$A$4:$A$1500,"&lt;="&amp;DATE(2026,10,26),日次入力!$C$4:$C$1500,"LINE常設"))</f>
        <v/>
      </c>
      <c r="G370" s="15" t="str">
        <f aca="false">IFERROR(E370/D370,"")</f>
        <v/>
      </c>
      <c r="H370" s="37" t="str">
        <f aca="false">IFERROR(C370/E370,"")</f>
        <v/>
      </c>
      <c r="I370" s="37" t="str">
        <f aca="false">IFERROR(C370/D370*1000,"")</f>
        <v/>
      </c>
      <c r="J370" s="15" t="str">
        <f aca="false">IFERROR(F370/E370,"")</f>
        <v/>
      </c>
      <c r="K370" s="37" t="str">
        <f aca="false">IFERROR(C370/F370,"")</f>
        <v/>
      </c>
      <c r="L370" s="42" t="str">
        <f aca="false">IF(COUNTIFS(日次入力!$A$4:$A$1500,"&gt;="&amp;DATE(2026,10,20),日次入力!$A$4:$A$1500,"&lt;="&amp;DATE(2026,10,26),日次入力!$C$4:$C$1500,"LINE常設")=0,"",SUMIFS(日次入力!$H$4:$H$1500,日次入力!$A$4:$A$1500,"&gt;="&amp;DATE(2026,10,20),日次入力!$A$4:$A$1500,"&lt;="&amp;DATE(2026,10,26),日次入力!$C$4:$C$1500,"LINE常設"))</f>
        <v/>
      </c>
      <c r="M370" s="15" t="str">
        <f aca="false">IF(L370="","",IFERROR(L370/F370,""))</f>
        <v/>
      </c>
      <c r="N370" s="42" t="str">
        <f aca="false">IF(COUNTIFS(日次入力!$A$4:$A$1500,"&gt;="&amp;DATE(2026,10,20),日次入力!$A$4:$A$1500,"&lt;="&amp;DATE(2026,10,26),日次入力!$C$4:$C$1500,"LINE常設")=0,"",SUMIFS(日次入力!$I$4:$I$1500,日次入力!$A$4:$A$1500,"&gt;="&amp;DATE(2026,10,20),日次入力!$A$4:$A$1500,"&lt;="&amp;DATE(2026,10,26),日次入力!$C$4:$C$1500,"LINE常設"))</f>
        <v/>
      </c>
      <c r="O370" s="15" t="str">
        <f aca="false">IF(N370="","",IFERROR(N370/L370,""))</f>
        <v/>
      </c>
      <c r="P370" s="37" t="str">
        <f aca="false">IF(N370=0,"",IFERROR(C370/N370,""))</f>
        <v/>
      </c>
      <c r="Q370" s="38" t="str">
        <f aca="false">IF(N370=0,"",IFERROR(IF(C370/N370&lt;=用語集!$B$22,"◎ 許容内","✗ 超過"),"—"))</f>
        <v>—</v>
      </c>
      <c r="R370" s="39" t="str">
        <f aca="false">IFERROR(用語集!$B$22/P370,"")</f>
        <v/>
      </c>
    </row>
    <row r="371" customFormat="false" ht="15" hidden="false" customHeight="false" outlineLevel="0" collapsed="false">
      <c r="A371" s="34" t="s">
        <v>118</v>
      </c>
      <c r="B371" s="35" t="s">
        <v>119</v>
      </c>
      <c r="C371" s="41" t="str">
        <f aca="false">IF(COUNTIFS(日次入力!$A$4:$A$1500,"&gt;="&amp;DATE(2026,10,27),日次入力!$A$4:$A$1500,"&lt;="&amp;DATE(2026,11,2),日次入力!$C$4:$C$1500,"LINE常設")=0,"",SUMIFS(日次入力!$D$4:$D$1500,日次入力!$A$4:$A$1500,"&gt;="&amp;DATE(2026,10,27),日次入力!$A$4:$A$1500,"&lt;="&amp;DATE(2026,11,2),日次入力!$C$4:$C$1500,"LINE常設"))</f>
        <v/>
      </c>
      <c r="D371" s="42" t="str">
        <f aca="false">IF(COUNTIFS(日次入力!$A$4:$A$1500,"&gt;="&amp;DATE(2026,10,27),日次入力!$A$4:$A$1500,"&lt;="&amp;DATE(2026,11,2),日次入力!$C$4:$C$1500,"LINE常設")=0,"",SUMIFS(日次入力!$E$4:$E$1500,日次入力!$A$4:$A$1500,"&gt;="&amp;DATE(2026,10,27),日次入力!$A$4:$A$1500,"&lt;="&amp;DATE(2026,11,2),日次入力!$C$4:$C$1500,"LINE常設"))</f>
        <v/>
      </c>
      <c r="E371" s="42" t="str">
        <f aca="false">IF(COUNTIFS(日次入力!$A$4:$A$1500,"&gt;="&amp;DATE(2026,10,27),日次入力!$A$4:$A$1500,"&lt;="&amp;DATE(2026,11,2),日次入力!$C$4:$C$1500,"LINE常設")=0,"",SUMIFS(日次入力!$F$4:$F$1500,日次入力!$A$4:$A$1500,"&gt;="&amp;DATE(2026,10,27),日次入力!$A$4:$A$1500,"&lt;="&amp;DATE(2026,11,2),日次入力!$C$4:$C$1500,"LINE常設"))</f>
        <v/>
      </c>
      <c r="F371" s="42" t="str">
        <f aca="false">IF(COUNTIFS(日次入力!$A$4:$A$1500,"&gt;="&amp;DATE(2026,10,27),日次入力!$A$4:$A$1500,"&lt;="&amp;DATE(2026,11,2),日次入力!$C$4:$C$1500,"LINE常設")=0,"",SUMIFS(日次入力!$G$4:$G$1500,日次入力!$A$4:$A$1500,"&gt;="&amp;DATE(2026,10,27),日次入力!$A$4:$A$1500,"&lt;="&amp;DATE(2026,11,2),日次入力!$C$4:$C$1500,"LINE常設"))</f>
        <v/>
      </c>
      <c r="G371" s="15" t="str">
        <f aca="false">IFERROR(E371/D371,"")</f>
        <v/>
      </c>
      <c r="H371" s="37" t="str">
        <f aca="false">IFERROR(C371/E371,"")</f>
        <v/>
      </c>
      <c r="I371" s="37" t="str">
        <f aca="false">IFERROR(C371/D371*1000,"")</f>
        <v/>
      </c>
      <c r="J371" s="15" t="str">
        <f aca="false">IFERROR(F371/E371,"")</f>
        <v/>
      </c>
      <c r="K371" s="37" t="str">
        <f aca="false">IFERROR(C371/F371,"")</f>
        <v/>
      </c>
      <c r="L371" s="42" t="str">
        <f aca="false">IF(COUNTIFS(日次入力!$A$4:$A$1500,"&gt;="&amp;DATE(2026,10,27),日次入力!$A$4:$A$1500,"&lt;="&amp;DATE(2026,11,2),日次入力!$C$4:$C$1500,"LINE常設")=0,"",SUMIFS(日次入力!$H$4:$H$1500,日次入力!$A$4:$A$1500,"&gt;="&amp;DATE(2026,10,27),日次入力!$A$4:$A$1500,"&lt;="&amp;DATE(2026,11,2),日次入力!$C$4:$C$1500,"LINE常設"))</f>
        <v/>
      </c>
      <c r="M371" s="15" t="str">
        <f aca="false">IF(L371="","",IFERROR(L371/F371,""))</f>
        <v/>
      </c>
      <c r="N371" s="42" t="str">
        <f aca="false">IF(COUNTIFS(日次入力!$A$4:$A$1500,"&gt;="&amp;DATE(2026,10,27),日次入力!$A$4:$A$1500,"&lt;="&amp;DATE(2026,11,2),日次入力!$C$4:$C$1500,"LINE常設")=0,"",SUMIFS(日次入力!$I$4:$I$1500,日次入力!$A$4:$A$1500,"&gt;="&amp;DATE(2026,10,27),日次入力!$A$4:$A$1500,"&lt;="&amp;DATE(2026,11,2),日次入力!$C$4:$C$1500,"LINE常設"))</f>
        <v/>
      </c>
      <c r="O371" s="15" t="str">
        <f aca="false">IF(N371="","",IFERROR(N371/L371,""))</f>
        <v/>
      </c>
      <c r="P371" s="37" t="str">
        <f aca="false">IF(N371=0,"",IFERROR(C371/N371,""))</f>
        <v/>
      </c>
      <c r="Q371" s="38" t="str">
        <f aca="false">IF(N371=0,"",IFERROR(IF(C371/N371&lt;=用語集!$B$22,"◎ 許容内","✗ 超過"),"—"))</f>
        <v>—</v>
      </c>
      <c r="R371" s="39" t="str">
        <f aca="false">IFERROR(用語集!$B$22/P371,"")</f>
        <v/>
      </c>
    </row>
    <row r="372" customFormat="false" ht="15" hidden="false" customHeight="false" outlineLevel="0" collapsed="false">
      <c r="A372" s="34" t="s">
        <v>120</v>
      </c>
      <c r="B372" s="35" t="s">
        <v>121</v>
      </c>
      <c r="C372" s="41" t="str">
        <f aca="false">IF(COUNTIFS(日次入力!$A$4:$A$1500,"&gt;="&amp;DATE(2026,11,3),日次入力!$A$4:$A$1500,"&lt;="&amp;DATE(2026,11,9),日次入力!$C$4:$C$1500,"LINE常設")=0,"",SUMIFS(日次入力!$D$4:$D$1500,日次入力!$A$4:$A$1500,"&gt;="&amp;DATE(2026,11,3),日次入力!$A$4:$A$1500,"&lt;="&amp;DATE(2026,11,9),日次入力!$C$4:$C$1500,"LINE常設"))</f>
        <v/>
      </c>
      <c r="D372" s="42" t="str">
        <f aca="false">IF(COUNTIFS(日次入力!$A$4:$A$1500,"&gt;="&amp;DATE(2026,11,3),日次入力!$A$4:$A$1500,"&lt;="&amp;DATE(2026,11,9),日次入力!$C$4:$C$1500,"LINE常設")=0,"",SUMIFS(日次入力!$E$4:$E$1500,日次入力!$A$4:$A$1500,"&gt;="&amp;DATE(2026,11,3),日次入力!$A$4:$A$1500,"&lt;="&amp;DATE(2026,11,9),日次入力!$C$4:$C$1500,"LINE常設"))</f>
        <v/>
      </c>
      <c r="E372" s="42" t="str">
        <f aca="false">IF(COUNTIFS(日次入力!$A$4:$A$1500,"&gt;="&amp;DATE(2026,11,3),日次入力!$A$4:$A$1500,"&lt;="&amp;DATE(2026,11,9),日次入力!$C$4:$C$1500,"LINE常設")=0,"",SUMIFS(日次入力!$F$4:$F$1500,日次入力!$A$4:$A$1500,"&gt;="&amp;DATE(2026,11,3),日次入力!$A$4:$A$1500,"&lt;="&amp;DATE(2026,11,9),日次入力!$C$4:$C$1500,"LINE常設"))</f>
        <v/>
      </c>
      <c r="F372" s="42" t="str">
        <f aca="false">IF(COUNTIFS(日次入力!$A$4:$A$1500,"&gt;="&amp;DATE(2026,11,3),日次入力!$A$4:$A$1500,"&lt;="&amp;DATE(2026,11,9),日次入力!$C$4:$C$1500,"LINE常設")=0,"",SUMIFS(日次入力!$G$4:$G$1500,日次入力!$A$4:$A$1500,"&gt;="&amp;DATE(2026,11,3),日次入力!$A$4:$A$1500,"&lt;="&amp;DATE(2026,11,9),日次入力!$C$4:$C$1500,"LINE常設"))</f>
        <v/>
      </c>
      <c r="G372" s="15" t="str">
        <f aca="false">IFERROR(E372/D372,"")</f>
        <v/>
      </c>
      <c r="H372" s="37" t="str">
        <f aca="false">IFERROR(C372/E372,"")</f>
        <v/>
      </c>
      <c r="I372" s="37" t="str">
        <f aca="false">IFERROR(C372/D372*1000,"")</f>
        <v/>
      </c>
      <c r="J372" s="15" t="str">
        <f aca="false">IFERROR(F372/E372,"")</f>
        <v/>
      </c>
      <c r="K372" s="37" t="str">
        <f aca="false">IFERROR(C372/F372,"")</f>
        <v/>
      </c>
      <c r="L372" s="42" t="str">
        <f aca="false">IF(COUNTIFS(日次入力!$A$4:$A$1500,"&gt;="&amp;DATE(2026,11,3),日次入力!$A$4:$A$1500,"&lt;="&amp;DATE(2026,11,9),日次入力!$C$4:$C$1500,"LINE常設")=0,"",SUMIFS(日次入力!$H$4:$H$1500,日次入力!$A$4:$A$1500,"&gt;="&amp;DATE(2026,11,3),日次入力!$A$4:$A$1500,"&lt;="&amp;DATE(2026,11,9),日次入力!$C$4:$C$1500,"LINE常設"))</f>
        <v/>
      </c>
      <c r="M372" s="15" t="str">
        <f aca="false">IF(L372="","",IFERROR(L372/F372,""))</f>
        <v/>
      </c>
      <c r="N372" s="42" t="str">
        <f aca="false">IF(COUNTIFS(日次入力!$A$4:$A$1500,"&gt;="&amp;DATE(2026,11,3),日次入力!$A$4:$A$1500,"&lt;="&amp;DATE(2026,11,9),日次入力!$C$4:$C$1500,"LINE常設")=0,"",SUMIFS(日次入力!$I$4:$I$1500,日次入力!$A$4:$A$1500,"&gt;="&amp;DATE(2026,11,3),日次入力!$A$4:$A$1500,"&lt;="&amp;DATE(2026,11,9),日次入力!$C$4:$C$1500,"LINE常設"))</f>
        <v/>
      </c>
      <c r="O372" s="15" t="str">
        <f aca="false">IF(N372="","",IFERROR(N372/L372,""))</f>
        <v/>
      </c>
      <c r="P372" s="37" t="str">
        <f aca="false">IF(N372=0,"",IFERROR(C372/N372,""))</f>
        <v/>
      </c>
      <c r="Q372" s="38" t="str">
        <f aca="false">IF(N372=0,"",IFERROR(IF(C372/N372&lt;=用語集!$B$22,"◎ 許容内","✗ 超過"),"—"))</f>
        <v>—</v>
      </c>
      <c r="R372" s="39" t="str">
        <f aca="false">IFERROR(用語集!$B$22/P372,"")</f>
        <v/>
      </c>
    </row>
    <row r="373" customFormat="false" ht="15" hidden="false" customHeight="false" outlineLevel="0" collapsed="false">
      <c r="A373" s="34" t="s">
        <v>122</v>
      </c>
      <c r="B373" s="35" t="s">
        <v>123</v>
      </c>
      <c r="C373" s="41" t="str">
        <f aca="false">IF(COUNTIFS(日次入力!$A$4:$A$1500,"&gt;="&amp;DATE(2026,11,10),日次入力!$A$4:$A$1500,"&lt;="&amp;DATE(2026,11,16),日次入力!$C$4:$C$1500,"LINE常設")=0,"",SUMIFS(日次入力!$D$4:$D$1500,日次入力!$A$4:$A$1500,"&gt;="&amp;DATE(2026,11,10),日次入力!$A$4:$A$1500,"&lt;="&amp;DATE(2026,11,16),日次入力!$C$4:$C$1500,"LINE常設"))</f>
        <v/>
      </c>
      <c r="D373" s="42" t="str">
        <f aca="false">IF(COUNTIFS(日次入力!$A$4:$A$1500,"&gt;="&amp;DATE(2026,11,10),日次入力!$A$4:$A$1500,"&lt;="&amp;DATE(2026,11,16),日次入力!$C$4:$C$1500,"LINE常設")=0,"",SUMIFS(日次入力!$E$4:$E$1500,日次入力!$A$4:$A$1500,"&gt;="&amp;DATE(2026,11,10),日次入力!$A$4:$A$1500,"&lt;="&amp;DATE(2026,11,16),日次入力!$C$4:$C$1500,"LINE常設"))</f>
        <v/>
      </c>
      <c r="E373" s="42" t="str">
        <f aca="false">IF(COUNTIFS(日次入力!$A$4:$A$1500,"&gt;="&amp;DATE(2026,11,10),日次入力!$A$4:$A$1500,"&lt;="&amp;DATE(2026,11,16),日次入力!$C$4:$C$1500,"LINE常設")=0,"",SUMIFS(日次入力!$F$4:$F$1500,日次入力!$A$4:$A$1500,"&gt;="&amp;DATE(2026,11,10),日次入力!$A$4:$A$1500,"&lt;="&amp;DATE(2026,11,16),日次入力!$C$4:$C$1500,"LINE常設"))</f>
        <v/>
      </c>
      <c r="F373" s="42" t="str">
        <f aca="false">IF(COUNTIFS(日次入力!$A$4:$A$1500,"&gt;="&amp;DATE(2026,11,10),日次入力!$A$4:$A$1500,"&lt;="&amp;DATE(2026,11,16),日次入力!$C$4:$C$1500,"LINE常設")=0,"",SUMIFS(日次入力!$G$4:$G$1500,日次入力!$A$4:$A$1500,"&gt;="&amp;DATE(2026,11,10),日次入力!$A$4:$A$1500,"&lt;="&amp;DATE(2026,11,16),日次入力!$C$4:$C$1500,"LINE常設"))</f>
        <v/>
      </c>
      <c r="G373" s="15" t="str">
        <f aca="false">IFERROR(E373/D373,"")</f>
        <v/>
      </c>
      <c r="H373" s="37" t="str">
        <f aca="false">IFERROR(C373/E373,"")</f>
        <v/>
      </c>
      <c r="I373" s="37" t="str">
        <f aca="false">IFERROR(C373/D373*1000,"")</f>
        <v/>
      </c>
      <c r="J373" s="15" t="str">
        <f aca="false">IFERROR(F373/E373,"")</f>
        <v/>
      </c>
      <c r="K373" s="37" t="str">
        <f aca="false">IFERROR(C373/F373,"")</f>
        <v/>
      </c>
      <c r="L373" s="42" t="str">
        <f aca="false">IF(COUNTIFS(日次入力!$A$4:$A$1500,"&gt;="&amp;DATE(2026,11,10),日次入力!$A$4:$A$1500,"&lt;="&amp;DATE(2026,11,16),日次入力!$C$4:$C$1500,"LINE常設")=0,"",SUMIFS(日次入力!$H$4:$H$1500,日次入力!$A$4:$A$1500,"&gt;="&amp;DATE(2026,11,10),日次入力!$A$4:$A$1500,"&lt;="&amp;DATE(2026,11,16),日次入力!$C$4:$C$1500,"LINE常設"))</f>
        <v/>
      </c>
      <c r="M373" s="15" t="str">
        <f aca="false">IF(L373="","",IFERROR(L373/F373,""))</f>
        <v/>
      </c>
      <c r="N373" s="42" t="str">
        <f aca="false">IF(COUNTIFS(日次入力!$A$4:$A$1500,"&gt;="&amp;DATE(2026,11,10),日次入力!$A$4:$A$1500,"&lt;="&amp;DATE(2026,11,16),日次入力!$C$4:$C$1500,"LINE常設")=0,"",SUMIFS(日次入力!$I$4:$I$1500,日次入力!$A$4:$A$1500,"&gt;="&amp;DATE(2026,11,10),日次入力!$A$4:$A$1500,"&lt;="&amp;DATE(2026,11,16),日次入力!$C$4:$C$1500,"LINE常設"))</f>
        <v/>
      </c>
      <c r="O373" s="15" t="str">
        <f aca="false">IF(N373="","",IFERROR(N373/L373,""))</f>
        <v/>
      </c>
      <c r="P373" s="37" t="str">
        <f aca="false">IF(N373=0,"",IFERROR(C373/N373,""))</f>
        <v/>
      </c>
      <c r="Q373" s="38" t="str">
        <f aca="false">IF(N373=0,"",IFERROR(IF(C373/N373&lt;=用語集!$B$22,"◎ 許容内","✗ 超過"),"—"))</f>
        <v>—</v>
      </c>
      <c r="R373" s="39" t="str">
        <f aca="false">IFERROR(用語集!$B$22/P373,"")</f>
        <v/>
      </c>
    </row>
    <row r="374" customFormat="false" ht="15" hidden="false" customHeight="false" outlineLevel="0" collapsed="false">
      <c r="A374" s="34" t="s">
        <v>124</v>
      </c>
      <c r="B374" s="35" t="s">
        <v>125</v>
      </c>
      <c r="C374" s="41" t="str">
        <f aca="false">IF(COUNTIFS(日次入力!$A$4:$A$1500,"&gt;="&amp;DATE(2026,11,17),日次入力!$A$4:$A$1500,"&lt;="&amp;DATE(2026,11,23),日次入力!$C$4:$C$1500,"LINE常設")=0,"",SUMIFS(日次入力!$D$4:$D$1500,日次入力!$A$4:$A$1500,"&gt;="&amp;DATE(2026,11,17),日次入力!$A$4:$A$1500,"&lt;="&amp;DATE(2026,11,23),日次入力!$C$4:$C$1500,"LINE常設"))</f>
        <v/>
      </c>
      <c r="D374" s="42" t="str">
        <f aca="false">IF(COUNTIFS(日次入力!$A$4:$A$1500,"&gt;="&amp;DATE(2026,11,17),日次入力!$A$4:$A$1500,"&lt;="&amp;DATE(2026,11,23),日次入力!$C$4:$C$1500,"LINE常設")=0,"",SUMIFS(日次入力!$E$4:$E$1500,日次入力!$A$4:$A$1500,"&gt;="&amp;DATE(2026,11,17),日次入力!$A$4:$A$1500,"&lt;="&amp;DATE(2026,11,23),日次入力!$C$4:$C$1500,"LINE常設"))</f>
        <v/>
      </c>
      <c r="E374" s="42" t="str">
        <f aca="false">IF(COUNTIFS(日次入力!$A$4:$A$1500,"&gt;="&amp;DATE(2026,11,17),日次入力!$A$4:$A$1500,"&lt;="&amp;DATE(2026,11,23),日次入力!$C$4:$C$1500,"LINE常設")=0,"",SUMIFS(日次入力!$F$4:$F$1500,日次入力!$A$4:$A$1500,"&gt;="&amp;DATE(2026,11,17),日次入力!$A$4:$A$1500,"&lt;="&amp;DATE(2026,11,23),日次入力!$C$4:$C$1500,"LINE常設"))</f>
        <v/>
      </c>
      <c r="F374" s="42" t="str">
        <f aca="false">IF(COUNTIFS(日次入力!$A$4:$A$1500,"&gt;="&amp;DATE(2026,11,17),日次入力!$A$4:$A$1500,"&lt;="&amp;DATE(2026,11,23),日次入力!$C$4:$C$1500,"LINE常設")=0,"",SUMIFS(日次入力!$G$4:$G$1500,日次入力!$A$4:$A$1500,"&gt;="&amp;DATE(2026,11,17),日次入力!$A$4:$A$1500,"&lt;="&amp;DATE(2026,11,23),日次入力!$C$4:$C$1500,"LINE常設"))</f>
        <v/>
      </c>
      <c r="G374" s="15" t="str">
        <f aca="false">IFERROR(E374/D374,"")</f>
        <v/>
      </c>
      <c r="H374" s="37" t="str">
        <f aca="false">IFERROR(C374/E374,"")</f>
        <v/>
      </c>
      <c r="I374" s="37" t="str">
        <f aca="false">IFERROR(C374/D374*1000,"")</f>
        <v/>
      </c>
      <c r="J374" s="15" t="str">
        <f aca="false">IFERROR(F374/E374,"")</f>
        <v/>
      </c>
      <c r="K374" s="37" t="str">
        <f aca="false">IFERROR(C374/F374,"")</f>
        <v/>
      </c>
      <c r="L374" s="42" t="str">
        <f aca="false">IF(COUNTIFS(日次入力!$A$4:$A$1500,"&gt;="&amp;DATE(2026,11,17),日次入力!$A$4:$A$1500,"&lt;="&amp;DATE(2026,11,23),日次入力!$C$4:$C$1500,"LINE常設")=0,"",SUMIFS(日次入力!$H$4:$H$1500,日次入力!$A$4:$A$1500,"&gt;="&amp;DATE(2026,11,17),日次入力!$A$4:$A$1500,"&lt;="&amp;DATE(2026,11,23),日次入力!$C$4:$C$1500,"LINE常設"))</f>
        <v/>
      </c>
      <c r="M374" s="15" t="str">
        <f aca="false">IF(L374="","",IFERROR(L374/F374,""))</f>
        <v/>
      </c>
      <c r="N374" s="42" t="str">
        <f aca="false">IF(COUNTIFS(日次入力!$A$4:$A$1500,"&gt;="&amp;DATE(2026,11,17),日次入力!$A$4:$A$1500,"&lt;="&amp;DATE(2026,11,23),日次入力!$C$4:$C$1500,"LINE常設")=0,"",SUMIFS(日次入力!$I$4:$I$1500,日次入力!$A$4:$A$1500,"&gt;="&amp;DATE(2026,11,17),日次入力!$A$4:$A$1500,"&lt;="&amp;DATE(2026,11,23),日次入力!$C$4:$C$1500,"LINE常設"))</f>
        <v/>
      </c>
      <c r="O374" s="15" t="str">
        <f aca="false">IF(N374="","",IFERROR(N374/L374,""))</f>
        <v/>
      </c>
      <c r="P374" s="37" t="str">
        <f aca="false">IF(N374=0,"",IFERROR(C374/N374,""))</f>
        <v/>
      </c>
      <c r="Q374" s="38" t="str">
        <f aca="false">IF(N374=0,"",IFERROR(IF(C374/N374&lt;=用語集!$B$22,"◎ 許容内","✗ 超過"),"—"))</f>
        <v>—</v>
      </c>
      <c r="R374" s="39" t="str">
        <f aca="false">IFERROR(用語集!$B$22/P374,"")</f>
        <v/>
      </c>
    </row>
    <row r="375" customFormat="false" ht="15" hidden="false" customHeight="false" outlineLevel="0" collapsed="false">
      <c r="A375" s="34" t="s">
        <v>126</v>
      </c>
      <c r="B375" s="35" t="s">
        <v>127</v>
      </c>
      <c r="C375" s="41" t="str">
        <f aca="false">IF(COUNTIFS(日次入力!$A$4:$A$1500,"&gt;="&amp;DATE(2026,11,24),日次入力!$A$4:$A$1500,"&lt;="&amp;DATE(2026,11,30),日次入力!$C$4:$C$1500,"LINE常設")=0,"",SUMIFS(日次入力!$D$4:$D$1500,日次入力!$A$4:$A$1500,"&gt;="&amp;DATE(2026,11,24),日次入力!$A$4:$A$1500,"&lt;="&amp;DATE(2026,11,30),日次入力!$C$4:$C$1500,"LINE常設"))</f>
        <v/>
      </c>
      <c r="D375" s="42" t="str">
        <f aca="false">IF(COUNTIFS(日次入力!$A$4:$A$1500,"&gt;="&amp;DATE(2026,11,24),日次入力!$A$4:$A$1500,"&lt;="&amp;DATE(2026,11,30),日次入力!$C$4:$C$1500,"LINE常設")=0,"",SUMIFS(日次入力!$E$4:$E$1500,日次入力!$A$4:$A$1500,"&gt;="&amp;DATE(2026,11,24),日次入力!$A$4:$A$1500,"&lt;="&amp;DATE(2026,11,30),日次入力!$C$4:$C$1500,"LINE常設"))</f>
        <v/>
      </c>
      <c r="E375" s="42" t="str">
        <f aca="false">IF(COUNTIFS(日次入力!$A$4:$A$1500,"&gt;="&amp;DATE(2026,11,24),日次入力!$A$4:$A$1500,"&lt;="&amp;DATE(2026,11,30),日次入力!$C$4:$C$1500,"LINE常設")=0,"",SUMIFS(日次入力!$F$4:$F$1500,日次入力!$A$4:$A$1500,"&gt;="&amp;DATE(2026,11,24),日次入力!$A$4:$A$1500,"&lt;="&amp;DATE(2026,11,30),日次入力!$C$4:$C$1500,"LINE常設"))</f>
        <v/>
      </c>
      <c r="F375" s="42" t="str">
        <f aca="false">IF(COUNTIFS(日次入力!$A$4:$A$1500,"&gt;="&amp;DATE(2026,11,24),日次入力!$A$4:$A$1500,"&lt;="&amp;DATE(2026,11,30),日次入力!$C$4:$C$1500,"LINE常設")=0,"",SUMIFS(日次入力!$G$4:$G$1500,日次入力!$A$4:$A$1500,"&gt;="&amp;DATE(2026,11,24),日次入力!$A$4:$A$1500,"&lt;="&amp;DATE(2026,11,30),日次入力!$C$4:$C$1500,"LINE常設"))</f>
        <v/>
      </c>
      <c r="G375" s="15" t="str">
        <f aca="false">IFERROR(E375/D375,"")</f>
        <v/>
      </c>
      <c r="H375" s="37" t="str">
        <f aca="false">IFERROR(C375/E375,"")</f>
        <v/>
      </c>
      <c r="I375" s="37" t="str">
        <f aca="false">IFERROR(C375/D375*1000,"")</f>
        <v/>
      </c>
      <c r="J375" s="15" t="str">
        <f aca="false">IFERROR(F375/E375,"")</f>
        <v/>
      </c>
      <c r="K375" s="37" t="str">
        <f aca="false">IFERROR(C375/F375,"")</f>
        <v/>
      </c>
      <c r="L375" s="42" t="str">
        <f aca="false">IF(COUNTIFS(日次入力!$A$4:$A$1500,"&gt;="&amp;DATE(2026,11,24),日次入力!$A$4:$A$1500,"&lt;="&amp;DATE(2026,11,30),日次入力!$C$4:$C$1500,"LINE常設")=0,"",SUMIFS(日次入力!$H$4:$H$1500,日次入力!$A$4:$A$1500,"&gt;="&amp;DATE(2026,11,24),日次入力!$A$4:$A$1500,"&lt;="&amp;DATE(2026,11,30),日次入力!$C$4:$C$1500,"LINE常設"))</f>
        <v/>
      </c>
      <c r="M375" s="15" t="str">
        <f aca="false">IF(L375="","",IFERROR(L375/F375,""))</f>
        <v/>
      </c>
      <c r="N375" s="42" t="str">
        <f aca="false">IF(COUNTIFS(日次入力!$A$4:$A$1500,"&gt;="&amp;DATE(2026,11,24),日次入力!$A$4:$A$1500,"&lt;="&amp;DATE(2026,11,30),日次入力!$C$4:$C$1500,"LINE常設")=0,"",SUMIFS(日次入力!$I$4:$I$1500,日次入力!$A$4:$A$1500,"&gt;="&amp;DATE(2026,11,24),日次入力!$A$4:$A$1500,"&lt;="&amp;DATE(2026,11,30),日次入力!$C$4:$C$1500,"LINE常設"))</f>
        <v/>
      </c>
      <c r="O375" s="15" t="str">
        <f aca="false">IF(N375="","",IFERROR(N375/L375,""))</f>
        <v/>
      </c>
      <c r="P375" s="37" t="str">
        <f aca="false">IF(N375=0,"",IFERROR(C375/N375,""))</f>
        <v/>
      </c>
      <c r="Q375" s="38" t="str">
        <f aca="false">IF(N375=0,"",IFERROR(IF(C375/N375&lt;=用語集!$B$22,"◎ 許容内","✗ 超過"),"—"))</f>
        <v>—</v>
      </c>
      <c r="R375" s="39" t="str">
        <f aca="false">IFERROR(用語集!$B$22/P375,"")</f>
        <v/>
      </c>
    </row>
    <row r="376" customFormat="false" ht="15" hidden="false" customHeight="false" outlineLevel="0" collapsed="false">
      <c r="A376" s="34" t="s">
        <v>128</v>
      </c>
      <c r="B376" s="35" t="s">
        <v>129</v>
      </c>
      <c r="C376" s="41" t="str">
        <f aca="false">IF(COUNTIFS(日次入力!$A$4:$A$1500,"&gt;="&amp;DATE(2026,12,1),日次入力!$A$4:$A$1500,"&lt;="&amp;DATE(2026,12,7),日次入力!$C$4:$C$1500,"LINE常設")=0,"",SUMIFS(日次入力!$D$4:$D$1500,日次入力!$A$4:$A$1500,"&gt;="&amp;DATE(2026,12,1),日次入力!$A$4:$A$1500,"&lt;="&amp;DATE(2026,12,7),日次入力!$C$4:$C$1500,"LINE常設"))</f>
        <v/>
      </c>
      <c r="D376" s="42" t="str">
        <f aca="false">IF(COUNTIFS(日次入力!$A$4:$A$1500,"&gt;="&amp;DATE(2026,12,1),日次入力!$A$4:$A$1500,"&lt;="&amp;DATE(2026,12,7),日次入力!$C$4:$C$1500,"LINE常設")=0,"",SUMIFS(日次入力!$E$4:$E$1500,日次入力!$A$4:$A$1500,"&gt;="&amp;DATE(2026,12,1),日次入力!$A$4:$A$1500,"&lt;="&amp;DATE(2026,12,7),日次入力!$C$4:$C$1500,"LINE常設"))</f>
        <v/>
      </c>
      <c r="E376" s="42" t="str">
        <f aca="false">IF(COUNTIFS(日次入力!$A$4:$A$1500,"&gt;="&amp;DATE(2026,12,1),日次入力!$A$4:$A$1500,"&lt;="&amp;DATE(2026,12,7),日次入力!$C$4:$C$1500,"LINE常設")=0,"",SUMIFS(日次入力!$F$4:$F$1500,日次入力!$A$4:$A$1500,"&gt;="&amp;DATE(2026,12,1),日次入力!$A$4:$A$1500,"&lt;="&amp;DATE(2026,12,7),日次入力!$C$4:$C$1500,"LINE常設"))</f>
        <v/>
      </c>
      <c r="F376" s="42" t="str">
        <f aca="false">IF(COUNTIFS(日次入力!$A$4:$A$1500,"&gt;="&amp;DATE(2026,12,1),日次入力!$A$4:$A$1500,"&lt;="&amp;DATE(2026,12,7),日次入力!$C$4:$C$1500,"LINE常設")=0,"",SUMIFS(日次入力!$G$4:$G$1500,日次入力!$A$4:$A$1500,"&gt;="&amp;DATE(2026,12,1),日次入力!$A$4:$A$1500,"&lt;="&amp;DATE(2026,12,7),日次入力!$C$4:$C$1500,"LINE常設"))</f>
        <v/>
      </c>
      <c r="G376" s="15" t="str">
        <f aca="false">IFERROR(E376/D376,"")</f>
        <v/>
      </c>
      <c r="H376" s="37" t="str">
        <f aca="false">IFERROR(C376/E376,"")</f>
        <v/>
      </c>
      <c r="I376" s="37" t="str">
        <f aca="false">IFERROR(C376/D376*1000,"")</f>
        <v/>
      </c>
      <c r="J376" s="15" t="str">
        <f aca="false">IFERROR(F376/E376,"")</f>
        <v/>
      </c>
      <c r="K376" s="37" t="str">
        <f aca="false">IFERROR(C376/F376,"")</f>
        <v/>
      </c>
      <c r="L376" s="42" t="str">
        <f aca="false">IF(COUNTIFS(日次入力!$A$4:$A$1500,"&gt;="&amp;DATE(2026,12,1),日次入力!$A$4:$A$1500,"&lt;="&amp;DATE(2026,12,7),日次入力!$C$4:$C$1500,"LINE常設")=0,"",SUMIFS(日次入力!$H$4:$H$1500,日次入力!$A$4:$A$1500,"&gt;="&amp;DATE(2026,12,1),日次入力!$A$4:$A$1500,"&lt;="&amp;DATE(2026,12,7),日次入力!$C$4:$C$1500,"LINE常設"))</f>
        <v/>
      </c>
      <c r="M376" s="15" t="str">
        <f aca="false">IF(L376="","",IFERROR(L376/F376,""))</f>
        <v/>
      </c>
      <c r="N376" s="42" t="str">
        <f aca="false">IF(COUNTIFS(日次入力!$A$4:$A$1500,"&gt;="&amp;DATE(2026,12,1),日次入力!$A$4:$A$1500,"&lt;="&amp;DATE(2026,12,7),日次入力!$C$4:$C$1500,"LINE常設")=0,"",SUMIFS(日次入力!$I$4:$I$1500,日次入力!$A$4:$A$1500,"&gt;="&amp;DATE(2026,12,1),日次入力!$A$4:$A$1500,"&lt;="&amp;DATE(2026,12,7),日次入力!$C$4:$C$1500,"LINE常設"))</f>
        <v/>
      </c>
      <c r="O376" s="15" t="str">
        <f aca="false">IF(N376="","",IFERROR(N376/L376,""))</f>
        <v/>
      </c>
      <c r="P376" s="37" t="str">
        <f aca="false">IF(N376=0,"",IFERROR(C376/N376,""))</f>
        <v/>
      </c>
      <c r="Q376" s="38" t="str">
        <f aca="false">IF(N376=0,"",IFERROR(IF(C376/N376&lt;=用語集!$B$22,"◎ 許容内","✗ 超過"),"—"))</f>
        <v>—</v>
      </c>
      <c r="R376" s="39" t="str">
        <f aca="false">IFERROR(用語集!$B$22/P376,"")</f>
        <v/>
      </c>
    </row>
    <row r="377" customFormat="false" ht="15" hidden="false" customHeight="false" outlineLevel="0" collapsed="false">
      <c r="A377" s="34" t="s">
        <v>130</v>
      </c>
      <c r="B377" s="35" t="s">
        <v>131</v>
      </c>
      <c r="C377" s="41" t="str">
        <f aca="false">IF(COUNTIFS(日次入力!$A$4:$A$1500,"&gt;="&amp;DATE(2026,12,8),日次入力!$A$4:$A$1500,"&lt;="&amp;DATE(2026,12,14),日次入力!$C$4:$C$1500,"LINE常設")=0,"",SUMIFS(日次入力!$D$4:$D$1500,日次入力!$A$4:$A$1500,"&gt;="&amp;DATE(2026,12,8),日次入力!$A$4:$A$1500,"&lt;="&amp;DATE(2026,12,14),日次入力!$C$4:$C$1500,"LINE常設"))</f>
        <v/>
      </c>
      <c r="D377" s="42" t="str">
        <f aca="false">IF(COUNTIFS(日次入力!$A$4:$A$1500,"&gt;="&amp;DATE(2026,12,8),日次入力!$A$4:$A$1500,"&lt;="&amp;DATE(2026,12,14),日次入力!$C$4:$C$1500,"LINE常設")=0,"",SUMIFS(日次入力!$E$4:$E$1500,日次入力!$A$4:$A$1500,"&gt;="&amp;DATE(2026,12,8),日次入力!$A$4:$A$1500,"&lt;="&amp;DATE(2026,12,14),日次入力!$C$4:$C$1500,"LINE常設"))</f>
        <v/>
      </c>
      <c r="E377" s="42" t="str">
        <f aca="false">IF(COUNTIFS(日次入力!$A$4:$A$1500,"&gt;="&amp;DATE(2026,12,8),日次入力!$A$4:$A$1500,"&lt;="&amp;DATE(2026,12,14),日次入力!$C$4:$C$1500,"LINE常設")=0,"",SUMIFS(日次入力!$F$4:$F$1500,日次入力!$A$4:$A$1500,"&gt;="&amp;DATE(2026,12,8),日次入力!$A$4:$A$1500,"&lt;="&amp;DATE(2026,12,14),日次入力!$C$4:$C$1500,"LINE常設"))</f>
        <v/>
      </c>
      <c r="F377" s="42" t="str">
        <f aca="false">IF(COUNTIFS(日次入力!$A$4:$A$1500,"&gt;="&amp;DATE(2026,12,8),日次入力!$A$4:$A$1500,"&lt;="&amp;DATE(2026,12,14),日次入力!$C$4:$C$1500,"LINE常設")=0,"",SUMIFS(日次入力!$G$4:$G$1500,日次入力!$A$4:$A$1500,"&gt;="&amp;DATE(2026,12,8),日次入力!$A$4:$A$1500,"&lt;="&amp;DATE(2026,12,14),日次入力!$C$4:$C$1500,"LINE常設"))</f>
        <v/>
      </c>
      <c r="G377" s="15" t="str">
        <f aca="false">IFERROR(E377/D377,"")</f>
        <v/>
      </c>
      <c r="H377" s="37" t="str">
        <f aca="false">IFERROR(C377/E377,"")</f>
        <v/>
      </c>
      <c r="I377" s="37" t="str">
        <f aca="false">IFERROR(C377/D377*1000,"")</f>
        <v/>
      </c>
      <c r="J377" s="15" t="str">
        <f aca="false">IFERROR(F377/E377,"")</f>
        <v/>
      </c>
      <c r="K377" s="37" t="str">
        <f aca="false">IFERROR(C377/F377,"")</f>
        <v/>
      </c>
      <c r="L377" s="42" t="str">
        <f aca="false">IF(COUNTIFS(日次入力!$A$4:$A$1500,"&gt;="&amp;DATE(2026,12,8),日次入力!$A$4:$A$1500,"&lt;="&amp;DATE(2026,12,14),日次入力!$C$4:$C$1500,"LINE常設")=0,"",SUMIFS(日次入力!$H$4:$H$1500,日次入力!$A$4:$A$1500,"&gt;="&amp;DATE(2026,12,8),日次入力!$A$4:$A$1500,"&lt;="&amp;DATE(2026,12,14),日次入力!$C$4:$C$1500,"LINE常設"))</f>
        <v/>
      </c>
      <c r="M377" s="15" t="str">
        <f aca="false">IF(L377="","",IFERROR(L377/F377,""))</f>
        <v/>
      </c>
      <c r="N377" s="42" t="str">
        <f aca="false">IF(COUNTIFS(日次入力!$A$4:$A$1500,"&gt;="&amp;DATE(2026,12,8),日次入力!$A$4:$A$1500,"&lt;="&amp;DATE(2026,12,14),日次入力!$C$4:$C$1500,"LINE常設")=0,"",SUMIFS(日次入力!$I$4:$I$1500,日次入力!$A$4:$A$1500,"&gt;="&amp;DATE(2026,12,8),日次入力!$A$4:$A$1500,"&lt;="&amp;DATE(2026,12,14),日次入力!$C$4:$C$1500,"LINE常設"))</f>
        <v/>
      </c>
      <c r="O377" s="15" t="str">
        <f aca="false">IF(N377="","",IFERROR(N377/L377,""))</f>
        <v/>
      </c>
      <c r="P377" s="37" t="str">
        <f aca="false">IF(N377=0,"",IFERROR(C377/N377,""))</f>
        <v/>
      </c>
      <c r="Q377" s="38" t="str">
        <f aca="false">IF(N377=0,"",IFERROR(IF(C377/N377&lt;=用語集!$B$22,"◎ 許容内","✗ 超過"),"—"))</f>
        <v>—</v>
      </c>
      <c r="R377" s="39" t="str">
        <f aca="false">IFERROR(用語集!$B$22/P377,"")</f>
        <v/>
      </c>
    </row>
    <row r="378" customFormat="false" ht="15" hidden="false" customHeight="false" outlineLevel="0" collapsed="false">
      <c r="A378" s="34" t="s">
        <v>132</v>
      </c>
      <c r="B378" s="35" t="s">
        <v>133</v>
      </c>
      <c r="C378" s="41" t="str">
        <f aca="false">IF(COUNTIFS(日次入力!$A$4:$A$1500,"&gt;="&amp;DATE(2026,12,15),日次入力!$A$4:$A$1500,"&lt;="&amp;DATE(2026,12,21),日次入力!$C$4:$C$1500,"LINE常設")=0,"",SUMIFS(日次入力!$D$4:$D$1500,日次入力!$A$4:$A$1500,"&gt;="&amp;DATE(2026,12,15),日次入力!$A$4:$A$1500,"&lt;="&amp;DATE(2026,12,21),日次入力!$C$4:$C$1500,"LINE常設"))</f>
        <v/>
      </c>
      <c r="D378" s="42" t="str">
        <f aca="false">IF(COUNTIFS(日次入力!$A$4:$A$1500,"&gt;="&amp;DATE(2026,12,15),日次入力!$A$4:$A$1500,"&lt;="&amp;DATE(2026,12,21),日次入力!$C$4:$C$1500,"LINE常設")=0,"",SUMIFS(日次入力!$E$4:$E$1500,日次入力!$A$4:$A$1500,"&gt;="&amp;DATE(2026,12,15),日次入力!$A$4:$A$1500,"&lt;="&amp;DATE(2026,12,21),日次入力!$C$4:$C$1500,"LINE常設"))</f>
        <v/>
      </c>
      <c r="E378" s="42" t="str">
        <f aca="false">IF(COUNTIFS(日次入力!$A$4:$A$1500,"&gt;="&amp;DATE(2026,12,15),日次入力!$A$4:$A$1500,"&lt;="&amp;DATE(2026,12,21),日次入力!$C$4:$C$1500,"LINE常設")=0,"",SUMIFS(日次入力!$F$4:$F$1500,日次入力!$A$4:$A$1500,"&gt;="&amp;DATE(2026,12,15),日次入力!$A$4:$A$1500,"&lt;="&amp;DATE(2026,12,21),日次入力!$C$4:$C$1500,"LINE常設"))</f>
        <v/>
      </c>
      <c r="F378" s="42" t="str">
        <f aca="false">IF(COUNTIFS(日次入力!$A$4:$A$1500,"&gt;="&amp;DATE(2026,12,15),日次入力!$A$4:$A$1500,"&lt;="&amp;DATE(2026,12,21),日次入力!$C$4:$C$1500,"LINE常設")=0,"",SUMIFS(日次入力!$G$4:$G$1500,日次入力!$A$4:$A$1500,"&gt;="&amp;DATE(2026,12,15),日次入力!$A$4:$A$1500,"&lt;="&amp;DATE(2026,12,21),日次入力!$C$4:$C$1500,"LINE常設"))</f>
        <v/>
      </c>
      <c r="G378" s="15" t="str">
        <f aca="false">IFERROR(E378/D378,"")</f>
        <v/>
      </c>
      <c r="H378" s="37" t="str">
        <f aca="false">IFERROR(C378/E378,"")</f>
        <v/>
      </c>
      <c r="I378" s="37" t="str">
        <f aca="false">IFERROR(C378/D378*1000,"")</f>
        <v/>
      </c>
      <c r="J378" s="15" t="str">
        <f aca="false">IFERROR(F378/E378,"")</f>
        <v/>
      </c>
      <c r="K378" s="37" t="str">
        <f aca="false">IFERROR(C378/F378,"")</f>
        <v/>
      </c>
      <c r="L378" s="42" t="str">
        <f aca="false">IF(COUNTIFS(日次入力!$A$4:$A$1500,"&gt;="&amp;DATE(2026,12,15),日次入力!$A$4:$A$1500,"&lt;="&amp;DATE(2026,12,21),日次入力!$C$4:$C$1500,"LINE常設")=0,"",SUMIFS(日次入力!$H$4:$H$1500,日次入力!$A$4:$A$1500,"&gt;="&amp;DATE(2026,12,15),日次入力!$A$4:$A$1500,"&lt;="&amp;DATE(2026,12,21),日次入力!$C$4:$C$1500,"LINE常設"))</f>
        <v/>
      </c>
      <c r="M378" s="15" t="str">
        <f aca="false">IF(L378="","",IFERROR(L378/F378,""))</f>
        <v/>
      </c>
      <c r="N378" s="42" t="str">
        <f aca="false">IF(COUNTIFS(日次入力!$A$4:$A$1500,"&gt;="&amp;DATE(2026,12,15),日次入力!$A$4:$A$1500,"&lt;="&amp;DATE(2026,12,21),日次入力!$C$4:$C$1500,"LINE常設")=0,"",SUMIFS(日次入力!$I$4:$I$1500,日次入力!$A$4:$A$1500,"&gt;="&amp;DATE(2026,12,15),日次入力!$A$4:$A$1500,"&lt;="&amp;DATE(2026,12,21),日次入力!$C$4:$C$1500,"LINE常設"))</f>
        <v/>
      </c>
      <c r="O378" s="15" t="str">
        <f aca="false">IF(N378="","",IFERROR(N378/L378,""))</f>
        <v/>
      </c>
      <c r="P378" s="37" t="str">
        <f aca="false">IF(N378=0,"",IFERROR(C378/N378,""))</f>
        <v/>
      </c>
      <c r="Q378" s="38" t="str">
        <f aca="false">IF(N378=0,"",IFERROR(IF(C378/N378&lt;=用語集!$B$22,"◎ 許容内","✗ 超過"),"—"))</f>
        <v>—</v>
      </c>
      <c r="R378" s="39" t="str">
        <f aca="false">IFERROR(用語集!$B$22/P378,"")</f>
        <v/>
      </c>
    </row>
    <row r="379" customFormat="false" ht="15" hidden="false" customHeight="false" outlineLevel="0" collapsed="false">
      <c r="A379" s="34" t="s">
        <v>134</v>
      </c>
      <c r="B379" s="35" t="s">
        <v>135</v>
      </c>
      <c r="C379" s="41" t="str">
        <f aca="false">IF(COUNTIFS(日次入力!$A$4:$A$1500,"&gt;="&amp;DATE(2026,12,22),日次入力!$A$4:$A$1500,"&lt;="&amp;DATE(2026,12,28),日次入力!$C$4:$C$1500,"LINE常設")=0,"",SUMIFS(日次入力!$D$4:$D$1500,日次入力!$A$4:$A$1500,"&gt;="&amp;DATE(2026,12,22),日次入力!$A$4:$A$1500,"&lt;="&amp;DATE(2026,12,28),日次入力!$C$4:$C$1500,"LINE常設"))</f>
        <v/>
      </c>
      <c r="D379" s="42" t="str">
        <f aca="false">IF(COUNTIFS(日次入力!$A$4:$A$1500,"&gt;="&amp;DATE(2026,12,22),日次入力!$A$4:$A$1500,"&lt;="&amp;DATE(2026,12,28),日次入力!$C$4:$C$1500,"LINE常設")=0,"",SUMIFS(日次入力!$E$4:$E$1500,日次入力!$A$4:$A$1500,"&gt;="&amp;DATE(2026,12,22),日次入力!$A$4:$A$1500,"&lt;="&amp;DATE(2026,12,28),日次入力!$C$4:$C$1500,"LINE常設"))</f>
        <v/>
      </c>
      <c r="E379" s="42" t="str">
        <f aca="false">IF(COUNTIFS(日次入力!$A$4:$A$1500,"&gt;="&amp;DATE(2026,12,22),日次入力!$A$4:$A$1500,"&lt;="&amp;DATE(2026,12,28),日次入力!$C$4:$C$1500,"LINE常設")=0,"",SUMIFS(日次入力!$F$4:$F$1500,日次入力!$A$4:$A$1500,"&gt;="&amp;DATE(2026,12,22),日次入力!$A$4:$A$1500,"&lt;="&amp;DATE(2026,12,28),日次入力!$C$4:$C$1500,"LINE常設"))</f>
        <v/>
      </c>
      <c r="F379" s="42" t="str">
        <f aca="false">IF(COUNTIFS(日次入力!$A$4:$A$1500,"&gt;="&amp;DATE(2026,12,22),日次入力!$A$4:$A$1500,"&lt;="&amp;DATE(2026,12,28),日次入力!$C$4:$C$1500,"LINE常設")=0,"",SUMIFS(日次入力!$G$4:$G$1500,日次入力!$A$4:$A$1500,"&gt;="&amp;DATE(2026,12,22),日次入力!$A$4:$A$1500,"&lt;="&amp;DATE(2026,12,28),日次入力!$C$4:$C$1500,"LINE常設"))</f>
        <v/>
      </c>
      <c r="G379" s="15" t="str">
        <f aca="false">IFERROR(E379/D379,"")</f>
        <v/>
      </c>
      <c r="H379" s="37" t="str">
        <f aca="false">IFERROR(C379/E379,"")</f>
        <v/>
      </c>
      <c r="I379" s="37" t="str">
        <f aca="false">IFERROR(C379/D379*1000,"")</f>
        <v/>
      </c>
      <c r="J379" s="15" t="str">
        <f aca="false">IFERROR(F379/E379,"")</f>
        <v/>
      </c>
      <c r="K379" s="37" t="str">
        <f aca="false">IFERROR(C379/F379,"")</f>
        <v/>
      </c>
      <c r="L379" s="42" t="str">
        <f aca="false">IF(COUNTIFS(日次入力!$A$4:$A$1500,"&gt;="&amp;DATE(2026,12,22),日次入力!$A$4:$A$1500,"&lt;="&amp;DATE(2026,12,28),日次入力!$C$4:$C$1500,"LINE常設")=0,"",SUMIFS(日次入力!$H$4:$H$1500,日次入力!$A$4:$A$1500,"&gt;="&amp;DATE(2026,12,22),日次入力!$A$4:$A$1500,"&lt;="&amp;DATE(2026,12,28),日次入力!$C$4:$C$1500,"LINE常設"))</f>
        <v/>
      </c>
      <c r="M379" s="15" t="str">
        <f aca="false">IF(L379="","",IFERROR(L379/F379,""))</f>
        <v/>
      </c>
      <c r="N379" s="42" t="str">
        <f aca="false">IF(COUNTIFS(日次入力!$A$4:$A$1500,"&gt;="&amp;DATE(2026,12,22),日次入力!$A$4:$A$1500,"&lt;="&amp;DATE(2026,12,28),日次入力!$C$4:$C$1500,"LINE常設")=0,"",SUMIFS(日次入力!$I$4:$I$1500,日次入力!$A$4:$A$1500,"&gt;="&amp;DATE(2026,12,22),日次入力!$A$4:$A$1500,"&lt;="&amp;DATE(2026,12,28),日次入力!$C$4:$C$1500,"LINE常設"))</f>
        <v/>
      </c>
      <c r="O379" s="15" t="str">
        <f aca="false">IF(N379="","",IFERROR(N379/L379,""))</f>
        <v/>
      </c>
      <c r="P379" s="37" t="str">
        <f aca="false">IF(N379=0,"",IFERROR(C379/N379,""))</f>
        <v/>
      </c>
      <c r="Q379" s="38" t="str">
        <f aca="false">IF(N379=0,"",IFERROR(IF(C379/N379&lt;=用語集!$B$22,"◎ 許容内","✗ 超過"),"—"))</f>
        <v>—</v>
      </c>
      <c r="R379" s="39" t="str">
        <f aca="false">IFERROR(用語集!$B$22/P379,"")</f>
        <v/>
      </c>
    </row>
    <row r="380" customFormat="false" ht="15" hidden="false" customHeight="false" outlineLevel="0" collapsed="false">
      <c r="A380" s="34" t="s">
        <v>136</v>
      </c>
      <c r="B380" s="35" t="s">
        <v>137</v>
      </c>
      <c r="C380" s="41" t="str">
        <f aca="false">IF(COUNTIFS(日次入力!$A$4:$A$1500,"&gt;="&amp;DATE(2026,12,29),日次入力!$A$4:$A$1500,"&lt;="&amp;DATE(2027,1,4),日次入力!$C$4:$C$1500,"LINE常設")=0,"",SUMIFS(日次入力!$D$4:$D$1500,日次入力!$A$4:$A$1500,"&gt;="&amp;DATE(2026,12,29),日次入力!$A$4:$A$1500,"&lt;="&amp;DATE(2027,1,4),日次入力!$C$4:$C$1500,"LINE常設"))</f>
        <v/>
      </c>
      <c r="D380" s="42" t="str">
        <f aca="false">IF(COUNTIFS(日次入力!$A$4:$A$1500,"&gt;="&amp;DATE(2026,12,29),日次入力!$A$4:$A$1500,"&lt;="&amp;DATE(2027,1,4),日次入力!$C$4:$C$1500,"LINE常設")=0,"",SUMIFS(日次入力!$E$4:$E$1500,日次入力!$A$4:$A$1500,"&gt;="&amp;DATE(2026,12,29),日次入力!$A$4:$A$1500,"&lt;="&amp;DATE(2027,1,4),日次入力!$C$4:$C$1500,"LINE常設"))</f>
        <v/>
      </c>
      <c r="E380" s="42" t="str">
        <f aca="false">IF(COUNTIFS(日次入力!$A$4:$A$1500,"&gt;="&amp;DATE(2026,12,29),日次入力!$A$4:$A$1500,"&lt;="&amp;DATE(2027,1,4),日次入力!$C$4:$C$1500,"LINE常設")=0,"",SUMIFS(日次入力!$F$4:$F$1500,日次入力!$A$4:$A$1500,"&gt;="&amp;DATE(2026,12,29),日次入力!$A$4:$A$1500,"&lt;="&amp;DATE(2027,1,4),日次入力!$C$4:$C$1500,"LINE常設"))</f>
        <v/>
      </c>
      <c r="F380" s="42" t="str">
        <f aca="false">IF(COUNTIFS(日次入力!$A$4:$A$1500,"&gt;="&amp;DATE(2026,12,29),日次入力!$A$4:$A$1500,"&lt;="&amp;DATE(2027,1,4),日次入力!$C$4:$C$1500,"LINE常設")=0,"",SUMIFS(日次入力!$G$4:$G$1500,日次入力!$A$4:$A$1500,"&gt;="&amp;DATE(2026,12,29),日次入力!$A$4:$A$1500,"&lt;="&amp;DATE(2027,1,4),日次入力!$C$4:$C$1500,"LINE常設"))</f>
        <v/>
      </c>
      <c r="G380" s="15" t="str">
        <f aca="false">IFERROR(E380/D380,"")</f>
        <v/>
      </c>
      <c r="H380" s="37" t="str">
        <f aca="false">IFERROR(C380/E380,"")</f>
        <v/>
      </c>
      <c r="I380" s="37" t="str">
        <f aca="false">IFERROR(C380/D380*1000,"")</f>
        <v/>
      </c>
      <c r="J380" s="15" t="str">
        <f aca="false">IFERROR(F380/E380,"")</f>
        <v/>
      </c>
      <c r="K380" s="37" t="str">
        <f aca="false">IFERROR(C380/F380,"")</f>
        <v/>
      </c>
      <c r="L380" s="42" t="str">
        <f aca="false">IF(COUNTIFS(日次入力!$A$4:$A$1500,"&gt;="&amp;DATE(2026,12,29),日次入力!$A$4:$A$1500,"&lt;="&amp;DATE(2027,1,4),日次入力!$C$4:$C$1500,"LINE常設")=0,"",SUMIFS(日次入力!$H$4:$H$1500,日次入力!$A$4:$A$1500,"&gt;="&amp;DATE(2026,12,29),日次入力!$A$4:$A$1500,"&lt;="&amp;DATE(2027,1,4),日次入力!$C$4:$C$1500,"LINE常設"))</f>
        <v/>
      </c>
      <c r="M380" s="15" t="str">
        <f aca="false">IF(L380="","",IFERROR(L380/F380,""))</f>
        <v/>
      </c>
      <c r="N380" s="42" t="str">
        <f aca="false">IF(COUNTIFS(日次入力!$A$4:$A$1500,"&gt;="&amp;DATE(2026,12,29),日次入力!$A$4:$A$1500,"&lt;="&amp;DATE(2027,1,4),日次入力!$C$4:$C$1500,"LINE常設")=0,"",SUMIFS(日次入力!$I$4:$I$1500,日次入力!$A$4:$A$1500,"&gt;="&amp;DATE(2026,12,29),日次入力!$A$4:$A$1500,"&lt;="&amp;DATE(2027,1,4),日次入力!$C$4:$C$1500,"LINE常設"))</f>
        <v/>
      </c>
      <c r="O380" s="15" t="str">
        <f aca="false">IF(N380="","",IFERROR(N380/L380,""))</f>
        <v/>
      </c>
      <c r="P380" s="37" t="str">
        <f aca="false">IF(N380=0,"",IFERROR(C380/N380,""))</f>
        <v/>
      </c>
      <c r="Q380" s="38" t="str">
        <f aca="false">IF(N380=0,"",IFERROR(IF(C380/N380&lt;=用語集!$B$22,"◎ 許容内","✗ 超過"),"—"))</f>
        <v>—</v>
      </c>
      <c r="R380" s="39" t="str">
        <f aca="false">IFERROR(用語集!$B$22/P380,"")</f>
        <v/>
      </c>
    </row>
    <row r="381" customFormat="false" ht="15" hidden="false" customHeight="false" outlineLevel="0" collapsed="false">
      <c r="A381" s="34" t="s">
        <v>138</v>
      </c>
      <c r="B381" s="35" t="s">
        <v>139</v>
      </c>
      <c r="C381" s="41" t="str">
        <f aca="false">IF(COUNTIFS(日次入力!$A$4:$A$1500,"&gt;="&amp;DATE(2027,1,5),日次入力!$A$4:$A$1500,"&lt;="&amp;DATE(2027,1,11),日次入力!$C$4:$C$1500,"LINE常設")=0,"",SUMIFS(日次入力!$D$4:$D$1500,日次入力!$A$4:$A$1500,"&gt;="&amp;DATE(2027,1,5),日次入力!$A$4:$A$1500,"&lt;="&amp;DATE(2027,1,11),日次入力!$C$4:$C$1500,"LINE常設"))</f>
        <v/>
      </c>
      <c r="D381" s="42" t="str">
        <f aca="false">IF(COUNTIFS(日次入力!$A$4:$A$1500,"&gt;="&amp;DATE(2027,1,5),日次入力!$A$4:$A$1500,"&lt;="&amp;DATE(2027,1,11),日次入力!$C$4:$C$1500,"LINE常設")=0,"",SUMIFS(日次入力!$E$4:$E$1500,日次入力!$A$4:$A$1500,"&gt;="&amp;DATE(2027,1,5),日次入力!$A$4:$A$1500,"&lt;="&amp;DATE(2027,1,11),日次入力!$C$4:$C$1500,"LINE常設"))</f>
        <v/>
      </c>
      <c r="E381" s="42" t="str">
        <f aca="false">IF(COUNTIFS(日次入力!$A$4:$A$1500,"&gt;="&amp;DATE(2027,1,5),日次入力!$A$4:$A$1500,"&lt;="&amp;DATE(2027,1,11),日次入力!$C$4:$C$1500,"LINE常設")=0,"",SUMIFS(日次入力!$F$4:$F$1500,日次入力!$A$4:$A$1500,"&gt;="&amp;DATE(2027,1,5),日次入力!$A$4:$A$1500,"&lt;="&amp;DATE(2027,1,11),日次入力!$C$4:$C$1500,"LINE常設"))</f>
        <v/>
      </c>
      <c r="F381" s="42" t="str">
        <f aca="false">IF(COUNTIFS(日次入力!$A$4:$A$1500,"&gt;="&amp;DATE(2027,1,5),日次入力!$A$4:$A$1500,"&lt;="&amp;DATE(2027,1,11),日次入力!$C$4:$C$1500,"LINE常設")=0,"",SUMIFS(日次入力!$G$4:$G$1500,日次入力!$A$4:$A$1500,"&gt;="&amp;DATE(2027,1,5),日次入力!$A$4:$A$1500,"&lt;="&amp;DATE(2027,1,11),日次入力!$C$4:$C$1500,"LINE常設"))</f>
        <v/>
      </c>
      <c r="G381" s="15" t="str">
        <f aca="false">IFERROR(E381/D381,"")</f>
        <v/>
      </c>
      <c r="H381" s="37" t="str">
        <f aca="false">IFERROR(C381/E381,"")</f>
        <v/>
      </c>
      <c r="I381" s="37" t="str">
        <f aca="false">IFERROR(C381/D381*1000,"")</f>
        <v/>
      </c>
      <c r="J381" s="15" t="str">
        <f aca="false">IFERROR(F381/E381,"")</f>
        <v/>
      </c>
      <c r="K381" s="37" t="str">
        <f aca="false">IFERROR(C381/F381,"")</f>
        <v/>
      </c>
      <c r="L381" s="42" t="str">
        <f aca="false">IF(COUNTIFS(日次入力!$A$4:$A$1500,"&gt;="&amp;DATE(2027,1,5),日次入力!$A$4:$A$1500,"&lt;="&amp;DATE(2027,1,11),日次入力!$C$4:$C$1500,"LINE常設")=0,"",SUMIFS(日次入力!$H$4:$H$1500,日次入力!$A$4:$A$1500,"&gt;="&amp;DATE(2027,1,5),日次入力!$A$4:$A$1500,"&lt;="&amp;DATE(2027,1,11),日次入力!$C$4:$C$1500,"LINE常設"))</f>
        <v/>
      </c>
      <c r="M381" s="15" t="str">
        <f aca="false">IF(L381="","",IFERROR(L381/F381,""))</f>
        <v/>
      </c>
      <c r="N381" s="42" t="str">
        <f aca="false">IF(COUNTIFS(日次入力!$A$4:$A$1500,"&gt;="&amp;DATE(2027,1,5),日次入力!$A$4:$A$1500,"&lt;="&amp;DATE(2027,1,11),日次入力!$C$4:$C$1500,"LINE常設")=0,"",SUMIFS(日次入力!$I$4:$I$1500,日次入力!$A$4:$A$1500,"&gt;="&amp;DATE(2027,1,5),日次入力!$A$4:$A$1500,"&lt;="&amp;DATE(2027,1,11),日次入力!$C$4:$C$1500,"LINE常設"))</f>
        <v/>
      </c>
      <c r="O381" s="15" t="str">
        <f aca="false">IF(N381="","",IFERROR(N381/L381,""))</f>
        <v/>
      </c>
      <c r="P381" s="37" t="str">
        <f aca="false">IF(N381=0,"",IFERROR(C381/N381,""))</f>
        <v/>
      </c>
      <c r="Q381" s="38" t="str">
        <f aca="false">IF(N381=0,"",IFERROR(IF(C381/N381&lt;=用語集!$B$22,"◎ 許容内","✗ 超過"),"—"))</f>
        <v>—</v>
      </c>
      <c r="R381" s="39" t="str">
        <f aca="false">IFERROR(用語集!$B$22/P381,"")</f>
        <v/>
      </c>
    </row>
    <row r="382" customFormat="false" ht="15" hidden="false" customHeight="false" outlineLevel="0" collapsed="false">
      <c r="A382" s="34" t="s">
        <v>140</v>
      </c>
      <c r="B382" s="35" t="s">
        <v>141</v>
      </c>
      <c r="C382" s="41" t="str">
        <f aca="false">IF(COUNTIFS(日次入力!$A$4:$A$1500,"&gt;="&amp;DATE(2027,1,12),日次入力!$A$4:$A$1500,"&lt;="&amp;DATE(2027,1,18),日次入力!$C$4:$C$1500,"LINE常設")=0,"",SUMIFS(日次入力!$D$4:$D$1500,日次入力!$A$4:$A$1500,"&gt;="&amp;DATE(2027,1,12),日次入力!$A$4:$A$1500,"&lt;="&amp;DATE(2027,1,18),日次入力!$C$4:$C$1500,"LINE常設"))</f>
        <v/>
      </c>
      <c r="D382" s="42" t="str">
        <f aca="false">IF(COUNTIFS(日次入力!$A$4:$A$1500,"&gt;="&amp;DATE(2027,1,12),日次入力!$A$4:$A$1500,"&lt;="&amp;DATE(2027,1,18),日次入力!$C$4:$C$1500,"LINE常設")=0,"",SUMIFS(日次入力!$E$4:$E$1500,日次入力!$A$4:$A$1500,"&gt;="&amp;DATE(2027,1,12),日次入力!$A$4:$A$1500,"&lt;="&amp;DATE(2027,1,18),日次入力!$C$4:$C$1500,"LINE常設"))</f>
        <v/>
      </c>
      <c r="E382" s="42" t="str">
        <f aca="false">IF(COUNTIFS(日次入力!$A$4:$A$1500,"&gt;="&amp;DATE(2027,1,12),日次入力!$A$4:$A$1500,"&lt;="&amp;DATE(2027,1,18),日次入力!$C$4:$C$1500,"LINE常設")=0,"",SUMIFS(日次入力!$F$4:$F$1500,日次入力!$A$4:$A$1500,"&gt;="&amp;DATE(2027,1,12),日次入力!$A$4:$A$1500,"&lt;="&amp;DATE(2027,1,18),日次入力!$C$4:$C$1500,"LINE常設"))</f>
        <v/>
      </c>
      <c r="F382" s="42" t="str">
        <f aca="false">IF(COUNTIFS(日次入力!$A$4:$A$1500,"&gt;="&amp;DATE(2027,1,12),日次入力!$A$4:$A$1500,"&lt;="&amp;DATE(2027,1,18),日次入力!$C$4:$C$1500,"LINE常設")=0,"",SUMIFS(日次入力!$G$4:$G$1500,日次入力!$A$4:$A$1500,"&gt;="&amp;DATE(2027,1,12),日次入力!$A$4:$A$1500,"&lt;="&amp;DATE(2027,1,18),日次入力!$C$4:$C$1500,"LINE常設"))</f>
        <v/>
      </c>
      <c r="G382" s="15" t="str">
        <f aca="false">IFERROR(E382/D382,"")</f>
        <v/>
      </c>
      <c r="H382" s="37" t="str">
        <f aca="false">IFERROR(C382/E382,"")</f>
        <v/>
      </c>
      <c r="I382" s="37" t="str">
        <f aca="false">IFERROR(C382/D382*1000,"")</f>
        <v/>
      </c>
      <c r="J382" s="15" t="str">
        <f aca="false">IFERROR(F382/E382,"")</f>
        <v/>
      </c>
      <c r="K382" s="37" t="str">
        <f aca="false">IFERROR(C382/F382,"")</f>
        <v/>
      </c>
      <c r="L382" s="42" t="str">
        <f aca="false">IF(COUNTIFS(日次入力!$A$4:$A$1500,"&gt;="&amp;DATE(2027,1,12),日次入力!$A$4:$A$1500,"&lt;="&amp;DATE(2027,1,18),日次入力!$C$4:$C$1500,"LINE常設")=0,"",SUMIFS(日次入力!$H$4:$H$1500,日次入力!$A$4:$A$1500,"&gt;="&amp;DATE(2027,1,12),日次入力!$A$4:$A$1500,"&lt;="&amp;DATE(2027,1,18),日次入力!$C$4:$C$1500,"LINE常設"))</f>
        <v/>
      </c>
      <c r="M382" s="15" t="str">
        <f aca="false">IF(L382="","",IFERROR(L382/F382,""))</f>
        <v/>
      </c>
      <c r="N382" s="42" t="str">
        <f aca="false">IF(COUNTIFS(日次入力!$A$4:$A$1500,"&gt;="&amp;DATE(2027,1,12),日次入力!$A$4:$A$1500,"&lt;="&amp;DATE(2027,1,18),日次入力!$C$4:$C$1500,"LINE常設")=0,"",SUMIFS(日次入力!$I$4:$I$1500,日次入力!$A$4:$A$1500,"&gt;="&amp;DATE(2027,1,12),日次入力!$A$4:$A$1500,"&lt;="&amp;DATE(2027,1,18),日次入力!$C$4:$C$1500,"LINE常設"))</f>
        <v/>
      </c>
      <c r="O382" s="15" t="str">
        <f aca="false">IF(N382="","",IFERROR(N382/L382,""))</f>
        <v/>
      </c>
      <c r="P382" s="37" t="str">
        <f aca="false">IF(N382=0,"",IFERROR(C382/N382,""))</f>
        <v/>
      </c>
      <c r="Q382" s="38" t="str">
        <f aca="false">IF(N382=0,"",IFERROR(IF(C382/N382&lt;=用語集!$B$22,"◎ 許容内","✗ 超過"),"—"))</f>
        <v>—</v>
      </c>
      <c r="R382" s="39" t="str">
        <f aca="false">IFERROR(用語集!$B$22/P382,"")</f>
        <v/>
      </c>
    </row>
    <row r="383" customFormat="false" ht="15" hidden="false" customHeight="false" outlineLevel="0" collapsed="false">
      <c r="A383" s="34" t="s">
        <v>142</v>
      </c>
      <c r="B383" s="35" t="s">
        <v>143</v>
      </c>
      <c r="C383" s="41" t="str">
        <f aca="false">IF(COUNTIFS(日次入力!$A$4:$A$1500,"&gt;="&amp;DATE(2027,1,19),日次入力!$A$4:$A$1500,"&lt;="&amp;DATE(2027,1,25),日次入力!$C$4:$C$1500,"LINE常設")=0,"",SUMIFS(日次入力!$D$4:$D$1500,日次入力!$A$4:$A$1500,"&gt;="&amp;DATE(2027,1,19),日次入力!$A$4:$A$1500,"&lt;="&amp;DATE(2027,1,25),日次入力!$C$4:$C$1500,"LINE常設"))</f>
        <v/>
      </c>
      <c r="D383" s="42" t="str">
        <f aca="false">IF(COUNTIFS(日次入力!$A$4:$A$1500,"&gt;="&amp;DATE(2027,1,19),日次入力!$A$4:$A$1500,"&lt;="&amp;DATE(2027,1,25),日次入力!$C$4:$C$1500,"LINE常設")=0,"",SUMIFS(日次入力!$E$4:$E$1500,日次入力!$A$4:$A$1500,"&gt;="&amp;DATE(2027,1,19),日次入力!$A$4:$A$1500,"&lt;="&amp;DATE(2027,1,25),日次入力!$C$4:$C$1500,"LINE常設"))</f>
        <v/>
      </c>
      <c r="E383" s="42" t="str">
        <f aca="false">IF(COUNTIFS(日次入力!$A$4:$A$1500,"&gt;="&amp;DATE(2027,1,19),日次入力!$A$4:$A$1500,"&lt;="&amp;DATE(2027,1,25),日次入力!$C$4:$C$1500,"LINE常設")=0,"",SUMIFS(日次入力!$F$4:$F$1500,日次入力!$A$4:$A$1500,"&gt;="&amp;DATE(2027,1,19),日次入力!$A$4:$A$1500,"&lt;="&amp;DATE(2027,1,25),日次入力!$C$4:$C$1500,"LINE常設"))</f>
        <v/>
      </c>
      <c r="F383" s="42" t="str">
        <f aca="false">IF(COUNTIFS(日次入力!$A$4:$A$1500,"&gt;="&amp;DATE(2027,1,19),日次入力!$A$4:$A$1500,"&lt;="&amp;DATE(2027,1,25),日次入力!$C$4:$C$1500,"LINE常設")=0,"",SUMIFS(日次入力!$G$4:$G$1500,日次入力!$A$4:$A$1500,"&gt;="&amp;DATE(2027,1,19),日次入力!$A$4:$A$1500,"&lt;="&amp;DATE(2027,1,25),日次入力!$C$4:$C$1500,"LINE常設"))</f>
        <v/>
      </c>
      <c r="G383" s="15" t="str">
        <f aca="false">IFERROR(E383/D383,"")</f>
        <v/>
      </c>
      <c r="H383" s="37" t="str">
        <f aca="false">IFERROR(C383/E383,"")</f>
        <v/>
      </c>
      <c r="I383" s="37" t="str">
        <f aca="false">IFERROR(C383/D383*1000,"")</f>
        <v/>
      </c>
      <c r="J383" s="15" t="str">
        <f aca="false">IFERROR(F383/E383,"")</f>
        <v/>
      </c>
      <c r="K383" s="37" t="str">
        <f aca="false">IFERROR(C383/F383,"")</f>
        <v/>
      </c>
      <c r="L383" s="42" t="str">
        <f aca="false">IF(COUNTIFS(日次入力!$A$4:$A$1500,"&gt;="&amp;DATE(2027,1,19),日次入力!$A$4:$A$1500,"&lt;="&amp;DATE(2027,1,25),日次入力!$C$4:$C$1500,"LINE常設")=0,"",SUMIFS(日次入力!$H$4:$H$1500,日次入力!$A$4:$A$1500,"&gt;="&amp;DATE(2027,1,19),日次入力!$A$4:$A$1500,"&lt;="&amp;DATE(2027,1,25),日次入力!$C$4:$C$1500,"LINE常設"))</f>
        <v/>
      </c>
      <c r="M383" s="15" t="str">
        <f aca="false">IF(L383="","",IFERROR(L383/F383,""))</f>
        <v/>
      </c>
      <c r="N383" s="42" t="str">
        <f aca="false">IF(COUNTIFS(日次入力!$A$4:$A$1500,"&gt;="&amp;DATE(2027,1,19),日次入力!$A$4:$A$1500,"&lt;="&amp;DATE(2027,1,25),日次入力!$C$4:$C$1500,"LINE常設")=0,"",SUMIFS(日次入力!$I$4:$I$1500,日次入力!$A$4:$A$1500,"&gt;="&amp;DATE(2027,1,19),日次入力!$A$4:$A$1500,"&lt;="&amp;DATE(2027,1,25),日次入力!$C$4:$C$1500,"LINE常設"))</f>
        <v/>
      </c>
      <c r="O383" s="15" t="str">
        <f aca="false">IF(N383="","",IFERROR(N383/L383,""))</f>
        <v/>
      </c>
      <c r="P383" s="37" t="str">
        <f aca="false">IF(N383=0,"",IFERROR(C383/N383,""))</f>
        <v/>
      </c>
      <c r="Q383" s="38" t="str">
        <f aca="false">IF(N383=0,"",IFERROR(IF(C383/N383&lt;=用語集!$B$22,"◎ 許容内","✗ 超過"),"—"))</f>
        <v>—</v>
      </c>
      <c r="R383" s="39" t="str">
        <f aca="false">IFERROR(用語集!$B$22/P383,"")</f>
        <v/>
      </c>
    </row>
    <row r="384" customFormat="false" ht="15" hidden="false" customHeight="false" outlineLevel="0" collapsed="false">
      <c r="A384" s="34" t="s">
        <v>144</v>
      </c>
      <c r="B384" s="35" t="s">
        <v>145</v>
      </c>
      <c r="C384" s="41" t="str">
        <f aca="false">IF(COUNTIFS(日次入力!$A$4:$A$1500,"&gt;="&amp;DATE(2027,1,26),日次入力!$A$4:$A$1500,"&lt;="&amp;DATE(2027,2,1),日次入力!$C$4:$C$1500,"LINE常設")=0,"",SUMIFS(日次入力!$D$4:$D$1500,日次入力!$A$4:$A$1500,"&gt;="&amp;DATE(2027,1,26),日次入力!$A$4:$A$1500,"&lt;="&amp;DATE(2027,2,1),日次入力!$C$4:$C$1500,"LINE常設"))</f>
        <v/>
      </c>
      <c r="D384" s="42" t="str">
        <f aca="false">IF(COUNTIFS(日次入力!$A$4:$A$1500,"&gt;="&amp;DATE(2027,1,26),日次入力!$A$4:$A$1500,"&lt;="&amp;DATE(2027,2,1),日次入力!$C$4:$C$1500,"LINE常設")=0,"",SUMIFS(日次入力!$E$4:$E$1500,日次入力!$A$4:$A$1500,"&gt;="&amp;DATE(2027,1,26),日次入力!$A$4:$A$1500,"&lt;="&amp;DATE(2027,2,1),日次入力!$C$4:$C$1500,"LINE常設"))</f>
        <v/>
      </c>
      <c r="E384" s="42" t="str">
        <f aca="false">IF(COUNTIFS(日次入力!$A$4:$A$1500,"&gt;="&amp;DATE(2027,1,26),日次入力!$A$4:$A$1500,"&lt;="&amp;DATE(2027,2,1),日次入力!$C$4:$C$1500,"LINE常設")=0,"",SUMIFS(日次入力!$F$4:$F$1500,日次入力!$A$4:$A$1500,"&gt;="&amp;DATE(2027,1,26),日次入力!$A$4:$A$1500,"&lt;="&amp;DATE(2027,2,1),日次入力!$C$4:$C$1500,"LINE常設"))</f>
        <v/>
      </c>
      <c r="F384" s="42" t="str">
        <f aca="false">IF(COUNTIFS(日次入力!$A$4:$A$1500,"&gt;="&amp;DATE(2027,1,26),日次入力!$A$4:$A$1500,"&lt;="&amp;DATE(2027,2,1),日次入力!$C$4:$C$1500,"LINE常設")=0,"",SUMIFS(日次入力!$G$4:$G$1500,日次入力!$A$4:$A$1500,"&gt;="&amp;DATE(2027,1,26),日次入力!$A$4:$A$1500,"&lt;="&amp;DATE(2027,2,1),日次入力!$C$4:$C$1500,"LINE常設"))</f>
        <v/>
      </c>
      <c r="G384" s="15" t="str">
        <f aca="false">IFERROR(E384/D384,"")</f>
        <v/>
      </c>
      <c r="H384" s="37" t="str">
        <f aca="false">IFERROR(C384/E384,"")</f>
        <v/>
      </c>
      <c r="I384" s="37" t="str">
        <f aca="false">IFERROR(C384/D384*1000,"")</f>
        <v/>
      </c>
      <c r="J384" s="15" t="str">
        <f aca="false">IFERROR(F384/E384,"")</f>
        <v/>
      </c>
      <c r="K384" s="37" t="str">
        <f aca="false">IFERROR(C384/F384,"")</f>
        <v/>
      </c>
      <c r="L384" s="42" t="str">
        <f aca="false">IF(COUNTIFS(日次入力!$A$4:$A$1500,"&gt;="&amp;DATE(2027,1,26),日次入力!$A$4:$A$1500,"&lt;="&amp;DATE(2027,2,1),日次入力!$C$4:$C$1500,"LINE常設")=0,"",SUMIFS(日次入力!$H$4:$H$1500,日次入力!$A$4:$A$1500,"&gt;="&amp;DATE(2027,1,26),日次入力!$A$4:$A$1500,"&lt;="&amp;DATE(2027,2,1),日次入力!$C$4:$C$1500,"LINE常設"))</f>
        <v/>
      </c>
      <c r="M384" s="15" t="str">
        <f aca="false">IF(L384="","",IFERROR(L384/F384,""))</f>
        <v/>
      </c>
      <c r="N384" s="42" t="str">
        <f aca="false">IF(COUNTIFS(日次入力!$A$4:$A$1500,"&gt;="&amp;DATE(2027,1,26),日次入力!$A$4:$A$1500,"&lt;="&amp;DATE(2027,2,1),日次入力!$C$4:$C$1500,"LINE常設")=0,"",SUMIFS(日次入力!$I$4:$I$1500,日次入力!$A$4:$A$1500,"&gt;="&amp;DATE(2027,1,26),日次入力!$A$4:$A$1500,"&lt;="&amp;DATE(2027,2,1),日次入力!$C$4:$C$1500,"LINE常設"))</f>
        <v/>
      </c>
      <c r="O384" s="15" t="str">
        <f aca="false">IF(N384="","",IFERROR(N384/L384,""))</f>
        <v/>
      </c>
      <c r="P384" s="37" t="str">
        <f aca="false">IF(N384=0,"",IFERROR(C384/N384,""))</f>
        <v/>
      </c>
      <c r="Q384" s="38" t="str">
        <f aca="false">IF(N384=0,"",IFERROR(IF(C384/N384&lt;=用語集!$B$22,"◎ 許容内","✗ 超過"),"—"))</f>
        <v>—</v>
      </c>
      <c r="R384" s="39" t="str">
        <f aca="false">IFERROR(用語集!$B$22/P384,"")</f>
        <v/>
      </c>
    </row>
    <row r="385" customFormat="false" ht="15" hidden="false" customHeight="false" outlineLevel="0" collapsed="false">
      <c r="A385" s="34" t="s">
        <v>146</v>
      </c>
      <c r="B385" s="35" t="s">
        <v>147</v>
      </c>
      <c r="C385" s="41" t="str">
        <f aca="false">IF(COUNTIFS(日次入力!$A$4:$A$1500,"&gt;="&amp;DATE(2027,2,2),日次入力!$A$4:$A$1500,"&lt;="&amp;DATE(2027,2,8),日次入力!$C$4:$C$1500,"LINE常設")=0,"",SUMIFS(日次入力!$D$4:$D$1500,日次入力!$A$4:$A$1500,"&gt;="&amp;DATE(2027,2,2),日次入力!$A$4:$A$1500,"&lt;="&amp;DATE(2027,2,8),日次入力!$C$4:$C$1500,"LINE常設"))</f>
        <v/>
      </c>
      <c r="D385" s="42" t="str">
        <f aca="false">IF(COUNTIFS(日次入力!$A$4:$A$1500,"&gt;="&amp;DATE(2027,2,2),日次入力!$A$4:$A$1500,"&lt;="&amp;DATE(2027,2,8),日次入力!$C$4:$C$1500,"LINE常設")=0,"",SUMIFS(日次入力!$E$4:$E$1500,日次入力!$A$4:$A$1500,"&gt;="&amp;DATE(2027,2,2),日次入力!$A$4:$A$1500,"&lt;="&amp;DATE(2027,2,8),日次入力!$C$4:$C$1500,"LINE常設"))</f>
        <v/>
      </c>
      <c r="E385" s="42" t="str">
        <f aca="false">IF(COUNTIFS(日次入力!$A$4:$A$1500,"&gt;="&amp;DATE(2027,2,2),日次入力!$A$4:$A$1500,"&lt;="&amp;DATE(2027,2,8),日次入力!$C$4:$C$1500,"LINE常設")=0,"",SUMIFS(日次入力!$F$4:$F$1500,日次入力!$A$4:$A$1500,"&gt;="&amp;DATE(2027,2,2),日次入力!$A$4:$A$1500,"&lt;="&amp;DATE(2027,2,8),日次入力!$C$4:$C$1500,"LINE常設"))</f>
        <v/>
      </c>
      <c r="F385" s="42" t="str">
        <f aca="false">IF(COUNTIFS(日次入力!$A$4:$A$1500,"&gt;="&amp;DATE(2027,2,2),日次入力!$A$4:$A$1500,"&lt;="&amp;DATE(2027,2,8),日次入力!$C$4:$C$1500,"LINE常設")=0,"",SUMIFS(日次入力!$G$4:$G$1500,日次入力!$A$4:$A$1500,"&gt;="&amp;DATE(2027,2,2),日次入力!$A$4:$A$1500,"&lt;="&amp;DATE(2027,2,8),日次入力!$C$4:$C$1500,"LINE常設"))</f>
        <v/>
      </c>
      <c r="G385" s="15" t="str">
        <f aca="false">IFERROR(E385/D385,"")</f>
        <v/>
      </c>
      <c r="H385" s="37" t="str">
        <f aca="false">IFERROR(C385/E385,"")</f>
        <v/>
      </c>
      <c r="I385" s="37" t="str">
        <f aca="false">IFERROR(C385/D385*1000,"")</f>
        <v/>
      </c>
      <c r="J385" s="15" t="str">
        <f aca="false">IFERROR(F385/E385,"")</f>
        <v/>
      </c>
      <c r="K385" s="37" t="str">
        <f aca="false">IFERROR(C385/F385,"")</f>
        <v/>
      </c>
      <c r="L385" s="42" t="str">
        <f aca="false">IF(COUNTIFS(日次入力!$A$4:$A$1500,"&gt;="&amp;DATE(2027,2,2),日次入力!$A$4:$A$1500,"&lt;="&amp;DATE(2027,2,8),日次入力!$C$4:$C$1500,"LINE常設")=0,"",SUMIFS(日次入力!$H$4:$H$1500,日次入力!$A$4:$A$1500,"&gt;="&amp;DATE(2027,2,2),日次入力!$A$4:$A$1500,"&lt;="&amp;DATE(2027,2,8),日次入力!$C$4:$C$1500,"LINE常設"))</f>
        <v/>
      </c>
      <c r="M385" s="15" t="str">
        <f aca="false">IF(L385="","",IFERROR(L385/F385,""))</f>
        <v/>
      </c>
      <c r="N385" s="42" t="str">
        <f aca="false">IF(COUNTIFS(日次入力!$A$4:$A$1500,"&gt;="&amp;DATE(2027,2,2),日次入力!$A$4:$A$1500,"&lt;="&amp;DATE(2027,2,8),日次入力!$C$4:$C$1500,"LINE常設")=0,"",SUMIFS(日次入力!$I$4:$I$1500,日次入力!$A$4:$A$1500,"&gt;="&amp;DATE(2027,2,2),日次入力!$A$4:$A$1500,"&lt;="&amp;DATE(2027,2,8),日次入力!$C$4:$C$1500,"LINE常設"))</f>
        <v/>
      </c>
      <c r="O385" s="15" t="str">
        <f aca="false">IF(N385="","",IFERROR(N385/L385,""))</f>
        <v/>
      </c>
      <c r="P385" s="37" t="str">
        <f aca="false">IF(N385=0,"",IFERROR(C385/N385,""))</f>
        <v/>
      </c>
      <c r="Q385" s="38" t="str">
        <f aca="false">IF(N385=0,"",IFERROR(IF(C385/N385&lt;=用語集!$B$22,"◎ 許容内","✗ 超過"),"—"))</f>
        <v>—</v>
      </c>
      <c r="R385" s="39" t="str">
        <f aca="false">IFERROR(用語集!$B$22/P385,"")</f>
        <v/>
      </c>
    </row>
    <row r="386" customFormat="false" ht="15" hidden="false" customHeight="false" outlineLevel="0" collapsed="false">
      <c r="A386" s="34" t="s">
        <v>148</v>
      </c>
      <c r="B386" s="35" t="s">
        <v>149</v>
      </c>
      <c r="C386" s="41" t="str">
        <f aca="false">IF(COUNTIFS(日次入力!$A$4:$A$1500,"&gt;="&amp;DATE(2027,2,9),日次入力!$A$4:$A$1500,"&lt;="&amp;DATE(2027,2,15),日次入力!$C$4:$C$1500,"LINE常設")=0,"",SUMIFS(日次入力!$D$4:$D$1500,日次入力!$A$4:$A$1500,"&gt;="&amp;DATE(2027,2,9),日次入力!$A$4:$A$1500,"&lt;="&amp;DATE(2027,2,15),日次入力!$C$4:$C$1500,"LINE常設"))</f>
        <v/>
      </c>
      <c r="D386" s="42" t="str">
        <f aca="false">IF(COUNTIFS(日次入力!$A$4:$A$1500,"&gt;="&amp;DATE(2027,2,9),日次入力!$A$4:$A$1500,"&lt;="&amp;DATE(2027,2,15),日次入力!$C$4:$C$1500,"LINE常設")=0,"",SUMIFS(日次入力!$E$4:$E$1500,日次入力!$A$4:$A$1500,"&gt;="&amp;DATE(2027,2,9),日次入力!$A$4:$A$1500,"&lt;="&amp;DATE(2027,2,15),日次入力!$C$4:$C$1500,"LINE常設"))</f>
        <v/>
      </c>
      <c r="E386" s="42" t="str">
        <f aca="false">IF(COUNTIFS(日次入力!$A$4:$A$1500,"&gt;="&amp;DATE(2027,2,9),日次入力!$A$4:$A$1500,"&lt;="&amp;DATE(2027,2,15),日次入力!$C$4:$C$1500,"LINE常設")=0,"",SUMIFS(日次入力!$F$4:$F$1500,日次入力!$A$4:$A$1500,"&gt;="&amp;DATE(2027,2,9),日次入力!$A$4:$A$1500,"&lt;="&amp;DATE(2027,2,15),日次入力!$C$4:$C$1500,"LINE常設"))</f>
        <v/>
      </c>
      <c r="F386" s="42" t="str">
        <f aca="false">IF(COUNTIFS(日次入力!$A$4:$A$1500,"&gt;="&amp;DATE(2027,2,9),日次入力!$A$4:$A$1500,"&lt;="&amp;DATE(2027,2,15),日次入力!$C$4:$C$1500,"LINE常設")=0,"",SUMIFS(日次入力!$G$4:$G$1500,日次入力!$A$4:$A$1500,"&gt;="&amp;DATE(2027,2,9),日次入力!$A$4:$A$1500,"&lt;="&amp;DATE(2027,2,15),日次入力!$C$4:$C$1500,"LINE常設"))</f>
        <v/>
      </c>
      <c r="G386" s="15" t="str">
        <f aca="false">IFERROR(E386/D386,"")</f>
        <v/>
      </c>
      <c r="H386" s="37" t="str">
        <f aca="false">IFERROR(C386/E386,"")</f>
        <v/>
      </c>
      <c r="I386" s="37" t="str">
        <f aca="false">IFERROR(C386/D386*1000,"")</f>
        <v/>
      </c>
      <c r="J386" s="15" t="str">
        <f aca="false">IFERROR(F386/E386,"")</f>
        <v/>
      </c>
      <c r="K386" s="37" t="str">
        <f aca="false">IFERROR(C386/F386,"")</f>
        <v/>
      </c>
      <c r="L386" s="42" t="str">
        <f aca="false">IF(COUNTIFS(日次入力!$A$4:$A$1500,"&gt;="&amp;DATE(2027,2,9),日次入力!$A$4:$A$1500,"&lt;="&amp;DATE(2027,2,15),日次入力!$C$4:$C$1500,"LINE常設")=0,"",SUMIFS(日次入力!$H$4:$H$1500,日次入力!$A$4:$A$1500,"&gt;="&amp;DATE(2027,2,9),日次入力!$A$4:$A$1500,"&lt;="&amp;DATE(2027,2,15),日次入力!$C$4:$C$1500,"LINE常設"))</f>
        <v/>
      </c>
      <c r="M386" s="15" t="str">
        <f aca="false">IF(L386="","",IFERROR(L386/F386,""))</f>
        <v/>
      </c>
      <c r="N386" s="42" t="str">
        <f aca="false">IF(COUNTIFS(日次入力!$A$4:$A$1500,"&gt;="&amp;DATE(2027,2,9),日次入力!$A$4:$A$1500,"&lt;="&amp;DATE(2027,2,15),日次入力!$C$4:$C$1500,"LINE常設")=0,"",SUMIFS(日次入力!$I$4:$I$1500,日次入力!$A$4:$A$1500,"&gt;="&amp;DATE(2027,2,9),日次入力!$A$4:$A$1500,"&lt;="&amp;DATE(2027,2,15),日次入力!$C$4:$C$1500,"LINE常設"))</f>
        <v/>
      </c>
      <c r="O386" s="15" t="str">
        <f aca="false">IF(N386="","",IFERROR(N386/L386,""))</f>
        <v/>
      </c>
      <c r="P386" s="37" t="str">
        <f aca="false">IF(N386=0,"",IFERROR(C386/N386,""))</f>
        <v/>
      </c>
      <c r="Q386" s="38" t="str">
        <f aca="false">IF(N386=0,"",IFERROR(IF(C386/N386&lt;=用語集!$B$22,"◎ 許容内","✗ 超過"),"—"))</f>
        <v>—</v>
      </c>
      <c r="R386" s="39" t="str">
        <f aca="false">IFERROR(用語集!$B$22/P386,"")</f>
        <v/>
      </c>
    </row>
    <row r="387" customFormat="false" ht="15" hidden="false" customHeight="false" outlineLevel="0" collapsed="false">
      <c r="A387" s="34" t="s">
        <v>150</v>
      </c>
      <c r="B387" s="35" t="s">
        <v>151</v>
      </c>
      <c r="C387" s="41" t="str">
        <f aca="false">IF(COUNTIFS(日次入力!$A$4:$A$1500,"&gt;="&amp;DATE(2027,2,16),日次入力!$A$4:$A$1500,"&lt;="&amp;DATE(2027,2,22),日次入力!$C$4:$C$1500,"LINE常設")=0,"",SUMIFS(日次入力!$D$4:$D$1500,日次入力!$A$4:$A$1500,"&gt;="&amp;DATE(2027,2,16),日次入力!$A$4:$A$1500,"&lt;="&amp;DATE(2027,2,22),日次入力!$C$4:$C$1500,"LINE常設"))</f>
        <v/>
      </c>
      <c r="D387" s="42" t="str">
        <f aca="false">IF(COUNTIFS(日次入力!$A$4:$A$1500,"&gt;="&amp;DATE(2027,2,16),日次入力!$A$4:$A$1500,"&lt;="&amp;DATE(2027,2,22),日次入力!$C$4:$C$1500,"LINE常設")=0,"",SUMIFS(日次入力!$E$4:$E$1500,日次入力!$A$4:$A$1500,"&gt;="&amp;DATE(2027,2,16),日次入力!$A$4:$A$1500,"&lt;="&amp;DATE(2027,2,22),日次入力!$C$4:$C$1500,"LINE常設"))</f>
        <v/>
      </c>
      <c r="E387" s="42" t="str">
        <f aca="false">IF(COUNTIFS(日次入力!$A$4:$A$1500,"&gt;="&amp;DATE(2027,2,16),日次入力!$A$4:$A$1500,"&lt;="&amp;DATE(2027,2,22),日次入力!$C$4:$C$1500,"LINE常設")=0,"",SUMIFS(日次入力!$F$4:$F$1500,日次入力!$A$4:$A$1500,"&gt;="&amp;DATE(2027,2,16),日次入力!$A$4:$A$1500,"&lt;="&amp;DATE(2027,2,22),日次入力!$C$4:$C$1500,"LINE常設"))</f>
        <v/>
      </c>
      <c r="F387" s="42" t="str">
        <f aca="false">IF(COUNTIFS(日次入力!$A$4:$A$1500,"&gt;="&amp;DATE(2027,2,16),日次入力!$A$4:$A$1500,"&lt;="&amp;DATE(2027,2,22),日次入力!$C$4:$C$1500,"LINE常設")=0,"",SUMIFS(日次入力!$G$4:$G$1500,日次入力!$A$4:$A$1500,"&gt;="&amp;DATE(2027,2,16),日次入力!$A$4:$A$1500,"&lt;="&amp;DATE(2027,2,22),日次入力!$C$4:$C$1500,"LINE常設"))</f>
        <v/>
      </c>
      <c r="G387" s="15" t="str">
        <f aca="false">IFERROR(E387/D387,"")</f>
        <v/>
      </c>
      <c r="H387" s="37" t="str">
        <f aca="false">IFERROR(C387/E387,"")</f>
        <v/>
      </c>
      <c r="I387" s="37" t="str">
        <f aca="false">IFERROR(C387/D387*1000,"")</f>
        <v/>
      </c>
      <c r="J387" s="15" t="str">
        <f aca="false">IFERROR(F387/E387,"")</f>
        <v/>
      </c>
      <c r="K387" s="37" t="str">
        <f aca="false">IFERROR(C387/F387,"")</f>
        <v/>
      </c>
      <c r="L387" s="42" t="str">
        <f aca="false">IF(COUNTIFS(日次入力!$A$4:$A$1500,"&gt;="&amp;DATE(2027,2,16),日次入力!$A$4:$A$1500,"&lt;="&amp;DATE(2027,2,22),日次入力!$C$4:$C$1500,"LINE常設")=0,"",SUMIFS(日次入力!$H$4:$H$1500,日次入力!$A$4:$A$1500,"&gt;="&amp;DATE(2027,2,16),日次入力!$A$4:$A$1500,"&lt;="&amp;DATE(2027,2,22),日次入力!$C$4:$C$1500,"LINE常設"))</f>
        <v/>
      </c>
      <c r="M387" s="15" t="str">
        <f aca="false">IF(L387="","",IFERROR(L387/F387,""))</f>
        <v/>
      </c>
      <c r="N387" s="42" t="str">
        <f aca="false">IF(COUNTIFS(日次入力!$A$4:$A$1500,"&gt;="&amp;DATE(2027,2,16),日次入力!$A$4:$A$1500,"&lt;="&amp;DATE(2027,2,22),日次入力!$C$4:$C$1500,"LINE常設")=0,"",SUMIFS(日次入力!$I$4:$I$1500,日次入力!$A$4:$A$1500,"&gt;="&amp;DATE(2027,2,16),日次入力!$A$4:$A$1500,"&lt;="&amp;DATE(2027,2,22),日次入力!$C$4:$C$1500,"LINE常設"))</f>
        <v/>
      </c>
      <c r="O387" s="15" t="str">
        <f aca="false">IF(N387="","",IFERROR(N387/L387,""))</f>
        <v/>
      </c>
      <c r="P387" s="37" t="str">
        <f aca="false">IF(N387=0,"",IFERROR(C387/N387,""))</f>
        <v/>
      </c>
      <c r="Q387" s="38" t="str">
        <f aca="false">IF(N387=0,"",IFERROR(IF(C387/N387&lt;=用語集!$B$22,"◎ 許容内","✗ 超過"),"—"))</f>
        <v>—</v>
      </c>
      <c r="R387" s="39" t="str">
        <f aca="false">IFERROR(用語集!$B$22/P387,"")</f>
        <v/>
      </c>
    </row>
    <row r="388" customFormat="false" ht="15" hidden="false" customHeight="false" outlineLevel="0" collapsed="false">
      <c r="A388" s="34" t="s">
        <v>152</v>
      </c>
      <c r="B388" s="35" t="s">
        <v>153</v>
      </c>
      <c r="C388" s="41" t="str">
        <f aca="false">IF(COUNTIFS(日次入力!$A$4:$A$1500,"&gt;="&amp;DATE(2027,2,23),日次入力!$A$4:$A$1500,"&lt;="&amp;DATE(2027,3,1),日次入力!$C$4:$C$1500,"LINE常設")=0,"",SUMIFS(日次入力!$D$4:$D$1500,日次入力!$A$4:$A$1500,"&gt;="&amp;DATE(2027,2,23),日次入力!$A$4:$A$1500,"&lt;="&amp;DATE(2027,3,1),日次入力!$C$4:$C$1500,"LINE常設"))</f>
        <v/>
      </c>
      <c r="D388" s="42" t="str">
        <f aca="false">IF(COUNTIFS(日次入力!$A$4:$A$1500,"&gt;="&amp;DATE(2027,2,23),日次入力!$A$4:$A$1500,"&lt;="&amp;DATE(2027,3,1),日次入力!$C$4:$C$1500,"LINE常設")=0,"",SUMIFS(日次入力!$E$4:$E$1500,日次入力!$A$4:$A$1500,"&gt;="&amp;DATE(2027,2,23),日次入力!$A$4:$A$1500,"&lt;="&amp;DATE(2027,3,1),日次入力!$C$4:$C$1500,"LINE常設"))</f>
        <v/>
      </c>
      <c r="E388" s="42" t="str">
        <f aca="false">IF(COUNTIFS(日次入力!$A$4:$A$1500,"&gt;="&amp;DATE(2027,2,23),日次入力!$A$4:$A$1500,"&lt;="&amp;DATE(2027,3,1),日次入力!$C$4:$C$1500,"LINE常設")=0,"",SUMIFS(日次入力!$F$4:$F$1500,日次入力!$A$4:$A$1500,"&gt;="&amp;DATE(2027,2,23),日次入力!$A$4:$A$1500,"&lt;="&amp;DATE(2027,3,1),日次入力!$C$4:$C$1500,"LINE常設"))</f>
        <v/>
      </c>
      <c r="F388" s="42" t="str">
        <f aca="false">IF(COUNTIFS(日次入力!$A$4:$A$1500,"&gt;="&amp;DATE(2027,2,23),日次入力!$A$4:$A$1500,"&lt;="&amp;DATE(2027,3,1),日次入力!$C$4:$C$1500,"LINE常設")=0,"",SUMIFS(日次入力!$G$4:$G$1500,日次入力!$A$4:$A$1500,"&gt;="&amp;DATE(2027,2,23),日次入力!$A$4:$A$1500,"&lt;="&amp;DATE(2027,3,1),日次入力!$C$4:$C$1500,"LINE常設"))</f>
        <v/>
      </c>
      <c r="G388" s="15" t="str">
        <f aca="false">IFERROR(E388/D388,"")</f>
        <v/>
      </c>
      <c r="H388" s="37" t="str">
        <f aca="false">IFERROR(C388/E388,"")</f>
        <v/>
      </c>
      <c r="I388" s="37" t="str">
        <f aca="false">IFERROR(C388/D388*1000,"")</f>
        <v/>
      </c>
      <c r="J388" s="15" t="str">
        <f aca="false">IFERROR(F388/E388,"")</f>
        <v/>
      </c>
      <c r="K388" s="37" t="str">
        <f aca="false">IFERROR(C388/F388,"")</f>
        <v/>
      </c>
      <c r="L388" s="42" t="str">
        <f aca="false">IF(COUNTIFS(日次入力!$A$4:$A$1500,"&gt;="&amp;DATE(2027,2,23),日次入力!$A$4:$A$1500,"&lt;="&amp;DATE(2027,3,1),日次入力!$C$4:$C$1500,"LINE常設")=0,"",SUMIFS(日次入力!$H$4:$H$1500,日次入力!$A$4:$A$1500,"&gt;="&amp;DATE(2027,2,23),日次入力!$A$4:$A$1500,"&lt;="&amp;DATE(2027,3,1),日次入力!$C$4:$C$1500,"LINE常設"))</f>
        <v/>
      </c>
      <c r="M388" s="15" t="str">
        <f aca="false">IF(L388="","",IFERROR(L388/F388,""))</f>
        <v/>
      </c>
      <c r="N388" s="42" t="str">
        <f aca="false">IF(COUNTIFS(日次入力!$A$4:$A$1500,"&gt;="&amp;DATE(2027,2,23),日次入力!$A$4:$A$1500,"&lt;="&amp;DATE(2027,3,1),日次入力!$C$4:$C$1500,"LINE常設")=0,"",SUMIFS(日次入力!$I$4:$I$1500,日次入力!$A$4:$A$1500,"&gt;="&amp;DATE(2027,2,23),日次入力!$A$4:$A$1500,"&lt;="&amp;DATE(2027,3,1),日次入力!$C$4:$C$1500,"LINE常設"))</f>
        <v/>
      </c>
      <c r="O388" s="15" t="str">
        <f aca="false">IF(N388="","",IFERROR(N388/L388,""))</f>
        <v/>
      </c>
      <c r="P388" s="37" t="str">
        <f aca="false">IF(N388=0,"",IFERROR(C388/N388,""))</f>
        <v/>
      </c>
      <c r="Q388" s="38" t="str">
        <f aca="false">IF(N388=0,"",IFERROR(IF(C388/N388&lt;=用語集!$B$22,"◎ 許容内","✗ 超過"),"—"))</f>
        <v>—</v>
      </c>
      <c r="R388" s="39" t="str">
        <f aca="false">IFERROR(用語集!$B$22/P388,"")</f>
        <v/>
      </c>
    </row>
    <row r="389" customFormat="false" ht="15" hidden="false" customHeight="false" outlineLevel="0" collapsed="false">
      <c r="A389" s="34" t="s">
        <v>154</v>
      </c>
      <c r="B389" s="35" t="s">
        <v>155</v>
      </c>
      <c r="C389" s="41" t="str">
        <f aca="false">IF(COUNTIFS(日次入力!$A$4:$A$1500,"&gt;="&amp;DATE(2027,3,2),日次入力!$A$4:$A$1500,"&lt;="&amp;DATE(2027,3,8),日次入力!$C$4:$C$1500,"LINE常設")=0,"",SUMIFS(日次入力!$D$4:$D$1500,日次入力!$A$4:$A$1500,"&gt;="&amp;DATE(2027,3,2),日次入力!$A$4:$A$1500,"&lt;="&amp;DATE(2027,3,8),日次入力!$C$4:$C$1500,"LINE常設"))</f>
        <v/>
      </c>
      <c r="D389" s="42" t="str">
        <f aca="false">IF(COUNTIFS(日次入力!$A$4:$A$1500,"&gt;="&amp;DATE(2027,3,2),日次入力!$A$4:$A$1500,"&lt;="&amp;DATE(2027,3,8),日次入力!$C$4:$C$1500,"LINE常設")=0,"",SUMIFS(日次入力!$E$4:$E$1500,日次入力!$A$4:$A$1500,"&gt;="&amp;DATE(2027,3,2),日次入力!$A$4:$A$1500,"&lt;="&amp;DATE(2027,3,8),日次入力!$C$4:$C$1500,"LINE常設"))</f>
        <v/>
      </c>
      <c r="E389" s="42" t="str">
        <f aca="false">IF(COUNTIFS(日次入力!$A$4:$A$1500,"&gt;="&amp;DATE(2027,3,2),日次入力!$A$4:$A$1500,"&lt;="&amp;DATE(2027,3,8),日次入力!$C$4:$C$1500,"LINE常設")=0,"",SUMIFS(日次入力!$F$4:$F$1500,日次入力!$A$4:$A$1500,"&gt;="&amp;DATE(2027,3,2),日次入力!$A$4:$A$1500,"&lt;="&amp;DATE(2027,3,8),日次入力!$C$4:$C$1500,"LINE常設"))</f>
        <v/>
      </c>
      <c r="F389" s="42" t="str">
        <f aca="false">IF(COUNTIFS(日次入力!$A$4:$A$1500,"&gt;="&amp;DATE(2027,3,2),日次入力!$A$4:$A$1500,"&lt;="&amp;DATE(2027,3,8),日次入力!$C$4:$C$1500,"LINE常設")=0,"",SUMIFS(日次入力!$G$4:$G$1500,日次入力!$A$4:$A$1500,"&gt;="&amp;DATE(2027,3,2),日次入力!$A$4:$A$1500,"&lt;="&amp;DATE(2027,3,8),日次入力!$C$4:$C$1500,"LINE常設"))</f>
        <v/>
      </c>
      <c r="G389" s="15" t="str">
        <f aca="false">IFERROR(E389/D389,"")</f>
        <v/>
      </c>
      <c r="H389" s="37" t="str">
        <f aca="false">IFERROR(C389/E389,"")</f>
        <v/>
      </c>
      <c r="I389" s="37" t="str">
        <f aca="false">IFERROR(C389/D389*1000,"")</f>
        <v/>
      </c>
      <c r="J389" s="15" t="str">
        <f aca="false">IFERROR(F389/E389,"")</f>
        <v/>
      </c>
      <c r="K389" s="37" t="str">
        <f aca="false">IFERROR(C389/F389,"")</f>
        <v/>
      </c>
      <c r="L389" s="42" t="str">
        <f aca="false">IF(COUNTIFS(日次入力!$A$4:$A$1500,"&gt;="&amp;DATE(2027,3,2),日次入力!$A$4:$A$1500,"&lt;="&amp;DATE(2027,3,8),日次入力!$C$4:$C$1500,"LINE常設")=0,"",SUMIFS(日次入力!$H$4:$H$1500,日次入力!$A$4:$A$1500,"&gt;="&amp;DATE(2027,3,2),日次入力!$A$4:$A$1500,"&lt;="&amp;DATE(2027,3,8),日次入力!$C$4:$C$1500,"LINE常設"))</f>
        <v/>
      </c>
      <c r="M389" s="15" t="str">
        <f aca="false">IF(L389="","",IFERROR(L389/F389,""))</f>
        <v/>
      </c>
      <c r="N389" s="42" t="str">
        <f aca="false">IF(COUNTIFS(日次入力!$A$4:$A$1500,"&gt;="&amp;DATE(2027,3,2),日次入力!$A$4:$A$1500,"&lt;="&amp;DATE(2027,3,8),日次入力!$C$4:$C$1500,"LINE常設")=0,"",SUMIFS(日次入力!$I$4:$I$1500,日次入力!$A$4:$A$1500,"&gt;="&amp;DATE(2027,3,2),日次入力!$A$4:$A$1500,"&lt;="&amp;DATE(2027,3,8),日次入力!$C$4:$C$1500,"LINE常設"))</f>
        <v/>
      </c>
      <c r="O389" s="15" t="str">
        <f aca="false">IF(N389="","",IFERROR(N389/L389,""))</f>
        <v/>
      </c>
      <c r="P389" s="37" t="str">
        <f aca="false">IF(N389=0,"",IFERROR(C389/N389,""))</f>
        <v/>
      </c>
      <c r="Q389" s="38" t="str">
        <f aca="false">IF(N389=0,"",IFERROR(IF(C389/N389&lt;=用語集!$B$22,"◎ 許容内","✗ 超過"),"—"))</f>
        <v>—</v>
      </c>
      <c r="R389" s="39" t="str">
        <f aca="false">IFERROR(用語集!$B$22/P389,"")</f>
        <v/>
      </c>
    </row>
    <row r="390" customFormat="false" ht="15" hidden="false" customHeight="false" outlineLevel="0" collapsed="false">
      <c r="A390" s="34" t="s">
        <v>156</v>
      </c>
      <c r="B390" s="35" t="s">
        <v>157</v>
      </c>
      <c r="C390" s="41" t="str">
        <f aca="false">IF(COUNTIFS(日次入力!$A$4:$A$1500,"&gt;="&amp;DATE(2027,3,9),日次入力!$A$4:$A$1500,"&lt;="&amp;DATE(2027,3,15),日次入力!$C$4:$C$1500,"LINE常設")=0,"",SUMIFS(日次入力!$D$4:$D$1500,日次入力!$A$4:$A$1500,"&gt;="&amp;DATE(2027,3,9),日次入力!$A$4:$A$1500,"&lt;="&amp;DATE(2027,3,15),日次入力!$C$4:$C$1500,"LINE常設"))</f>
        <v/>
      </c>
      <c r="D390" s="42" t="str">
        <f aca="false">IF(COUNTIFS(日次入力!$A$4:$A$1500,"&gt;="&amp;DATE(2027,3,9),日次入力!$A$4:$A$1500,"&lt;="&amp;DATE(2027,3,15),日次入力!$C$4:$C$1500,"LINE常設")=0,"",SUMIFS(日次入力!$E$4:$E$1500,日次入力!$A$4:$A$1500,"&gt;="&amp;DATE(2027,3,9),日次入力!$A$4:$A$1500,"&lt;="&amp;DATE(2027,3,15),日次入力!$C$4:$C$1500,"LINE常設"))</f>
        <v/>
      </c>
      <c r="E390" s="42" t="str">
        <f aca="false">IF(COUNTIFS(日次入力!$A$4:$A$1500,"&gt;="&amp;DATE(2027,3,9),日次入力!$A$4:$A$1500,"&lt;="&amp;DATE(2027,3,15),日次入力!$C$4:$C$1500,"LINE常設")=0,"",SUMIFS(日次入力!$F$4:$F$1500,日次入力!$A$4:$A$1500,"&gt;="&amp;DATE(2027,3,9),日次入力!$A$4:$A$1500,"&lt;="&amp;DATE(2027,3,15),日次入力!$C$4:$C$1500,"LINE常設"))</f>
        <v/>
      </c>
      <c r="F390" s="42" t="str">
        <f aca="false">IF(COUNTIFS(日次入力!$A$4:$A$1500,"&gt;="&amp;DATE(2027,3,9),日次入力!$A$4:$A$1500,"&lt;="&amp;DATE(2027,3,15),日次入力!$C$4:$C$1500,"LINE常設")=0,"",SUMIFS(日次入力!$G$4:$G$1500,日次入力!$A$4:$A$1500,"&gt;="&amp;DATE(2027,3,9),日次入力!$A$4:$A$1500,"&lt;="&amp;DATE(2027,3,15),日次入力!$C$4:$C$1500,"LINE常設"))</f>
        <v/>
      </c>
      <c r="G390" s="15" t="str">
        <f aca="false">IFERROR(E390/D390,"")</f>
        <v/>
      </c>
      <c r="H390" s="37" t="str">
        <f aca="false">IFERROR(C390/E390,"")</f>
        <v/>
      </c>
      <c r="I390" s="37" t="str">
        <f aca="false">IFERROR(C390/D390*1000,"")</f>
        <v/>
      </c>
      <c r="J390" s="15" t="str">
        <f aca="false">IFERROR(F390/E390,"")</f>
        <v/>
      </c>
      <c r="K390" s="37" t="str">
        <f aca="false">IFERROR(C390/F390,"")</f>
        <v/>
      </c>
      <c r="L390" s="42" t="str">
        <f aca="false">IF(COUNTIFS(日次入力!$A$4:$A$1500,"&gt;="&amp;DATE(2027,3,9),日次入力!$A$4:$A$1500,"&lt;="&amp;DATE(2027,3,15),日次入力!$C$4:$C$1500,"LINE常設")=0,"",SUMIFS(日次入力!$H$4:$H$1500,日次入力!$A$4:$A$1500,"&gt;="&amp;DATE(2027,3,9),日次入力!$A$4:$A$1500,"&lt;="&amp;DATE(2027,3,15),日次入力!$C$4:$C$1500,"LINE常設"))</f>
        <v/>
      </c>
      <c r="M390" s="15" t="str">
        <f aca="false">IF(L390="","",IFERROR(L390/F390,""))</f>
        <v/>
      </c>
      <c r="N390" s="42" t="str">
        <f aca="false">IF(COUNTIFS(日次入力!$A$4:$A$1500,"&gt;="&amp;DATE(2027,3,9),日次入力!$A$4:$A$1500,"&lt;="&amp;DATE(2027,3,15),日次入力!$C$4:$C$1500,"LINE常設")=0,"",SUMIFS(日次入力!$I$4:$I$1500,日次入力!$A$4:$A$1500,"&gt;="&amp;DATE(2027,3,9),日次入力!$A$4:$A$1500,"&lt;="&amp;DATE(2027,3,15),日次入力!$C$4:$C$1500,"LINE常設"))</f>
        <v/>
      </c>
      <c r="O390" s="15" t="str">
        <f aca="false">IF(N390="","",IFERROR(N390/L390,""))</f>
        <v/>
      </c>
      <c r="P390" s="37" t="str">
        <f aca="false">IF(N390=0,"",IFERROR(C390/N390,""))</f>
        <v/>
      </c>
      <c r="Q390" s="38" t="str">
        <f aca="false">IF(N390=0,"",IFERROR(IF(C390/N390&lt;=用語集!$B$22,"◎ 許容内","✗ 超過"),"—"))</f>
        <v>—</v>
      </c>
      <c r="R390" s="39" t="str">
        <f aca="false">IFERROR(用語集!$B$22/P390,"")</f>
        <v/>
      </c>
    </row>
    <row r="391" customFormat="false" ht="15" hidden="false" customHeight="false" outlineLevel="0" collapsed="false">
      <c r="A391" s="34" t="s">
        <v>158</v>
      </c>
      <c r="B391" s="35" t="s">
        <v>159</v>
      </c>
      <c r="C391" s="41" t="str">
        <f aca="false">IF(COUNTIFS(日次入力!$A$4:$A$1500,"&gt;="&amp;DATE(2027,3,16),日次入力!$A$4:$A$1500,"&lt;="&amp;DATE(2027,3,22),日次入力!$C$4:$C$1500,"LINE常設")=0,"",SUMIFS(日次入力!$D$4:$D$1500,日次入力!$A$4:$A$1500,"&gt;="&amp;DATE(2027,3,16),日次入力!$A$4:$A$1500,"&lt;="&amp;DATE(2027,3,22),日次入力!$C$4:$C$1500,"LINE常設"))</f>
        <v/>
      </c>
      <c r="D391" s="42" t="str">
        <f aca="false">IF(COUNTIFS(日次入力!$A$4:$A$1500,"&gt;="&amp;DATE(2027,3,16),日次入力!$A$4:$A$1500,"&lt;="&amp;DATE(2027,3,22),日次入力!$C$4:$C$1500,"LINE常設")=0,"",SUMIFS(日次入力!$E$4:$E$1500,日次入力!$A$4:$A$1500,"&gt;="&amp;DATE(2027,3,16),日次入力!$A$4:$A$1500,"&lt;="&amp;DATE(2027,3,22),日次入力!$C$4:$C$1500,"LINE常設"))</f>
        <v/>
      </c>
      <c r="E391" s="42" t="str">
        <f aca="false">IF(COUNTIFS(日次入力!$A$4:$A$1500,"&gt;="&amp;DATE(2027,3,16),日次入力!$A$4:$A$1500,"&lt;="&amp;DATE(2027,3,22),日次入力!$C$4:$C$1500,"LINE常設")=0,"",SUMIFS(日次入力!$F$4:$F$1500,日次入力!$A$4:$A$1500,"&gt;="&amp;DATE(2027,3,16),日次入力!$A$4:$A$1500,"&lt;="&amp;DATE(2027,3,22),日次入力!$C$4:$C$1500,"LINE常設"))</f>
        <v/>
      </c>
      <c r="F391" s="42" t="str">
        <f aca="false">IF(COUNTIFS(日次入力!$A$4:$A$1500,"&gt;="&amp;DATE(2027,3,16),日次入力!$A$4:$A$1500,"&lt;="&amp;DATE(2027,3,22),日次入力!$C$4:$C$1500,"LINE常設")=0,"",SUMIFS(日次入力!$G$4:$G$1500,日次入力!$A$4:$A$1500,"&gt;="&amp;DATE(2027,3,16),日次入力!$A$4:$A$1500,"&lt;="&amp;DATE(2027,3,22),日次入力!$C$4:$C$1500,"LINE常設"))</f>
        <v/>
      </c>
      <c r="G391" s="15" t="str">
        <f aca="false">IFERROR(E391/D391,"")</f>
        <v/>
      </c>
      <c r="H391" s="37" t="str">
        <f aca="false">IFERROR(C391/E391,"")</f>
        <v/>
      </c>
      <c r="I391" s="37" t="str">
        <f aca="false">IFERROR(C391/D391*1000,"")</f>
        <v/>
      </c>
      <c r="J391" s="15" t="str">
        <f aca="false">IFERROR(F391/E391,"")</f>
        <v/>
      </c>
      <c r="K391" s="37" t="str">
        <f aca="false">IFERROR(C391/F391,"")</f>
        <v/>
      </c>
      <c r="L391" s="42" t="str">
        <f aca="false">IF(COUNTIFS(日次入力!$A$4:$A$1500,"&gt;="&amp;DATE(2027,3,16),日次入力!$A$4:$A$1500,"&lt;="&amp;DATE(2027,3,22),日次入力!$C$4:$C$1500,"LINE常設")=0,"",SUMIFS(日次入力!$H$4:$H$1500,日次入力!$A$4:$A$1500,"&gt;="&amp;DATE(2027,3,16),日次入力!$A$4:$A$1500,"&lt;="&amp;DATE(2027,3,22),日次入力!$C$4:$C$1500,"LINE常設"))</f>
        <v/>
      </c>
      <c r="M391" s="15" t="str">
        <f aca="false">IF(L391="","",IFERROR(L391/F391,""))</f>
        <v/>
      </c>
      <c r="N391" s="42" t="str">
        <f aca="false">IF(COUNTIFS(日次入力!$A$4:$A$1500,"&gt;="&amp;DATE(2027,3,16),日次入力!$A$4:$A$1500,"&lt;="&amp;DATE(2027,3,22),日次入力!$C$4:$C$1500,"LINE常設")=0,"",SUMIFS(日次入力!$I$4:$I$1500,日次入力!$A$4:$A$1500,"&gt;="&amp;DATE(2027,3,16),日次入力!$A$4:$A$1500,"&lt;="&amp;DATE(2027,3,22),日次入力!$C$4:$C$1500,"LINE常設"))</f>
        <v/>
      </c>
      <c r="O391" s="15" t="str">
        <f aca="false">IF(N391="","",IFERROR(N391/L391,""))</f>
        <v/>
      </c>
      <c r="P391" s="37" t="str">
        <f aca="false">IF(N391=0,"",IFERROR(C391/N391,""))</f>
        <v/>
      </c>
      <c r="Q391" s="38" t="str">
        <f aca="false">IF(N391=0,"",IFERROR(IF(C391/N391&lt;=用語集!$B$22,"◎ 許容内","✗ 超過"),"—"))</f>
        <v>—</v>
      </c>
      <c r="R391" s="39" t="str">
        <f aca="false">IFERROR(用語集!$B$22/P391,"")</f>
        <v/>
      </c>
    </row>
    <row r="392" customFormat="false" ht="15" hidden="false" customHeight="false" outlineLevel="0" collapsed="false">
      <c r="A392" s="34" t="s">
        <v>160</v>
      </c>
      <c r="B392" s="35" t="s">
        <v>161</v>
      </c>
      <c r="C392" s="41" t="str">
        <f aca="false">IF(COUNTIFS(日次入力!$A$4:$A$1500,"&gt;="&amp;DATE(2027,3,23),日次入力!$A$4:$A$1500,"&lt;="&amp;DATE(2027,3,29),日次入力!$C$4:$C$1500,"LINE常設")=0,"",SUMIFS(日次入力!$D$4:$D$1500,日次入力!$A$4:$A$1500,"&gt;="&amp;DATE(2027,3,23),日次入力!$A$4:$A$1500,"&lt;="&amp;DATE(2027,3,29),日次入力!$C$4:$C$1500,"LINE常設"))</f>
        <v/>
      </c>
      <c r="D392" s="42" t="str">
        <f aca="false">IF(COUNTIFS(日次入力!$A$4:$A$1500,"&gt;="&amp;DATE(2027,3,23),日次入力!$A$4:$A$1500,"&lt;="&amp;DATE(2027,3,29),日次入力!$C$4:$C$1500,"LINE常設")=0,"",SUMIFS(日次入力!$E$4:$E$1500,日次入力!$A$4:$A$1500,"&gt;="&amp;DATE(2027,3,23),日次入力!$A$4:$A$1500,"&lt;="&amp;DATE(2027,3,29),日次入力!$C$4:$C$1500,"LINE常設"))</f>
        <v/>
      </c>
      <c r="E392" s="42" t="str">
        <f aca="false">IF(COUNTIFS(日次入力!$A$4:$A$1500,"&gt;="&amp;DATE(2027,3,23),日次入力!$A$4:$A$1500,"&lt;="&amp;DATE(2027,3,29),日次入力!$C$4:$C$1500,"LINE常設")=0,"",SUMIFS(日次入力!$F$4:$F$1500,日次入力!$A$4:$A$1500,"&gt;="&amp;DATE(2027,3,23),日次入力!$A$4:$A$1500,"&lt;="&amp;DATE(2027,3,29),日次入力!$C$4:$C$1500,"LINE常設"))</f>
        <v/>
      </c>
      <c r="F392" s="42" t="str">
        <f aca="false">IF(COUNTIFS(日次入力!$A$4:$A$1500,"&gt;="&amp;DATE(2027,3,23),日次入力!$A$4:$A$1500,"&lt;="&amp;DATE(2027,3,29),日次入力!$C$4:$C$1500,"LINE常設")=0,"",SUMIFS(日次入力!$G$4:$G$1500,日次入力!$A$4:$A$1500,"&gt;="&amp;DATE(2027,3,23),日次入力!$A$4:$A$1500,"&lt;="&amp;DATE(2027,3,29),日次入力!$C$4:$C$1500,"LINE常設"))</f>
        <v/>
      </c>
      <c r="G392" s="15" t="str">
        <f aca="false">IFERROR(E392/D392,"")</f>
        <v/>
      </c>
      <c r="H392" s="37" t="str">
        <f aca="false">IFERROR(C392/E392,"")</f>
        <v/>
      </c>
      <c r="I392" s="37" t="str">
        <f aca="false">IFERROR(C392/D392*1000,"")</f>
        <v/>
      </c>
      <c r="J392" s="15" t="str">
        <f aca="false">IFERROR(F392/E392,"")</f>
        <v/>
      </c>
      <c r="K392" s="37" t="str">
        <f aca="false">IFERROR(C392/F392,"")</f>
        <v/>
      </c>
      <c r="L392" s="42" t="str">
        <f aca="false">IF(COUNTIFS(日次入力!$A$4:$A$1500,"&gt;="&amp;DATE(2027,3,23),日次入力!$A$4:$A$1500,"&lt;="&amp;DATE(2027,3,29),日次入力!$C$4:$C$1500,"LINE常設")=0,"",SUMIFS(日次入力!$H$4:$H$1500,日次入力!$A$4:$A$1500,"&gt;="&amp;DATE(2027,3,23),日次入力!$A$4:$A$1500,"&lt;="&amp;DATE(2027,3,29),日次入力!$C$4:$C$1500,"LINE常設"))</f>
        <v/>
      </c>
      <c r="M392" s="15" t="str">
        <f aca="false">IF(L392="","",IFERROR(L392/F392,""))</f>
        <v/>
      </c>
      <c r="N392" s="42" t="str">
        <f aca="false">IF(COUNTIFS(日次入力!$A$4:$A$1500,"&gt;="&amp;DATE(2027,3,23),日次入力!$A$4:$A$1500,"&lt;="&amp;DATE(2027,3,29),日次入力!$C$4:$C$1500,"LINE常設")=0,"",SUMIFS(日次入力!$I$4:$I$1500,日次入力!$A$4:$A$1500,"&gt;="&amp;DATE(2027,3,23),日次入力!$A$4:$A$1500,"&lt;="&amp;DATE(2027,3,29),日次入力!$C$4:$C$1500,"LINE常設"))</f>
        <v/>
      </c>
      <c r="O392" s="15" t="str">
        <f aca="false">IF(N392="","",IFERROR(N392/L392,""))</f>
        <v/>
      </c>
      <c r="P392" s="37" t="str">
        <f aca="false">IF(N392=0,"",IFERROR(C392/N392,""))</f>
        <v/>
      </c>
      <c r="Q392" s="38" t="str">
        <f aca="false">IF(N392=0,"",IFERROR(IF(C392/N392&lt;=用語集!$B$22,"◎ 許容内","✗ 超過"),"—"))</f>
        <v>—</v>
      </c>
      <c r="R392" s="39" t="str">
        <f aca="false">IFERROR(用語集!$B$22/P392,"")</f>
        <v/>
      </c>
    </row>
    <row r="393" customFormat="false" ht="15" hidden="false" customHeight="false" outlineLevel="0" collapsed="false">
      <c r="A393" s="34" t="s">
        <v>162</v>
      </c>
      <c r="B393" s="35" t="s">
        <v>163</v>
      </c>
      <c r="C393" s="41" t="str">
        <f aca="false">IF(COUNTIFS(日次入力!$A$4:$A$1500,"&gt;="&amp;DATE(2027,3,30),日次入力!$A$4:$A$1500,"&lt;="&amp;DATE(2027,4,5),日次入力!$C$4:$C$1500,"LINE常設")=0,"",SUMIFS(日次入力!$D$4:$D$1500,日次入力!$A$4:$A$1500,"&gt;="&amp;DATE(2027,3,30),日次入力!$A$4:$A$1500,"&lt;="&amp;DATE(2027,4,5),日次入力!$C$4:$C$1500,"LINE常設"))</f>
        <v/>
      </c>
      <c r="D393" s="42" t="str">
        <f aca="false">IF(COUNTIFS(日次入力!$A$4:$A$1500,"&gt;="&amp;DATE(2027,3,30),日次入力!$A$4:$A$1500,"&lt;="&amp;DATE(2027,4,5),日次入力!$C$4:$C$1500,"LINE常設")=0,"",SUMIFS(日次入力!$E$4:$E$1500,日次入力!$A$4:$A$1500,"&gt;="&amp;DATE(2027,3,30),日次入力!$A$4:$A$1500,"&lt;="&amp;DATE(2027,4,5),日次入力!$C$4:$C$1500,"LINE常設"))</f>
        <v/>
      </c>
      <c r="E393" s="42" t="str">
        <f aca="false">IF(COUNTIFS(日次入力!$A$4:$A$1500,"&gt;="&amp;DATE(2027,3,30),日次入力!$A$4:$A$1500,"&lt;="&amp;DATE(2027,4,5),日次入力!$C$4:$C$1500,"LINE常設")=0,"",SUMIFS(日次入力!$F$4:$F$1500,日次入力!$A$4:$A$1500,"&gt;="&amp;DATE(2027,3,30),日次入力!$A$4:$A$1500,"&lt;="&amp;DATE(2027,4,5),日次入力!$C$4:$C$1500,"LINE常設"))</f>
        <v/>
      </c>
      <c r="F393" s="42" t="str">
        <f aca="false">IF(COUNTIFS(日次入力!$A$4:$A$1500,"&gt;="&amp;DATE(2027,3,30),日次入力!$A$4:$A$1500,"&lt;="&amp;DATE(2027,4,5),日次入力!$C$4:$C$1500,"LINE常設")=0,"",SUMIFS(日次入力!$G$4:$G$1500,日次入力!$A$4:$A$1500,"&gt;="&amp;DATE(2027,3,30),日次入力!$A$4:$A$1500,"&lt;="&amp;DATE(2027,4,5),日次入力!$C$4:$C$1500,"LINE常設"))</f>
        <v/>
      </c>
      <c r="G393" s="15" t="str">
        <f aca="false">IFERROR(E393/D393,"")</f>
        <v/>
      </c>
      <c r="H393" s="37" t="str">
        <f aca="false">IFERROR(C393/E393,"")</f>
        <v/>
      </c>
      <c r="I393" s="37" t="str">
        <f aca="false">IFERROR(C393/D393*1000,"")</f>
        <v/>
      </c>
      <c r="J393" s="15" t="str">
        <f aca="false">IFERROR(F393/E393,"")</f>
        <v/>
      </c>
      <c r="K393" s="37" t="str">
        <f aca="false">IFERROR(C393/F393,"")</f>
        <v/>
      </c>
      <c r="L393" s="42" t="str">
        <f aca="false">IF(COUNTIFS(日次入力!$A$4:$A$1500,"&gt;="&amp;DATE(2027,3,30),日次入力!$A$4:$A$1500,"&lt;="&amp;DATE(2027,4,5),日次入力!$C$4:$C$1500,"LINE常設")=0,"",SUMIFS(日次入力!$H$4:$H$1500,日次入力!$A$4:$A$1500,"&gt;="&amp;DATE(2027,3,30),日次入力!$A$4:$A$1500,"&lt;="&amp;DATE(2027,4,5),日次入力!$C$4:$C$1500,"LINE常設"))</f>
        <v/>
      </c>
      <c r="M393" s="15" t="str">
        <f aca="false">IF(L393="","",IFERROR(L393/F393,""))</f>
        <v/>
      </c>
      <c r="N393" s="42" t="str">
        <f aca="false">IF(COUNTIFS(日次入力!$A$4:$A$1500,"&gt;="&amp;DATE(2027,3,30),日次入力!$A$4:$A$1500,"&lt;="&amp;DATE(2027,4,5),日次入力!$C$4:$C$1500,"LINE常設")=0,"",SUMIFS(日次入力!$I$4:$I$1500,日次入力!$A$4:$A$1500,"&gt;="&amp;DATE(2027,3,30),日次入力!$A$4:$A$1500,"&lt;="&amp;DATE(2027,4,5),日次入力!$C$4:$C$1500,"LINE常設"))</f>
        <v/>
      </c>
      <c r="O393" s="15" t="str">
        <f aca="false">IF(N393="","",IFERROR(N393/L393,""))</f>
        <v/>
      </c>
      <c r="P393" s="37" t="str">
        <f aca="false">IF(N393=0,"",IFERROR(C393/N393,""))</f>
        <v/>
      </c>
      <c r="Q393" s="38" t="str">
        <f aca="false">IF(N393=0,"",IFERROR(IF(C393/N393&lt;=用語集!$B$22,"◎ 許容内","✗ 超過"),"—"))</f>
        <v>—</v>
      </c>
      <c r="R393" s="39" t="str">
        <f aca="false">IFERROR(用語集!$B$22/P393,"")</f>
        <v/>
      </c>
    </row>
    <row r="394" customFormat="false" ht="15" hidden="false" customHeight="false" outlineLevel="0" collapsed="false">
      <c r="A394" s="43" t="s">
        <v>164</v>
      </c>
      <c r="B394" s="44"/>
      <c r="C394" s="45" t="n">
        <f aca="false">SUM(C342:C393)</f>
        <v>80526</v>
      </c>
      <c r="D394" s="46" t="n">
        <f aca="false">SUM(D342:D393)</f>
        <v>1642808</v>
      </c>
      <c r="E394" s="46" t="n">
        <f aca="false">SUM(E342:E393)</f>
        <v>61246</v>
      </c>
      <c r="F394" s="46" t="n">
        <f aca="false">SUM(F342:F393)</f>
        <v>0</v>
      </c>
      <c r="G394" s="47" t="n">
        <f aca="false">IFERROR(E394/D394,"")</f>
        <v>0.0372812891098656</v>
      </c>
      <c r="H394" s="45" t="n">
        <f aca="false">IFERROR(C394/E394,"")</f>
        <v>1.31479606831467</v>
      </c>
      <c r="I394" s="45" t="n">
        <f aca="false">IFERROR(C394/D394*1000,"")</f>
        <v>49.0172923433536</v>
      </c>
      <c r="J394" s="47" t="n">
        <f aca="false">IFERROR(F394/D394,"")</f>
        <v>0</v>
      </c>
      <c r="K394" s="45" t="str">
        <f aca="false">IFERROR(C394/F394,"")</f>
        <v/>
      </c>
      <c r="L394" s="46" t="n">
        <f aca="false">SUM(L342:L393)</f>
        <v>0</v>
      </c>
      <c r="M394" s="47" t="str">
        <f aca="false">IF(L394=0,"",IFERROR(L394/F394,""))</f>
        <v/>
      </c>
      <c r="N394" s="46" t="n">
        <f aca="false">SUM(N342:N393)</f>
        <v>0</v>
      </c>
      <c r="O394" s="47" t="str">
        <f aca="false">IF(L394=0,"",IFERROR(N394/L394,""))</f>
        <v/>
      </c>
      <c r="P394" s="45" t="str">
        <f aca="false">IF(N394=0,"",IFERROR(C394/N394,""))</f>
        <v/>
      </c>
      <c r="Q394" s="43" t="str">
        <f aca="false">IF(N394=0,"",IFERROR(IF(C394/N394&lt;=用語集!$B$22,"◎ 許容内","✗ 超過"),"—"))</f>
        <v/>
      </c>
      <c r="R394" s="48" t="str">
        <f aca="false">IFERROR(用語集!$B$22/P394,"")</f>
        <v/>
      </c>
    </row>
    <row r="396" customFormat="false" ht="17.15" hidden="false" customHeight="false" outlineLevel="0" collapsed="false">
      <c r="A396" s="31" t="s">
        <v>171</v>
      </c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</row>
    <row r="397" customFormat="false" ht="25.5" hidden="false" customHeight="true" outlineLevel="0" collapsed="false">
      <c r="A397" s="32" t="s">
        <v>48</v>
      </c>
      <c r="B397" s="32" t="s">
        <v>49</v>
      </c>
      <c r="C397" s="32" t="s">
        <v>35</v>
      </c>
      <c r="D397" s="33" t="s">
        <v>36</v>
      </c>
      <c r="E397" s="32" t="s">
        <v>37</v>
      </c>
      <c r="F397" s="33" t="s">
        <v>38</v>
      </c>
      <c r="G397" s="33" t="s">
        <v>50</v>
      </c>
      <c r="H397" s="33" t="s">
        <v>51</v>
      </c>
      <c r="I397" s="33" t="s">
        <v>52</v>
      </c>
      <c r="J397" s="33" t="s">
        <v>53</v>
      </c>
      <c r="K397" s="33" t="s">
        <v>54</v>
      </c>
      <c r="L397" s="32" t="s">
        <v>39</v>
      </c>
      <c r="M397" s="32" t="s">
        <v>55</v>
      </c>
      <c r="N397" s="32" t="s">
        <v>40</v>
      </c>
      <c r="O397" s="32" t="s">
        <v>23</v>
      </c>
      <c r="P397" s="33" t="s">
        <v>56</v>
      </c>
      <c r="Q397" s="32" t="s">
        <v>57</v>
      </c>
      <c r="R397" s="32" t="s">
        <v>58</v>
      </c>
    </row>
    <row r="398" customFormat="false" ht="15" hidden="false" customHeight="false" outlineLevel="0" collapsed="false">
      <c r="A398" s="49" t="s">
        <v>172</v>
      </c>
      <c r="B398" s="50" t="s">
        <v>173</v>
      </c>
      <c r="C398" s="51" t="s">
        <v>174</v>
      </c>
      <c r="D398" s="51" t="s">
        <v>174</v>
      </c>
      <c r="E398" s="51" t="s">
        <v>174</v>
      </c>
      <c r="F398" s="12"/>
      <c r="G398" s="15" t="str">
        <f aca="false">IFERROR(E398/D398,"")</f>
        <v/>
      </c>
      <c r="H398" s="37" t="str">
        <f aca="false">IFERROR(C398/E398,"")</f>
        <v/>
      </c>
      <c r="I398" s="37" t="str">
        <f aca="false">IFERROR(C398/D398*1000,"")</f>
        <v/>
      </c>
      <c r="J398" s="15" t="str">
        <f aca="false">IFERROR(F398/E398,"")</f>
        <v/>
      </c>
      <c r="K398" s="37" t="str">
        <f aca="false">IFERROR(C398/F398,"")</f>
        <v/>
      </c>
      <c r="L398" s="12"/>
      <c r="M398" s="15" t="str">
        <f aca="false">IF(L398="","",IFERROR(L398/F398,""))</f>
        <v/>
      </c>
      <c r="N398" s="12"/>
      <c r="O398" s="15" t="str">
        <f aca="false">IF(N398="","",IFERROR(N398/L398,""))</f>
        <v/>
      </c>
      <c r="P398" s="37" t="str">
        <f aca="false">IF(N398=0,"",IFERROR(C398/N398,""))</f>
        <v/>
      </c>
      <c r="Q398" s="38" t="str">
        <f aca="false">IF(N398=0,"",IFERROR(IF(C398/N398&lt;=用語集!$B$22,"◎ 許容内","✗ 超過"),"—"))</f>
        <v/>
      </c>
      <c r="R398" s="52" t="str">
        <f aca="false">IFERROR(用語集!$B$22/P398,"")</f>
        <v/>
      </c>
    </row>
    <row r="399" customFormat="false" ht="15" hidden="false" customHeight="false" outlineLevel="0" collapsed="false">
      <c r="A399" s="34" t="s">
        <v>59</v>
      </c>
      <c r="B399" s="35" t="s">
        <v>60</v>
      </c>
      <c r="C399" s="51" t="s">
        <v>174</v>
      </c>
      <c r="D399" s="51" t="s">
        <v>174</v>
      </c>
      <c r="E399" s="51" t="s">
        <v>174</v>
      </c>
      <c r="F399" s="12"/>
      <c r="G399" s="15" t="str">
        <f aca="false">IFERROR(E399/D399,"")</f>
        <v/>
      </c>
      <c r="H399" s="37" t="str">
        <f aca="false">IFERROR(C399/E399,"")</f>
        <v/>
      </c>
      <c r="I399" s="37" t="str">
        <f aca="false">IFERROR(C399/D399*1000,"")</f>
        <v/>
      </c>
      <c r="J399" s="15" t="str">
        <f aca="false">IFERROR(F399/E399,"")</f>
        <v/>
      </c>
      <c r="K399" s="37" t="str">
        <f aca="false">IFERROR(C399/F399,"")</f>
        <v/>
      </c>
      <c r="L399" s="12"/>
      <c r="M399" s="15" t="str">
        <f aca="false">IF(L399="","",IFERROR(L399/F399,""))</f>
        <v/>
      </c>
      <c r="N399" s="12"/>
      <c r="O399" s="15" t="str">
        <f aca="false">IF(N399="","",IFERROR(N399/L399,""))</f>
        <v/>
      </c>
      <c r="P399" s="37" t="str">
        <f aca="false">IF(N399=0,"",IFERROR(C399/N399,""))</f>
        <v/>
      </c>
      <c r="Q399" s="38" t="str">
        <f aca="false">IF(N399=0,"",IFERROR(IF(C399/N399&lt;=用語集!$B$22,"◎ 許容内","✗ 超過"),"—"))</f>
        <v/>
      </c>
      <c r="R399" s="39" t="str">
        <f aca="false">IFERROR(用語集!$B$22/P399,"")</f>
        <v/>
      </c>
    </row>
    <row r="400" customFormat="false" ht="15" hidden="false" customHeight="false" outlineLevel="0" collapsed="false">
      <c r="A400" s="34" t="s">
        <v>61</v>
      </c>
      <c r="B400" s="35" t="s">
        <v>62</v>
      </c>
      <c r="C400" s="51" t="s">
        <v>174</v>
      </c>
      <c r="D400" s="51" t="s">
        <v>174</v>
      </c>
      <c r="E400" s="51" t="s">
        <v>174</v>
      </c>
      <c r="F400" s="12"/>
      <c r="G400" s="15" t="str">
        <f aca="false">IFERROR(E400/D400,"")</f>
        <v/>
      </c>
      <c r="H400" s="37" t="str">
        <f aca="false">IFERROR(C400/E400,"")</f>
        <v/>
      </c>
      <c r="I400" s="37" t="str">
        <f aca="false">IFERROR(C400/D400*1000,"")</f>
        <v/>
      </c>
      <c r="J400" s="15" t="str">
        <f aca="false">IFERROR(F400/E400,"")</f>
        <v/>
      </c>
      <c r="K400" s="37" t="str">
        <f aca="false">IFERROR(C400/F400,"")</f>
        <v/>
      </c>
      <c r="L400" s="12"/>
      <c r="M400" s="15" t="str">
        <f aca="false">IF(L400="","",IFERROR(L400/F400,""))</f>
        <v/>
      </c>
      <c r="N400" s="12"/>
      <c r="O400" s="15" t="str">
        <f aca="false">IF(N400="","",IFERROR(N400/L400,""))</f>
        <v/>
      </c>
      <c r="P400" s="37" t="str">
        <f aca="false">IF(N400=0,"",IFERROR(C400/N400,""))</f>
        <v/>
      </c>
      <c r="Q400" s="38" t="str">
        <f aca="false">IF(N400=0,"",IFERROR(IF(C400/N400&lt;=用語集!$B$22,"◎ 許容内","✗ 超過"),"—"))</f>
        <v/>
      </c>
      <c r="R400" s="39" t="str">
        <f aca="false">IFERROR(用語集!$B$22/P400,"")</f>
        <v/>
      </c>
    </row>
    <row r="401" customFormat="false" ht="15" hidden="false" customHeight="false" outlineLevel="0" collapsed="false">
      <c r="A401" s="34" t="s">
        <v>63</v>
      </c>
      <c r="B401" s="35" t="s">
        <v>64</v>
      </c>
      <c r="C401" s="51" t="s">
        <v>174</v>
      </c>
      <c r="D401" s="51" t="s">
        <v>174</v>
      </c>
      <c r="E401" s="51" t="s">
        <v>174</v>
      </c>
      <c r="F401" s="12"/>
      <c r="G401" s="15" t="str">
        <f aca="false">IFERROR(E401/D401,"")</f>
        <v/>
      </c>
      <c r="H401" s="37" t="str">
        <f aca="false">IFERROR(C401/E401,"")</f>
        <v/>
      </c>
      <c r="I401" s="37" t="str">
        <f aca="false">IFERROR(C401/D401*1000,"")</f>
        <v/>
      </c>
      <c r="J401" s="15" t="str">
        <f aca="false">IFERROR(F401/E401,"")</f>
        <v/>
      </c>
      <c r="K401" s="37" t="str">
        <f aca="false">IFERROR(C401/F401,"")</f>
        <v/>
      </c>
      <c r="L401" s="12"/>
      <c r="M401" s="15" t="str">
        <f aca="false">IF(L401="","",IFERROR(L401/F401,""))</f>
        <v/>
      </c>
      <c r="N401" s="12"/>
      <c r="O401" s="15" t="str">
        <f aca="false">IF(N401="","",IFERROR(N401/L401,""))</f>
        <v/>
      </c>
      <c r="P401" s="37" t="str">
        <f aca="false">IF(N401=0,"",IFERROR(C401/N401,""))</f>
        <v/>
      </c>
      <c r="Q401" s="38" t="str">
        <f aca="false">IF(N401=0,"",IFERROR(IF(C401/N401&lt;=用語集!$B$22,"◎ 許容内","✗ 超過"),"—"))</f>
        <v/>
      </c>
      <c r="R401" s="39" t="str">
        <f aca="false">IFERROR(用語集!$B$22/P401,"")</f>
        <v/>
      </c>
    </row>
    <row r="402" customFormat="false" ht="15" hidden="false" customHeight="false" outlineLevel="0" collapsed="false">
      <c r="A402" s="34" t="s">
        <v>65</v>
      </c>
      <c r="B402" s="35" t="s">
        <v>66</v>
      </c>
      <c r="C402" s="51" t="s">
        <v>174</v>
      </c>
      <c r="D402" s="51" t="s">
        <v>174</v>
      </c>
      <c r="E402" s="51" t="s">
        <v>174</v>
      </c>
      <c r="F402" s="12"/>
      <c r="G402" s="15" t="str">
        <f aca="false">IFERROR(E402/D402,"")</f>
        <v/>
      </c>
      <c r="H402" s="37" t="str">
        <f aca="false">IFERROR(C402/E402,"")</f>
        <v/>
      </c>
      <c r="I402" s="37" t="str">
        <f aca="false">IFERROR(C402/D402*1000,"")</f>
        <v/>
      </c>
      <c r="J402" s="15" t="str">
        <f aca="false">IFERROR(F402/E402,"")</f>
        <v/>
      </c>
      <c r="K402" s="37" t="str">
        <f aca="false">IFERROR(C402/F402,"")</f>
        <v/>
      </c>
      <c r="L402" s="12"/>
      <c r="M402" s="15" t="str">
        <f aca="false">IF(L402="","",IFERROR(L402/F402,""))</f>
        <v/>
      </c>
      <c r="N402" s="12"/>
      <c r="O402" s="15" t="str">
        <f aca="false">IF(N402="","",IFERROR(N402/L402,""))</f>
        <v/>
      </c>
      <c r="P402" s="37" t="str">
        <f aca="false">IF(N402=0,"",IFERROR(C402/N402,""))</f>
        <v/>
      </c>
      <c r="Q402" s="38" t="str">
        <f aca="false">IF(N402=0,"",IFERROR(IF(C402/N402&lt;=用語集!$B$22,"◎ 許容内","✗ 超過"),"—"))</f>
        <v/>
      </c>
      <c r="R402" s="39" t="str">
        <f aca="false">IFERROR(用語集!$B$22/P402,"")</f>
        <v/>
      </c>
    </row>
    <row r="403" customFormat="false" ht="15" hidden="false" customHeight="false" outlineLevel="0" collapsed="false">
      <c r="A403" s="34" t="s">
        <v>68</v>
      </c>
      <c r="B403" s="35" t="s">
        <v>69</v>
      </c>
      <c r="C403" s="51" t="s">
        <v>174</v>
      </c>
      <c r="D403" s="51" t="s">
        <v>174</v>
      </c>
      <c r="E403" s="51" t="s">
        <v>174</v>
      </c>
      <c r="F403" s="12"/>
      <c r="G403" s="15" t="str">
        <f aca="false">IFERROR(E403/D403,"")</f>
        <v/>
      </c>
      <c r="H403" s="37" t="str">
        <f aca="false">IFERROR(C403/E403,"")</f>
        <v/>
      </c>
      <c r="I403" s="37" t="str">
        <f aca="false">IFERROR(C403/D403*1000,"")</f>
        <v/>
      </c>
      <c r="J403" s="15" t="str">
        <f aca="false">IFERROR(F403/E403,"")</f>
        <v/>
      </c>
      <c r="K403" s="37" t="str">
        <f aca="false">IFERROR(C403/F403,"")</f>
        <v/>
      </c>
      <c r="L403" s="12"/>
      <c r="M403" s="15" t="str">
        <f aca="false">IF(L403="","",IFERROR(L403/F403,""))</f>
        <v/>
      </c>
      <c r="N403" s="12"/>
      <c r="O403" s="15" t="str">
        <f aca="false">IF(N403="","",IFERROR(N403/L403,""))</f>
        <v/>
      </c>
      <c r="P403" s="37" t="str">
        <f aca="false">IF(N403=0,"",IFERROR(C403/N403,""))</f>
        <v/>
      </c>
      <c r="Q403" s="38" t="str">
        <f aca="false">IF(N403=0,"",IFERROR(IF(C403/N403&lt;=用語集!$B$22,"◎ 許容内","✗ 超過"),"—"))</f>
        <v/>
      </c>
      <c r="R403" s="39" t="str">
        <f aca="false">IFERROR(用語集!$B$22/P403,"")</f>
        <v/>
      </c>
    </row>
    <row r="404" customFormat="false" ht="15" hidden="false" customHeight="false" outlineLevel="0" collapsed="false">
      <c r="A404" s="34" t="s">
        <v>70</v>
      </c>
      <c r="B404" s="35" t="s">
        <v>71</v>
      </c>
      <c r="C404" s="51" t="s">
        <v>174</v>
      </c>
      <c r="D404" s="51" t="s">
        <v>174</v>
      </c>
      <c r="E404" s="51" t="s">
        <v>174</v>
      </c>
      <c r="F404" s="12"/>
      <c r="G404" s="15" t="str">
        <f aca="false">IFERROR(E404/D404,"")</f>
        <v/>
      </c>
      <c r="H404" s="37" t="str">
        <f aca="false">IFERROR(C404/E404,"")</f>
        <v/>
      </c>
      <c r="I404" s="37" t="str">
        <f aca="false">IFERROR(C404/D404*1000,"")</f>
        <v/>
      </c>
      <c r="J404" s="15" t="str">
        <f aca="false">IFERROR(F404/E404,"")</f>
        <v/>
      </c>
      <c r="K404" s="37" t="str">
        <f aca="false">IFERROR(C404/F404,"")</f>
        <v/>
      </c>
      <c r="L404" s="12"/>
      <c r="M404" s="15" t="str">
        <f aca="false">IF(L404="","",IFERROR(L404/F404,""))</f>
        <v/>
      </c>
      <c r="N404" s="12"/>
      <c r="O404" s="15" t="str">
        <f aca="false">IF(N404="","",IFERROR(N404/L404,""))</f>
        <v/>
      </c>
      <c r="P404" s="37" t="str">
        <f aca="false">IF(N404=0,"",IFERROR(C404/N404,""))</f>
        <v/>
      </c>
      <c r="Q404" s="38" t="str">
        <f aca="false">IF(N404=0,"",IFERROR(IF(C404/N404&lt;=用語集!$B$22,"◎ 許容内","✗ 超過"),"—"))</f>
        <v/>
      </c>
      <c r="R404" s="39" t="str">
        <f aca="false">IFERROR(用語集!$B$22/P404,"")</f>
        <v/>
      </c>
    </row>
    <row r="405" customFormat="false" ht="15" hidden="false" customHeight="false" outlineLevel="0" collapsed="false">
      <c r="A405" s="34" t="s">
        <v>72</v>
      </c>
      <c r="B405" s="35" t="s">
        <v>73</v>
      </c>
      <c r="C405" s="51" t="s">
        <v>174</v>
      </c>
      <c r="D405" s="51" t="s">
        <v>174</v>
      </c>
      <c r="E405" s="51" t="s">
        <v>174</v>
      </c>
      <c r="F405" s="12"/>
      <c r="G405" s="15" t="str">
        <f aca="false">IFERROR(E405/D405,"")</f>
        <v/>
      </c>
      <c r="H405" s="37" t="str">
        <f aca="false">IFERROR(C405/E405,"")</f>
        <v/>
      </c>
      <c r="I405" s="37" t="str">
        <f aca="false">IFERROR(C405/D405*1000,"")</f>
        <v/>
      </c>
      <c r="J405" s="15" t="str">
        <f aca="false">IFERROR(F405/E405,"")</f>
        <v/>
      </c>
      <c r="K405" s="37" t="str">
        <f aca="false">IFERROR(C405/F405,"")</f>
        <v/>
      </c>
      <c r="L405" s="12"/>
      <c r="M405" s="15" t="str">
        <f aca="false">IF(L405="","",IFERROR(L405/F405,""))</f>
        <v/>
      </c>
      <c r="N405" s="12"/>
      <c r="O405" s="15" t="str">
        <f aca="false">IF(N405="","",IFERROR(N405/L405,""))</f>
        <v/>
      </c>
      <c r="P405" s="37" t="str">
        <f aca="false">IF(N405=0,"",IFERROR(C405/N405,""))</f>
        <v/>
      </c>
      <c r="Q405" s="38" t="str">
        <f aca="false">IF(N405=0,"",IFERROR(IF(C405/N405&lt;=用語集!$B$22,"◎ 許容内","✗ 超過"),"—"))</f>
        <v/>
      </c>
      <c r="R405" s="39" t="str">
        <f aca="false">IFERROR(用語集!$B$22/P405,"")</f>
        <v/>
      </c>
    </row>
    <row r="406" customFormat="false" ht="15" hidden="false" customHeight="false" outlineLevel="0" collapsed="false">
      <c r="A406" s="34" t="s">
        <v>74</v>
      </c>
      <c r="B406" s="35" t="s">
        <v>75</v>
      </c>
      <c r="C406" s="51" t="s">
        <v>174</v>
      </c>
      <c r="D406" s="51" t="s">
        <v>174</v>
      </c>
      <c r="E406" s="51" t="s">
        <v>174</v>
      </c>
      <c r="F406" s="12"/>
      <c r="G406" s="15" t="str">
        <f aca="false">IFERROR(E406/D406,"")</f>
        <v/>
      </c>
      <c r="H406" s="37" t="str">
        <f aca="false">IFERROR(C406/E406,"")</f>
        <v/>
      </c>
      <c r="I406" s="37" t="str">
        <f aca="false">IFERROR(C406/D406*1000,"")</f>
        <v/>
      </c>
      <c r="J406" s="15" t="str">
        <f aca="false">IFERROR(F406/E406,"")</f>
        <v/>
      </c>
      <c r="K406" s="37" t="str">
        <f aca="false">IFERROR(C406/F406,"")</f>
        <v/>
      </c>
      <c r="L406" s="12"/>
      <c r="M406" s="15" t="str">
        <f aca="false">IF(L406="","",IFERROR(L406/F406,""))</f>
        <v/>
      </c>
      <c r="N406" s="12"/>
      <c r="O406" s="15" t="str">
        <f aca="false">IF(N406="","",IFERROR(N406/L406,""))</f>
        <v/>
      </c>
      <c r="P406" s="37" t="str">
        <f aca="false">IF(N406=0,"",IFERROR(C406/N406,""))</f>
        <v/>
      </c>
      <c r="Q406" s="38" t="str">
        <f aca="false">IF(N406=0,"",IFERROR(IF(C406/N406&lt;=用語集!$B$22,"◎ 許容内","✗ 超過"),"—"))</f>
        <v/>
      </c>
      <c r="R406" s="39" t="str">
        <f aca="false">IFERROR(用語集!$B$22/P406,"")</f>
        <v/>
      </c>
    </row>
    <row r="407" customFormat="false" ht="15" hidden="false" customHeight="false" outlineLevel="0" collapsed="false">
      <c r="A407" s="34" t="s">
        <v>76</v>
      </c>
      <c r="B407" s="35" t="s">
        <v>77</v>
      </c>
      <c r="C407" s="51" t="s">
        <v>174</v>
      </c>
      <c r="D407" s="51" t="s">
        <v>174</v>
      </c>
      <c r="E407" s="51" t="s">
        <v>174</v>
      </c>
      <c r="F407" s="12"/>
      <c r="G407" s="15" t="str">
        <f aca="false">IFERROR(E407/D407,"")</f>
        <v/>
      </c>
      <c r="H407" s="37" t="str">
        <f aca="false">IFERROR(C407/E407,"")</f>
        <v/>
      </c>
      <c r="I407" s="37" t="str">
        <f aca="false">IFERROR(C407/D407*1000,"")</f>
        <v/>
      </c>
      <c r="J407" s="15" t="str">
        <f aca="false">IFERROR(F407/E407,"")</f>
        <v/>
      </c>
      <c r="K407" s="37" t="str">
        <f aca="false">IFERROR(C407/F407,"")</f>
        <v/>
      </c>
      <c r="L407" s="12"/>
      <c r="M407" s="15" t="str">
        <f aca="false">IF(L407="","",IFERROR(L407/F407,""))</f>
        <v/>
      </c>
      <c r="N407" s="12"/>
      <c r="O407" s="15" t="str">
        <f aca="false">IF(N407="","",IFERROR(N407/L407,""))</f>
        <v/>
      </c>
      <c r="P407" s="37" t="str">
        <f aca="false">IF(N407=0,"",IFERROR(C407/N407,""))</f>
        <v/>
      </c>
      <c r="Q407" s="38" t="str">
        <f aca="false">IF(N407=0,"",IFERROR(IF(C407/N407&lt;=用語集!$B$22,"◎ 許容内","✗ 超過"),"—"))</f>
        <v/>
      </c>
      <c r="R407" s="39" t="str">
        <f aca="false">IFERROR(用語集!$B$22/P407,"")</f>
        <v/>
      </c>
    </row>
    <row r="408" customFormat="false" ht="15" hidden="false" customHeight="false" outlineLevel="0" collapsed="false">
      <c r="A408" s="34" t="s">
        <v>78</v>
      </c>
      <c r="B408" s="35" t="s">
        <v>79</v>
      </c>
      <c r="C408" s="51" t="s">
        <v>174</v>
      </c>
      <c r="D408" s="51" t="s">
        <v>174</v>
      </c>
      <c r="E408" s="51" t="s">
        <v>174</v>
      </c>
      <c r="F408" s="42" t="str">
        <f aca="false">IF(COUNTIFS(日次入力!$A$4:$A$1500,"&gt;="&amp;DATE(2026,6,9),日次入力!$A$4:$A$1500,"&lt;="&amp;DATE(2026,6,15),日次入力!$C$4:$C$1500,"広告外")=0,"",SUMIFS(日次入力!$G$4:$G$1500,日次入力!$A$4:$A$1500,"&gt;="&amp;DATE(2026,6,9),日次入力!$A$4:$A$1500,"&lt;="&amp;DATE(2026,6,15),日次入力!$C$4:$C$1500,"広告外"))</f>
        <v/>
      </c>
      <c r="G408" s="15" t="str">
        <f aca="false">IFERROR(E408/D408,"")</f>
        <v/>
      </c>
      <c r="H408" s="37" t="str">
        <f aca="false">IFERROR(C408/E408,"")</f>
        <v/>
      </c>
      <c r="I408" s="37" t="str">
        <f aca="false">IFERROR(C408/D408*1000,"")</f>
        <v/>
      </c>
      <c r="J408" s="15" t="str">
        <f aca="false">IFERROR(F408/E408,"")</f>
        <v/>
      </c>
      <c r="K408" s="37" t="str">
        <f aca="false">IFERROR(C408/F408,"")</f>
        <v/>
      </c>
      <c r="L408" s="42" t="str">
        <f aca="false">IF(COUNTIFS(日次入力!$A$4:$A$1500,"&gt;="&amp;DATE(2026,6,9),日次入力!$A$4:$A$1500,"&lt;="&amp;DATE(2026,6,15),日次入力!$C$4:$C$1500,"広告外")=0,"",SUMIFS(日次入力!$H$4:$H$1500,日次入力!$A$4:$A$1500,"&gt;="&amp;DATE(2026,6,9),日次入力!$A$4:$A$1500,"&lt;="&amp;DATE(2026,6,15),日次入力!$C$4:$C$1500,"広告外"))</f>
        <v/>
      </c>
      <c r="M408" s="15" t="str">
        <f aca="false">IF(L408="","",IFERROR(L408/F408,""))</f>
        <v/>
      </c>
      <c r="N408" s="42" t="str">
        <f aca="false">IF(COUNTIFS(日次入力!$A$4:$A$1500,"&gt;="&amp;DATE(2026,6,9),日次入力!$A$4:$A$1500,"&lt;="&amp;DATE(2026,6,15),日次入力!$C$4:$C$1500,"広告外")=0,"",SUMIFS(日次入力!$I$4:$I$1500,日次入力!$A$4:$A$1500,"&gt;="&amp;DATE(2026,6,9),日次入力!$A$4:$A$1500,"&lt;="&amp;DATE(2026,6,15),日次入力!$C$4:$C$1500,"広告外"))</f>
        <v/>
      </c>
      <c r="O408" s="15" t="str">
        <f aca="false">IF(N408="","",IFERROR(N408/L408,""))</f>
        <v/>
      </c>
      <c r="P408" s="37" t="str">
        <f aca="false">IF(N408=0,"",IFERROR(C408/N408,""))</f>
        <v/>
      </c>
      <c r="Q408" s="38" t="str">
        <f aca="false">IF(N408=0,"",IFERROR(IF(C408/N408&lt;=用語集!$B$22,"◎ 許容内","✗ 超過"),"—"))</f>
        <v>—</v>
      </c>
      <c r="R408" s="39" t="str">
        <f aca="false">IFERROR(用語集!$B$22/P408,"")</f>
        <v/>
      </c>
    </row>
    <row r="409" customFormat="false" ht="15" hidden="false" customHeight="false" outlineLevel="0" collapsed="false">
      <c r="A409" s="34" t="s">
        <v>80</v>
      </c>
      <c r="B409" s="35" t="s">
        <v>81</v>
      </c>
      <c r="C409" s="51" t="s">
        <v>174</v>
      </c>
      <c r="D409" s="51" t="s">
        <v>174</v>
      </c>
      <c r="E409" s="51" t="s">
        <v>174</v>
      </c>
      <c r="F409" s="42" t="str">
        <f aca="false">IF(COUNTIFS(日次入力!$A$4:$A$1500,"&gt;="&amp;DATE(2026,6,16),日次入力!$A$4:$A$1500,"&lt;="&amp;DATE(2026,6,22),日次入力!$C$4:$C$1500,"広告外")=0,"",SUMIFS(日次入力!$G$4:$G$1500,日次入力!$A$4:$A$1500,"&gt;="&amp;DATE(2026,6,16),日次入力!$A$4:$A$1500,"&lt;="&amp;DATE(2026,6,22),日次入力!$C$4:$C$1500,"広告外"))</f>
        <v/>
      </c>
      <c r="G409" s="15" t="str">
        <f aca="false">IFERROR(E409/D409,"")</f>
        <v/>
      </c>
      <c r="H409" s="37" t="str">
        <f aca="false">IFERROR(C409/E409,"")</f>
        <v/>
      </c>
      <c r="I409" s="37" t="str">
        <f aca="false">IFERROR(C409/D409*1000,"")</f>
        <v/>
      </c>
      <c r="J409" s="15" t="str">
        <f aca="false">IFERROR(F409/E409,"")</f>
        <v/>
      </c>
      <c r="K409" s="37" t="str">
        <f aca="false">IFERROR(C409/F409,"")</f>
        <v/>
      </c>
      <c r="L409" s="42" t="str">
        <f aca="false">IF(COUNTIFS(日次入力!$A$4:$A$1500,"&gt;="&amp;DATE(2026,6,16),日次入力!$A$4:$A$1500,"&lt;="&amp;DATE(2026,6,22),日次入力!$C$4:$C$1500,"広告外")=0,"",SUMIFS(日次入力!$H$4:$H$1500,日次入力!$A$4:$A$1500,"&gt;="&amp;DATE(2026,6,16),日次入力!$A$4:$A$1500,"&lt;="&amp;DATE(2026,6,22),日次入力!$C$4:$C$1500,"広告外"))</f>
        <v/>
      </c>
      <c r="M409" s="15" t="str">
        <f aca="false">IF(L409="","",IFERROR(L409/F409,""))</f>
        <v/>
      </c>
      <c r="N409" s="42" t="str">
        <f aca="false">IF(COUNTIFS(日次入力!$A$4:$A$1500,"&gt;="&amp;DATE(2026,6,16),日次入力!$A$4:$A$1500,"&lt;="&amp;DATE(2026,6,22),日次入力!$C$4:$C$1500,"広告外")=0,"",SUMIFS(日次入力!$I$4:$I$1500,日次入力!$A$4:$A$1500,"&gt;="&amp;DATE(2026,6,16),日次入力!$A$4:$A$1500,"&lt;="&amp;DATE(2026,6,22),日次入力!$C$4:$C$1500,"広告外"))</f>
        <v/>
      </c>
      <c r="O409" s="15" t="str">
        <f aca="false">IF(N409="","",IFERROR(N409/L409,""))</f>
        <v/>
      </c>
      <c r="P409" s="37" t="str">
        <f aca="false">IF(N409=0,"",IFERROR(C409/N409,""))</f>
        <v/>
      </c>
      <c r="Q409" s="38" t="str">
        <f aca="false">IF(N409=0,"",IFERROR(IF(C409/N409&lt;=用語集!$B$22,"◎ 許容内","✗ 超過"),"—"))</f>
        <v>—</v>
      </c>
      <c r="R409" s="39" t="str">
        <f aca="false">IFERROR(用語集!$B$22/P409,"")</f>
        <v/>
      </c>
    </row>
    <row r="410" customFormat="false" ht="15" hidden="false" customHeight="false" outlineLevel="0" collapsed="false">
      <c r="A410" s="34" t="s">
        <v>82</v>
      </c>
      <c r="B410" s="35" t="s">
        <v>83</v>
      </c>
      <c r="C410" s="51" t="s">
        <v>174</v>
      </c>
      <c r="D410" s="51" t="s">
        <v>174</v>
      </c>
      <c r="E410" s="51" t="s">
        <v>174</v>
      </c>
      <c r="F410" s="42" t="str">
        <f aca="false">IF(COUNTIFS(日次入力!$A$4:$A$1500,"&gt;="&amp;DATE(2026,6,23),日次入力!$A$4:$A$1500,"&lt;="&amp;DATE(2026,6,29),日次入力!$C$4:$C$1500,"広告外")=0,"",SUMIFS(日次入力!$G$4:$G$1500,日次入力!$A$4:$A$1500,"&gt;="&amp;DATE(2026,6,23),日次入力!$A$4:$A$1500,"&lt;="&amp;DATE(2026,6,29),日次入力!$C$4:$C$1500,"広告外"))</f>
        <v/>
      </c>
      <c r="G410" s="15" t="str">
        <f aca="false">IFERROR(E410/D410,"")</f>
        <v/>
      </c>
      <c r="H410" s="37" t="str">
        <f aca="false">IFERROR(C410/E410,"")</f>
        <v/>
      </c>
      <c r="I410" s="37" t="str">
        <f aca="false">IFERROR(C410/D410*1000,"")</f>
        <v/>
      </c>
      <c r="J410" s="15" t="str">
        <f aca="false">IFERROR(F410/E410,"")</f>
        <v/>
      </c>
      <c r="K410" s="37" t="str">
        <f aca="false">IFERROR(C410/F410,"")</f>
        <v/>
      </c>
      <c r="L410" s="42" t="str">
        <f aca="false">IF(COUNTIFS(日次入力!$A$4:$A$1500,"&gt;="&amp;DATE(2026,6,23),日次入力!$A$4:$A$1500,"&lt;="&amp;DATE(2026,6,29),日次入力!$C$4:$C$1500,"広告外")=0,"",SUMIFS(日次入力!$H$4:$H$1500,日次入力!$A$4:$A$1500,"&gt;="&amp;DATE(2026,6,23),日次入力!$A$4:$A$1500,"&lt;="&amp;DATE(2026,6,29),日次入力!$C$4:$C$1500,"広告外"))</f>
        <v/>
      </c>
      <c r="M410" s="15" t="str">
        <f aca="false">IF(L410="","",IFERROR(L410/F410,""))</f>
        <v/>
      </c>
      <c r="N410" s="42" t="str">
        <f aca="false">IF(COUNTIFS(日次入力!$A$4:$A$1500,"&gt;="&amp;DATE(2026,6,23),日次入力!$A$4:$A$1500,"&lt;="&amp;DATE(2026,6,29),日次入力!$C$4:$C$1500,"広告外")=0,"",SUMIFS(日次入力!$I$4:$I$1500,日次入力!$A$4:$A$1500,"&gt;="&amp;DATE(2026,6,23),日次入力!$A$4:$A$1500,"&lt;="&amp;DATE(2026,6,29),日次入力!$C$4:$C$1500,"広告外"))</f>
        <v/>
      </c>
      <c r="O410" s="15" t="str">
        <f aca="false">IF(N410="","",IFERROR(N410/L410,""))</f>
        <v/>
      </c>
      <c r="P410" s="37" t="str">
        <f aca="false">IF(N410=0,"",IFERROR(C410/N410,""))</f>
        <v/>
      </c>
      <c r="Q410" s="38" t="str">
        <f aca="false">IF(N410=0,"",IFERROR(IF(C410/N410&lt;=用語集!$B$22,"◎ 許容内","✗ 超過"),"—"))</f>
        <v>—</v>
      </c>
      <c r="R410" s="39" t="str">
        <f aca="false">IFERROR(用語集!$B$22/P410,"")</f>
        <v/>
      </c>
    </row>
    <row r="411" customFormat="false" ht="15" hidden="false" customHeight="false" outlineLevel="0" collapsed="false">
      <c r="A411" s="34" t="s">
        <v>84</v>
      </c>
      <c r="B411" s="35" t="s">
        <v>85</v>
      </c>
      <c r="C411" s="51" t="s">
        <v>174</v>
      </c>
      <c r="D411" s="51" t="s">
        <v>174</v>
      </c>
      <c r="E411" s="51" t="s">
        <v>174</v>
      </c>
      <c r="F411" s="42" t="str">
        <f aca="false">IF(COUNTIFS(日次入力!$A$4:$A$1500,"&gt;="&amp;DATE(2026,6,30),日次入力!$A$4:$A$1500,"&lt;="&amp;DATE(2026,7,6),日次入力!$C$4:$C$1500,"広告外")=0,"",SUMIFS(日次入力!$G$4:$G$1500,日次入力!$A$4:$A$1500,"&gt;="&amp;DATE(2026,6,30),日次入力!$A$4:$A$1500,"&lt;="&amp;DATE(2026,7,6),日次入力!$C$4:$C$1500,"広告外"))</f>
        <v/>
      </c>
      <c r="G411" s="15" t="str">
        <f aca="false">IFERROR(E411/D411,"")</f>
        <v/>
      </c>
      <c r="H411" s="37" t="str">
        <f aca="false">IFERROR(C411/E411,"")</f>
        <v/>
      </c>
      <c r="I411" s="37" t="str">
        <f aca="false">IFERROR(C411/D411*1000,"")</f>
        <v/>
      </c>
      <c r="J411" s="15" t="str">
        <f aca="false">IFERROR(F411/E411,"")</f>
        <v/>
      </c>
      <c r="K411" s="37" t="str">
        <f aca="false">IFERROR(C411/F411,"")</f>
        <v/>
      </c>
      <c r="L411" s="42" t="str">
        <f aca="false">IF(COUNTIFS(日次入力!$A$4:$A$1500,"&gt;="&amp;DATE(2026,6,30),日次入力!$A$4:$A$1500,"&lt;="&amp;DATE(2026,7,6),日次入力!$C$4:$C$1500,"広告外")=0,"",SUMIFS(日次入力!$H$4:$H$1500,日次入力!$A$4:$A$1500,"&gt;="&amp;DATE(2026,6,30),日次入力!$A$4:$A$1500,"&lt;="&amp;DATE(2026,7,6),日次入力!$C$4:$C$1500,"広告外"))</f>
        <v/>
      </c>
      <c r="M411" s="15" t="str">
        <f aca="false">IF(L411="","",IFERROR(L411/F411,""))</f>
        <v/>
      </c>
      <c r="N411" s="42" t="str">
        <f aca="false">IF(COUNTIFS(日次入力!$A$4:$A$1500,"&gt;="&amp;DATE(2026,6,30),日次入力!$A$4:$A$1500,"&lt;="&amp;DATE(2026,7,6),日次入力!$C$4:$C$1500,"広告外")=0,"",SUMIFS(日次入力!$I$4:$I$1500,日次入力!$A$4:$A$1500,"&gt;="&amp;DATE(2026,6,30),日次入力!$A$4:$A$1500,"&lt;="&amp;DATE(2026,7,6),日次入力!$C$4:$C$1500,"広告外"))</f>
        <v/>
      </c>
      <c r="O411" s="15" t="str">
        <f aca="false">IF(N411="","",IFERROR(N411/L411,""))</f>
        <v/>
      </c>
      <c r="P411" s="37" t="str">
        <f aca="false">IF(N411=0,"",IFERROR(C411/N411,""))</f>
        <v/>
      </c>
      <c r="Q411" s="38" t="str">
        <f aca="false">IF(N411=0,"",IFERROR(IF(C411/N411&lt;=用語集!$B$22,"◎ 許容内","✗ 超過"),"—"))</f>
        <v>—</v>
      </c>
      <c r="R411" s="39" t="str">
        <f aca="false">IFERROR(用語集!$B$22/P411,"")</f>
        <v/>
      </c>
    </row>
    <row r="412" customFormat="false" ht="15" hidden="false" customHeight="false" outlineLevel="0" collapsed="false">
      <c r="A412" s="34" t="s">
        <v>86</v>
      </c>
      <c r="B412" s="35" t="s">
        <v>87</v>
      </c>
      <c r="C412" s="51" t="s">
        <v>174</v>
      </c>
      <c r="D412" s="51" t="s">
        <v>174</v>
      </c>
      <c r="E412" s="51" t="s">
        <v>174</v>
      </c>
      <c r="F412" s="42" t="str">
        <f aca="false">IF(COUNTIFS(日次入力!$A$4:$A$1500,"&gt;="&amp;DATE(2026,7,7),日次入力!$A$4:$A$1500,"&lt;="&amp;DATE(2026,7,13),日次入力!$C$4:$C$1500,"広告外")=0,"",SUMIFS(日次入力!$G$4:$G$1500,日次入力!$A$4:$A$1500,"&gt;="&amp;DATE(2026,7,7),日次入力!$A$4:$A$1500,"&lt;="&amp;DATE(2026,7,13),日次入力!$C$4:$C$1500,"広告外"))</f>
        <v/>
      </c>
      <c r="G412" s="15" t="str">
        <f aca="false">IFERROR(E412/D412,"")</f>
        <v/>
      </c>
      <c r="H412" s="37" t="str">
        <f aca="false">IFERROR(C412/E412,"")</f>
        <v/>
      </c>
      <c r="I412" s="37" t="str">
        <f aca="false">IFERROR(C412/D412*1000,"")</f>
        <v/>
      </c>
      <c r="J412" s="15" t="str">
        <f aca="false">IFERROR(F412/E412,"")</f>
        <v/>
      </c>
      <c r="K412" s="37" t="str">
        <f aca="false">IFERROR(C412/F412,"")</f>
        <v/>
      </c>
      <c r="L412" s="42" t="str">
        <f aca="false">IF(COUNTIFS(日次入力!$A$4:$A$1500,"&gt;="&amp;DATE(2026,7,7),日次入力!$A$4:$A$1500,"&lt;="&amp;DATE(2026,7,13),日次入力!$C$4:$C$1500,"広告外")=0,"",SUMIFS(日次入力!$H$4:$H$1500,日次入力!$A$4:$A$1500,"&gt;="&amp;DATE(2026,7,7),日次入力!$A$4:$A$1500,"&lt;="&amp;DATE(2026,7,13),日次入力!$C$4:$C$1500,"広告外"))</f>
        <v/>
      </c>
      <c r="M412" s="15" t="str">
        <f aca="false">IF(L412="","",IFERROR(L412/F412,""))</f>
        <v/>
      </c>
      <c r="N412" s="42" t="str">
        <f aca="false">IF(COUNTIFS(日次入力!$A$4:$A$1500,"&gt;="&amp;DATE(2026,7,7),日次入力!$A$4:$A$1500,"&lt;="&amp;DATE(2026,7,13),日次入力!$C$4:$C$1500,"広告外")=0,"",SUMIFS(日次入力!$I$4:$I$1500,日次入力!$A$4:$A$1500,"&gt;="&amp;DATE(2026,7,7),日次入力!$A$4:$A$1500,"&lt;="&amp;DATE(2026,7,13),日次入力!$C$4:$C$1500,"広告外"))</f>
        <v/>
      </c>
      <c r="O412" s="15" t="str">
        <f aca="false">IF(N412="","",IFERROR(N412/L412,""))</f>
        <v/>
      </c>
      <c r="P412" s="37" t="str">
        <f aca="false">IF(N412=0,"",IFERROR(C412/N412,""))</f>
        <v/>
      </c>
      <c r="Q412" s="38" t="str">
        <f aca="false">IF(N412=0,"",IFERROR(IF(C412/N412&lt;=用語集!$B$22,"◎ 許容内","✗ 超過"),"—"))</f>
        <v>—</v>
      </c>
      <c r="R412" s="39" t="str">
        <f aca="false">IFERROR(用語集!$B$22/P412,"")</f>
        <v/>
      </c>
    </row>
    <row r="413" customFormat="false" ht="15" hidden="false" customHeight="false" outlineLevel="0" collapsed="false">
      <c r="A413" s="34" t="s">
        <v>88</v>
      </c>
      <c r="B413" s="35" t="s">
        <v>89</v>
      </c>
      <c r="C413" s="51" t="s">
        <v>174</v>
      </c>
      <c r="D413" s="51" t="s">
        <v>174</v>
      </c>
      <c r="E413" s="51" t="s">
        <v>174</v>
      </c>
      <c r="F413" s="42" t="str">
        <f aca="false">IF(COUNTIFS(日次入力!$A$4:$A$1500,"&gt;="&amp;DATE(2026,7,14),日次入力!$A$4:$A$1500,"&lt;="&amp;DATE(2026,7,20),日次入力!$C$4:$C$1500,"広告外")=0,"",SUMIFS(日次入力!$G$4:$G$1500,日次入力!$A$4:$A$1500,"&gt;="&amp;DATE(2026,7,14),日次入力!$A$4:$A$1500,"&lt;="&amp;DATE(2026,7,20),日次入力!$C$4:$C$1500,"広告外"))</f>
        <v/>
      </c>
      <c r="G413" s="15" t="str">
        <f aca="false">IFERROR(E413/D413,"")</f>
        <v/>
      </c>
      <c r="H413" s="37" t="str">
        <f aca="false">IFERROR(C413/E413,"")</f>
        <v/>
      </c>
      <c r="I413" s="37" t="str">
        <f aca="false">IFERROR(C413/D413*1000,"")</f>
        <v/>
      </c>
      <c r="J413" s="15" t="str">
        <f aca="false">IFERROR(F413/E413,"")</f>
        <v/>
      </c>
      <c r="K413" s="37" t="str">
        <f aca="false">IFERROR(C413/F413,"")</f>
        <v/>
      </c>
      <c r="L413" s="42" t="str">
        <f aca="false">IF(COUNTIFS(日次入力!$A$4:$A$1500,"&gt;="&amp;DATE(2026,7,14),日次入力!$A$4:$A$1500,"&lt;="&amp;DATE(2026,7,20),日次入力!$C$4:$C$1500,"広告外")=0,"",SUMIFS(日次入力!$H$4:$H$1500,日次入力!$A$4:$A$1500,"&gt;="&amp;DATE(2026,7,14),日次入力!$A$4:$A$1500,"&lt;="&amp;DATE(2026,7,20),日次入力!$C$4:$C$1500,"広告外"))</f>
        <v/>
      </c>
      <c r="M413" s="15" t="str">
        <f aca="false">IF(L413="","",IFERROR(L413/F413,""))</f>
        <v/>
      </c>
      <c r="N413" s="42" t="str">
        <f aca="false">IF(COUNTIFS(日次入力!$A$4:$A$1500,"&gt;="&amp;DATE(2026,7,14),日次入力!$A$4:$A$1500,"&lt;="&amp;DATE(2026,7,20),日次入力!$C$4:$C$1500,"広告外")=0,"",SUMIFS(日次入力!$I$4:$I$1500,日次入力!$A$4:$A$1500,"&gt;="&amp;DATE(2026,7,14),日次入力!$A$4:$A$1500,"&lt;="&amp;DATE(2026,7,20),日次入力!$C$4:$C$1500,"広告外"))</f>
        <v/>
      </c>
      <c r="O413" s="15" t="str">
        <f aca="false">IF(N413="","",IFERROR(N413/L413,""))</f>
        <v/>
      </c>
      <c r="P413" s="37" t="str">
        <f aca="false">IF(N413=0,"",IFERROR(C413/N413,""))</f>
        <v/>
      </c>
      <c r="Q413" s="38" t="str">
        <f aca="false">IF(N413=0,"",IFERROR(IF(C413/N413&lt;=用語集!$B$22,"◎ 許容内","✗ 超過"),"—"))</f>
        <v>—</v>
      </c>
      <c r="R413" s="39" t="str">
        <f aca="false">IFERROR(用語集!$B$22/P413,"")</f>
        <v/>
      </c>
    </row>
    <row r="414" customFormat="false" ht="15" hidden="false" customHeight="false" outlineLevel="0" collapsed="false">
      <c r="A414" s="34" t="s">
        <v>90</v>
      </c>
      <c r="B414" s="35" t="s">
        <v>91</v>
      </c>
      <c r="C414" s="51" t="s">
        <v>174</v>
      </c>
      <c r="D414" s="51" t="s">
        <v>174</v>
      </c>
      <c r="E414" s="51" t="s">
        <v>174</v>
      </c>
      <c r="F414" s="42" t="str">
        <f aca="false">IF(COUNTIFS(日次入力!$A$4:$A$1500,"&gt;="&amp;DATE(2026,7,21),日次入力!$A$4:$A$1500,"&lt;="&amp;DATE(2026,7,27),日次入力!$C$4:$C$1500,"広告外")=0,"",SUMIFS(日次入力!$G$4:$G$1500,日次入力!$A$4:$A$1500,"&gt;="&amp;DATE(2026,7,21),日次入力!$A$4:$A$1500,"&lt;="&amp;DATE(2026,7,27),日次入力!$C$4:$C$1500,"広告外"))</f>
        <v/>
      </c>
      <c r="G414" s="15" t="str">
        <f aca="false">IFERROR(E414/D414,"")</f>
        <v/>
      </c>
      <c r="H414" s="37" t="str">
        <f aca="false">IFERROR(C414/E414,"")</f>
        <v/>
      </c>
      <c r="I414" s="37" t="str">
        <f aca="false">IFERROR(C414/D414*1000,"")</f>
        <v/>
      </c>
      <c r="J414" s="15" t="str">
        <f aca="false">IFERROR(F414/E414,"")</f>
        <v/>
      </c>
      <c r="K414" s="37" t="str">
        <f aca="false">IFERROR(C414/F414,"")</f>
        <v/>
      </c>
      <c r="L414" s="42" t="str">
        <f aca="false">IF(COUNTIFS(日次入力!$A$4:$A$1500,"&gt;="&amp;DATE(2026,7,21),日次入力!$A$4:$A$1500,"&lt;="&amp;DATE(2026,7,27),日次入力!$C$4:$C$1500,"広告外")=0,"",SUMIFS(日次入力!$H$4:$H$1500,日次入力!$A$4:$A$1500,"&gt;="&amp;DATE(2026,7,21),日次入力!$A$4:$A$1500,"&lt;="&amp;DATE(2026,7,27),日次入力!$C$4:$C$1500,"広告外"))</f>
        <v/>
      </c>
      <c r="M414" s="15" t="str">
        <f aca="false">IF(L414="","",IFERROR(L414/F414,""))</f>
        <v/>
      </c>
      <c r="N414" s="42" t="str">
        <f aca="false">IF(COUNTIFS(日次入力!$A$4:$A$1500,"&gt;="&amp;DATE(2026,7,21),日次入力!$A$4:$A$1500,"&lt;="&amp;DATE(2026,7,27),日次入力!$C$4:$C$1500,"広告外")=0,"",SUMIFS(日次入力!$I$4:$I$1500,日次入力!$A$4:$A$1500,"&gt;="&amp;DATE(2026,7,21),日次入力!$A$4:$A$1500,"&lt;="&amp;DATE(2026,7,27),日次入力!$C$4:$C$1500,"広告外"))</f>
        <v/>
      </c>
      <c r="O414" s="15" t="str">
        <f aca="false">IF(N414="","",IFERROR(N414/L414,""))</f>
        <v/>
      </c>
      <c r="P414" s="37" t="str">
        <f aca="false">IF(N414=0,"",IFERROR(C414/N414,""))</f>
        <v/>
      </c>
      <c r="Q414" s="38" t="str">
        <f aca="false">IF(N414=0,"",IFERROR(IF(C414/N414&lt;=用語集!$B$22,"◎ 許容内","✗ 超過"),"—"))</f>
        <v>—</v>
      </c>
      <c r="R414" s="39" t="str">
        <f aca="false">IFERROR(用語集!$B$22/P414,"")</f>
        <v/>
      </c>
    </row>
    <row r="415" customFormat="false" ht="15" hidden="false" customHeight="false" outlineLevel="0" collapsed="false">
      <c r="A415" s="34" t="s">
        <v>92</v>
      </c>
      <c r="B415" s="35" t="s">
        <v>93</v>
      </c>
      <c r="C415" s="51" t="s">
        <v>174</v>
      </c>
      <c r="D415" s="51" t="s">
        <v>174</v>
      </c>
      <c r="E415" s="51" t="s">
        <v>174</v>
      </c>
      <c r="F415" s="42" t="str">
        <f aca="false">IF(COUNTIFS(日次入力!$A$4:$A$1500,"&gt;="&amp;DATE(2026,7,28),日次入力!$A$4:$A$1500,"&lt;="&amp;DATE(2026,8,3),日次入力!$C$4:$C$1500,"広告外")=0,"",SUMIFS(日次入力!$G$4:$G$1500,日次入力!$A$4:$A$1500,"&gt;="&amp;DATE(2026,7,28),日次入力!$A$4:$A$1500,"&lt;="&amp;DATE(2026,8,3),日次入力!$C$4:$C$1500,"広告外"))</f>
        <v/>
      </c>
      <c r="G415" s="15" t="str">
        <f aca="false">IFERROR(E415/D415,"")</f>
        <v/>
      </c>
      <c r="H415" s="37" t="str">
        <f aca="false">IFERROR(C415/E415,"")</f>
        <v/>
      </c>
      <c r="I415" s="37" t="str">
        <f aca="false">IFERROR(C415/D415*1000,"")</f>
        <v/>
      </c>
      <c r="J415" s="15" t="str">
        <f aca="false">IFERROR(F415/E415,"")</f>
        <v/>
      </c>
      <c r="K415" s="37" t="str">
        <f aca="false">IFERROR(C415/F415,"")</f>
        <v/>
      </c>
      <c r="L415" s="42" t="str">
        <f aca="false">IF(COUNTIFS(日次入力!$A$4:$A$1500,"&gt;="&amp;DATE(2026,7,28),日次入力!$A$4:$A$1500,"&lt;="&amp;DATE(2026,8,3),日次入力!$C$4:$C$1500,"広告外")=0,"",SUMIFS(日次入力!$H$4:$H$1500,日次入力!$A$4:$A$1500,"&gt;="&amp;DATE(2026,7,28),日次入力!$A$4:$A$1500,"&lt;="&amp;DATE(2026,8,3),日次入力!$C$4:$C$1500,"広告外"))</f>
        <v/>
      </c>
      <c r="M415" s="15" t="str">
        <f aca="false">IF(L415="","",IFERROR(L415/F415,""))</f>
        <v/>
      </c>
      <c r="N415" s="42" t="str">
        <f aca="false">IF(COUNTIFS(日次入力!$A$4:$A$1500,"&gt;="&amp;DATE(2026,7,28),日次入力!$A$4:$A$1500,"&lt;="&amp;DATE(2026,8,3),日次入力!$C$4:$C$1500,"広告外")=0,"",SUMIFS(日次入力!$I$4:$I$1500,日次入力!$A$4:$A$1500,"&gt;="&amp;DATE(2026,7,28),日次入力!$A$4:$A$1500,"&lt;="&amp;DATE(2026,8,3),日次入力!$C$4:$C$1500,"広告外"))</f>
        <v/>
      </c>
      <c r="O415" s="15" t="str">
        <f aca="false">IF(N415="","",IFERROR(N415/L415,""))</f>
        <v/>
      </c>
      <c r="P415" s="37" t="str">
        <f aca="false">IF(N415=0,"",IFERROR(C415/N415,""))</f>
        <v/>
      </c>
      <c r="Q415" s="38" t="str">
        <f aca="false">IF(N415=0,"",IFERROR(IF(C415/N415&lt;=用語集!$B$22,"◎ 許容内","✗ 超過"),"—"))</f>
        <v>—</v>
      </c>
      <c r="R415" s="39" t="str">
        <f aca="false">IFERROR(用語集!$B$22/P415,"")</f>
        <v/>
      </c>
    </row>
    <row r="416" customFormat="false" ht="15" hidden="false" customHeight="false" outlineLevel="0" collapsed="false">
      <c r="A416" s="34" t="s">
        <v>94</v>
      </c>
      <c r="B416" s="35" t="s">
        <v>95</v>
      </c>
      <c r="C416" s="51" t="s">
        <v>174</v>
      </c>
      <c r="D416" s="51" t="s">
        <v>174</v>
      </c>
      <c r="E416" s="51" t="s">
        <v>174</v>
      </c>
      <c r="F416" s="42" t="str">
        <f aca="false">IF(COUNTIFS(日次入力!$A$4:$A$1500,"&gt;="&amp;DATE(2026,8,4),日次入力!$A$4:$A$1500,"&lt;="&amp;DATE(2026,8,10),日次入力!$C$4:$C$1500,"広告外")=0,"",SUMIFS(日次入力!$G$4:$G$1500,日次入力!$A$4:$A$1500,"&gt;="&amp;DATE(2026,8,4),日次入力!$A$4:$A$1500,"&lt;="&amp;DATE(2026,8,10),日次入力!$C$4:$C$1500,"広告外"))</f>
        <v/>
      </c>
      <c r="G416" s="15" t="str">
        <f aca="false">IFERROR(E416/D416,"")</f>
        <v/>
      </c>
      <c r="H416" s="37" t="str">
        <f aca="false">IFERROR(C416/E416,"")</f>
        <v/>
      </c>
      <c r="I416" s="37" t="str">
        <f aca="false">IFERROR(C416/D416*1000,"")</f>
        <v/>
      </c>
      <c r="J416" s="15" t="str">
        <f aca="false">IFERROR(F416/E416,"")</f>
        <v/>
      </c>
      <c r="K416" s="37" t="str">
        <f aca="false">IFERROR(C416/F416,"")</f>
        <v/>
      </c>
      <c r="L416" s="42" t="str">
        <f aca="false">IF(COUNTIFS(日次入力!$A$4:$A$1500,"&gt;="&amp;DATE(2026,8,4),日次入力!$A$4:$A$1500,"&lt;="&amp;DATE(2026,8,10),日次入力!$C$4:$C$1500,"広告外")=0,"",SUMIFS(日次入力!$H$4:$H$1500,日次入力!$A$4:$A$1500,"&gt;="&amp;DATE(2026,8,4),日次入力!$A$4:$A$1500,"&lt;="&amp;DATE(2026,8,10),日次入力!$C$4:$C$1500,"広告外"))</f>
        <v/>
      </c>
      <c r="M416" s="15" t="str">
        <f aca="false">IF(L416="","",IFERROR(L416/F416,""))</f>
        <v/>
      </c>
      <c r="N416" s="42" t="str">
        <f aca="false">IF(COUNTIFS(日次入力!$A$4:$A$1500,"&gt;="&amp;DATE(2026,8,4),日次入力!$A$4:$A$1500,"&lt;="&amp;DATE(2026,8,10),日次入力!$C$4:$C$1500,"広告外")=0,"",SUMIFS(日次入力!$I$4:$I$1500,日次入力!$A$4:$A$1500,"&gt;="&amp;DATE(2026,8,4),日次入力!$A$4:$A$1500,"&lt;="&amp;DATE(2026,8,10),日次入力!$C$4:$C$1500,"広告外"))</f>
        <v/>
      </c>
      <c r="O416" s="15" t="str">
        <f aca="false">IF(N416="","",IFERROR(N416/L416,""))</f>
        <v/>
      </c>
      <c r="P416" s="37" t="str">
        <f aca="false">IF(N416=0,"",IFERROR(C416/N416,""))</f>
        <v/>
      </c>
      <c r="Q416" s="38" t="str">
        <f aca="false">IF(N416=0,"",IFERROR(IF(C416/N416&lt;=用語集!$B$22,"◎ 許容内","✗ 超過"),"—"))</f>
        <v>—</v>
      </c>
      <c r="R416" s="39" t="str">
        <f aca="false">IFERROR(用語集!$B$22/P416,"")</f>
        <v/>
      </c>
    </row>
    <row r="417" customFormat="false" ht="15" hidden="false" customHeight="false" outlineLevel="0" collapsed="false">
      <c r="A417" s="34" t="s">
        <v>96</v>
      </c>
      <c r="B417" s="35" t="s">
        <v>97</v>
      </c>
      <c r="C417" s="51" t="s">
        <v>174</v>
      </c>
      <c r="D417" s="51" t="s">
        <v>174</v>
      </c>
      <c r="E417" s="51" t="s">
        <v>174</v>
      </c>
      <c r="F417" s="42" t="str">
        <f aca="false">IF(COUNTIFS(日次入力!$A$4:$A$1500,"&gt;="&amp;DATE(2026,8,11),日次入力!$A$4:$A$1500,"&lt;="&amp;DATE(2026,8,17),日次入力!$C$4:$C$1500,"広告外")=0,"",SUMIFS(日次入力!$G$4:$G$1500,日次入力!$A$4:$A$1500,"&gt;="&amp;DATE(2026,8,11),日次入力!$A$4:$A$1500,"&lt;="&amp;DATE(2026,8,17),日次入力!$C$4:$C$1500,"広告外"))</f>
        <v/>
      </c>
      <c r="G417" s="15" t="str">
        <f aca="false">IFERROR(E417/D417,"")</f>
        <v/>
      </c>
      <c r="H417" s="37" t="str">
        <f aca="false">IFERROR(C417/E417,"")</f>
        <v/>
      </c>
      <c r="I417" s="37" t="str">
        <f aca="false">IFERROR(C417/D417*1000,"")</f>
        <v/>
      </c>
      <c r="J417" s="15" t="str">
        <f aca="false">IFERROR(F417/E417,"")</f>
        <v/>
      </c>
      <c r="K417" s="37" t="str">
        <f aca="false">IFERROR(C417/F417,"")</f>
        <v/>
      </c>
      <c r="L417" s="42" t="str">
        <f aca="false">IF(COUNTIFS(日次入力!$A$4:$A$1500,"&gt;="&amp;DATE(2026,8,11),日次入力!$A$4:$A$1500,"&lt;="&amp;DATE(2026,8,17),日次入力!$C$4:$C$1500,"広告外")=0,"",SUMIFS(日次入力!$H$4:$H$1500,日次入力!$A$4:$A$1500,"&gt;="&amp;DATE(2026,8,11),日次入力!$A$4:$A$1500,"&lt;="&amp;DATE(2026,8,17),日次入力!$C$4:$C$1500,"広告外"))</f>
        <v/>
      </c>
      <c r="M417" s="15" t="str">
        <f aca="false">IF(L417="","",IFERROR(L417/F417,""))</f>
        <v/>
      </c>
      <c r="N417" s="42" t="str">
        <f aca="false">IF(COUNTIFS(日次入力!$A$4:$A$1500,"&gt;="&amp;DATE(2026,8,11),日次入力!$A$4:$A$1500,"&lt;="&amp;DATE(2026,8,17),日次入力!$C$4:$C$1500,"広告外")=0,"",SUMIFS(日次入力!$I$4:$I$1500,日次入力!$A$4:$A$1500,"&gt;="&amp;DATE(2026,8,11),日次入力!$A$4:$A$1500,"&lt;="&amp;DATE(2026,8,17),日次入力!$C$4:$C$1500,"広告外"))</f>
        <v/>
      </c>
      <c r="O417" s="15" t="str">
        <f aca="false">IF(N417="","",IFERROR(N417/L417,""))</f>
        <v/>
      </c>
      <c r="P417" s="37" t="str">
        <f aca="false">IF(N417=0,"",IFERROR(C417/N417,""))</f>
        <v/>
      </c>
      <c r="Q417" s="38" t="str">
        <f aca="false">IF(N417=0,"",IFERROR(IF(C417/N417&lt;=用語集!$B$22,"◎ 許容内","✗ 超過"),"—"))</f>
        <v>—</v>
      </c>
      <c r="R417" s="39" t="str">
        <f aca="false">IFERROR(用語集!$B$22/P417,"")</f>
        <v/>
      </c>
    </row>
    <row r="418" customFormat="false" ht="15" hidden="false" customHeight="false" outlineLevel="0" collapsed="false">
      <c r="A418" s="34" t="s">
        <v>98</v>
      </c>
      <c r="B418" s="35" t="s">
        <v>99</v>
      </c>
      <c r="C418" s="51" t="s">
        <v>174</v>
      </c>
      <c r="D418" s="51" t="s">
        <v>174</v>
      </c>
      <c r="E418" s="51" t="s">
        <v>174</v>
      </c>
      <c r="F418" s="42" t="str">
        <f aca="false">IF(COUNTIFS(日次入力!$A$4:$A$1500,"&gt;="&amp;DATE(2026,8,18),日次入力!$A$4:$A$1500,"&lt;="&amp;DATE(2026,8,24),日次入力!$C$4:$C$1500,"広告外")=0,"",SUMIFS(日次入力!$G$4:$G$1500,日次入力!$A$4:$A$1500,"&gt;="&amp;DATE(2026,8,18),日次入力!$A$4:$A$1500,"&lt;="&amp;DATE(2026,8,24),日次入力!$C$4:$C$1500,"広告外"))</f>
        <v/>
      </c>
      <c r="G418" s="15" t="str">
        <f aca="false">IFERROR(E418/D418,"")</f>
        <v/>
      </c>
      <c r="H418" s="37" t="str">
        <f aca="false">IFERROR(C418/E418,"")</f>
        <v/>
      </c>
      <c r="I418" s="37" t="str">
        <f aca="false">IFERROR(C418/D418*1000,"")</f>
        <v/>
      </c>
      <c r="J418" s="15" t="str">
        <f aca="false">IFERROR(F418/E418,"")</f>
        <v/>
      </c>
      <c r="K418" s="37" t="str">
        <f aca="false">IFERROR(C418/F418,"")</f>
        <v/>
      </c>
      <c r="L418" s="42" t="str">
        <f aca="false">IF(COUNTIFS(日次入力!$A$4:$A$1500,"&gt;="&amp;DATE(2026,8,18),日次入力!$A$4:$A$1500,"&lt;="&amp;DATE(2026,8,24),日次入力!$C$4:$C$1500,"広告外")=0,"",SUMIFS(日次入力!$H$4:$H$1500,日次入力!$A$4:$A$1500,"&gt;="&amp;DATE(2026,8,18),日次入力!$A$4:$A$1500,"&lt;="&amp;DATE(2026,8,24),日次入力!$C$4:$C$1500,"広告外"))</f>
        <v/>
      </c>
      <c r="M418" s="15" t="str">
        <f aca="false">IF(L418="","",IFERROR(L418/F418,""))</f>
        <v/>
      </c>
      <c r="N418" s="42" t="str">
        <f aca="false">IF(COUNTIFS(日次入力!$A$4:$A$1500,"&gt;="&amp;DATE(2026,8,18),日次入力!$A$4:$A$1500,"&lt;="&amp;DATE(2026,8,24),日次入力!$C$4:$C$1500,"広告外")=0,"",SUMIFS(日次入力!$I$4:$I$1500,日次入力!$A$4:$A$1500,"&gt;="&amp;DATE(2026,8,18),日次入力!$A$4:$A$1500,"&lt;="&amp;DATE(2026,8,24),日次入力!$C$4:$C$1500,"広告外"))</f>
        <v/>
      </c>
      <c r="O418" s="15" t="str">
        <f aca="false">IF(N418="","",IFERROR(N418/L418,""))</f>
        <v/>
      </c>
      <c r="P418" s="37" t="str">
        <f aca="false">IF(N418=0,"",IFERROR(C418/N418,""))</f>
        <v/>
      </c>
      <c r="Q418" s="38" t="str">
        <f aca="false">IF(N418=0,"",IFERROR(IF(C418/N418&lt;=用語集!$B$22,"◎ 許容内","✗ 超過"),"—"))</f>
        <v>—</v>
      </c>
      <c r="R418" s="39" t="str">
        <f aca="false">IFERROR(用語集!$B$22/P418,"")</f>
        <v/>
      </c>
    </row>
    <row r="419" customFormat="false" ht="15" hidden="false" customHeight="false" outlineLevel="0" collapsed="false">
      <c r="A419" s="34" t="s">
        <v>100</v>
      </c>
      <c r="B419" s="35" t="s">
        <v>101</v>
      </c>
      <c r="C419" s="51" t="s">
        <v>174</v>
      </c>
      <c r="D419" s="51" t="s">
        <v>174</v>
      </c>
      <c r="E419" s="51" t="s">
        <v>174</v>
      </c>
      <c r="F419" s="42" t="str">
        <f aca="false">IF(COUNTIFS(日次入力!$A$4:$A$1500,"&gt;="&amp;DATE(2026,8,25),日次入力!$A$4:$A$1500,"&lt;="&amp;DATE(2026,8,31),日次入力!$C$4:$C$1500,"広告外")=0,"",SUMIFS(日次入力!$G$4:$G$1500,日次入力!$A$4:$A$1500,"&gt;="&amp;DATE(2026,8,25),日次入力!$A$4:$A$1500,"&lt;="&amp;DATE(2026,8,31),日次入力!$C$4:$C$1500,"広告外"))</f>
        <v/>
      </c>
      <c r="G419" s="15" t="str">
        <f aca="false">IFERROR(E419/D419,"")</f>
        <v/>
      </c>
      <c r="H419" s="37" t="str">
        <f aca="false">IFERROR(C419/E419,"")</f>
        <v/>
      </c>
      <c r="I419" s="37" t="str">
        <f aca="false">IFERROR(C419/D419*1000,"")</f>
        <v/>
      </c>
      <c r="J419" s="15" t="str">
        <f aca="false">IFERROR(F419/E419,"")</f>
        <v/>
      </c>
      <c r="K419" s="37" t="str">
        <f aca="false">IFERROR(C419/F419,"")</f>
        <v/>
      </c>
      <c r="L419" s="42" t="str">
        <f aca="false">IF(COUNTIFS(日次入力!$A$4:$A$1500,"&gt;="&amp;DATE(2026,8,25),日次入力!$A$4:$A$1500,"&lt;="&amp;DATE(2026,8,31),日次入力!$C$4:$C$1500,"広告外")=0,"",SUMIFS(日次入力!$H$4:$H$1500,日次入力!$A$4:$A$1500,"&gt;="&amp;DATE(2026,8,25),日次入力!$A$4:$A$1500,"&lt;="&amp;DATE(2026,8,31),日次入力!$C$4:$C$1500,"広告外"))</f>
        <v/>
      </c>
      <c r="M419" s="15" t="str">
        <f aca="false">IF(L419="","",IFERROR(L419/F419,""))</f>
        <v/>
      </c>
      <c r="N419" s="42" t="str">
        <f aca="false">IF(COUNTIFS(日次入力!$A$4:$A$1500,"&gt;="&amp;DATE(2026,8,25),日次入力!$A$4:$A$1500,"&lt;="&amp;DATE(2026,8,31),日次入力!$C$4:$C$1500,"広告外")=0,"",SUMIFS(日次入力!$I$4:$I$1500,日次入力!$A$4:$A$1500,"&gt;="&amp;DATE(2026,8,25),日次入力!$A$4:$A$1500,"&lt;="&amp;DATE(2026,8,31),日次入力!$C$4:$C$1500,"広告外"))</f>
        <v/>
      </c>
      <c r="O419" s="15" t="str">
        <f aca="false">IF(N419="","",IFERROR(N419/L419,""))</f>
        <v/>
      </c>
      <c r="P419" s="37" t="str">
        <f aca="false">IF(N419=0,"",IFERROR(C419/N419,""))</f>
        <v/>
      </c>
      <c r="Q419" s="38" t="str">
        <f aca="false">IF(N419=0,"",IFERROR(IF(C419/N419&lt;=用語集!$B$22,"◎ 許容内","✗ 超過"),"—"))</f>
        <v>—</v>
      </c>
      <c r="R419" s="39" t="str">
        <f aca="false">IFERROR(用語集!$B$22/P419,"")</f>
        <v/>
      </c>
    </row>
    <row r="420" customFormat="false" ht="15" hidden="false" customHeight="false" outlineLevel="0" collapsed="false">
      <c r="A420" s="34" t="s">
        <v>102</v>
      </c>
      <c r="B420" s="35" t="s">
        <v>103</v>
      </c>
      <c r="C420" s="51" t="s">
        <v>174</v>
      </c>
      <c r="D420" s="51" t="s">
        <v>174</v>
      </c>
      <c r="E420" s="51" t="s">
        <v>174</v>
      </c>
      <c r="F420" s="42" t="str">
        <f aca="false">IF(COUNTIFS(日次入力!$A$4:$A$1500,"&gt;="&amp;DATE(2026,9,1),日次入力!$A$4:$A$1500,"&lt;="&amp;DATE(2026,9,7),日次入力!$C$4:$C$1500,"広告外")=0,"",SUMIFS(日次入力!$G$4:$G$1500,日次入力!$A$4:$A$1500,"&gt;="&amp;DATE(2026,9,1),日次入力!$A$4:$A$1500,"&lt;="&amp;DATE(2026,9,7),日次入力!$C$4:$C$1500,"広告外"))</f>
        <v/>
      </c>
      <c r="G420" s="15" t="str">
        <f aca="false">IFERROR(E420/D420,"")</f>
        <v/>
      </c>
      <c r="H420" s="37" t="str">
        <f aca="false">IFERROR(C420/E420,"")</f>
        <v/>
      </c>
      <c r="I420" s="37" t="str">
        <f aca="false">IFERROR(C420/D420*1000,"")</f>
        <v/>
      </c>
      <c r="J420" s="15" t="str">
        <f aca="false">IFERROR(F420/E420,"")</f>
        <v/>
      </c>
      <c r="K420" s="37" t="str">
        <f aca="false">IFERROR(C420/F420,"")</f>
        <v/>
      </c>
      <c r="L420" s="42" t="str">
        <f aca="false">IF(COUNTIFS(日次入力!$A$4:$A$1500,"&gt;="&amp;DATE(2026,9,1),日次入力!$A$4:$A$1500,"&lt;="&amp;DATE(2026,9,7),日次入力!$C$4:$C$1500,"広告外")=0,"",SUMIFS(日次入力!$H$4:$H$1500,日次入力!$A$4:$A$1500,"&gt;="&amp;DATE(2026,9,1),日次入力!$A$4:$A$1500,"&lt;="&amp;DATE(2026,9,7),日次入力!$C$4:$C$1500,"広告外"))</f>
        <v/>
      </c>
      <c r="M420" s="15" t="str">
        <f aca="false">IF(L420="","",IFERROR(L420/F420,""))</f>
        <v/>
      </c>
      <c r="N420" s="42" t="str">
        <f aca="false">IF(COUNTIFS(日次入力!$A$4:$A$1500,"&gt;="&amp;DATE(2026,9,1),日次入力!$A$4:$A$1500,"&lt;="&amp;DATE(2026,9,7),日次入力!$C$4:$C$1500,"広告外")=0,"",SUMIFS(日次入力!$I$4:$I$1500,日次入力!$A$4:$A$1500,"&gt;="&amp;DATE(2026,9,1),日次入力!$A$4:$A$1500,"&lt;="&amp;DATE(2026,9,7),日次入力!$C$4:$C$1500,"広告外"))</f>
        <v/>
      </c>
      <c r="O420" s="15" t="str">
        <f aca="false">IF(N420="","",IFERROR(N420/L420,""))</f>
        <v/>
      </c>
      <c r="P420" s="37" t="str">
        <f aca="false">IF(N420=0,"",IFERROR(C420/N420,""))</f>
        <v/>
      </c>
      <c r="Q420" s="38" t="str">
        <f aca="false">IF(N420=0,"",IFERROR(IF(C420/N420&lt;=用語集!$B$22,"◎ 許容内","✗ 超過"),"—"))</f>
        <v>—</v>
      </c>
      <c r="R420" s="39" t="str">
        <f aca="false">IFERROR(用語集!$B$22/P420,"")</f>
        <v/>
      </c>
    </row>
    <row r="421" customFormat="false" ht="15" hidden="false" customHeight="false" outlineLevel="0" collapsed="false">
      <c r="A421" s="34" t="s">
        <v>104</v>
      </c>
      <c r="B421" s="35" t="s">
        <v>105</v>
      </c>
      <c r="C421" s="51" t="s">
        <v>174</v>
      </c>
      <c r="D421" s="51" t="s">
        <v>174</v>
      </c>
      <c r="E421" s="51" t="s">
        <v>174</v>
      </c>
      <c r="F421" s="42" t="str">
        <f aca="false">IF(COUNTIFS(日次入力!$A$4:$A$1500,"&gt;="&amp;DATE(2026,9,8),日次入力!$A$4:$A$1500,"&lt;="&amp;DATE(2026,9,14),日次入力!$C$4:$C$1500,"広告外")=0,"",SUMIFS(日次入力!$G$4:$G$1500,日次入力!$A$4:$A$1500,"&gt;="&amp;DATE(2026,9,8),日次入力!$A$4:$A$1500,"&lt;="&amp;DATE(2026,9,14),日次入力!$C$4:$C$1500,"広告外"))</f>
        <v/>
      </c>
      <c r="G421" s="15" t="str">
        <f aca="false">IFERROR(E421/D421,"")</f>
        <v/>
      </c>
      <c r="H421" s="37" t="str">
        <f aca="false">IFERROR(C421/E421,"")</f>
        <v/>
      </c>
      <c r="I421" s="37" t="str">
        <f aca="false">IFERROR(C421/D421*1000,"")</f>
        <v/>
      </c>
      <c r="J421" s="15" t="str">
        <f aca="false">IFERROR(F421/E421,"")</f>
        <v/>
      </c>
      <c r="K421" s="37" t="str">
        <f aca="false">IFERROR(C421/F421,"")</f>
        <v/>
      </c>
      <c r="L421" s="42" t="str">
        <f aca="false">IF(COUNTIFS(日次入力!$A$4:$A$1500,"&gt;="&amp;DATE(2026,9,8),日次入力!$A$4:$A$1500,"&lt;="&amp;DATE(2026,9,14),日次入力!$C$4:$C$1500,"広告外")=0,"",SUMIFS(日次入力!$H$4:$H$1500,日次入力!$A$4:$A$1500,"&gt;="&amp;DATE(2026,9,8),日次入力!$A$4:$A$1500,"&lt;="&amp;DATE(2026,9,14),日次入力!$C$4:$C$1500,"広告外"))</f>
        <v/>
      </c>
      <c r="M421" s="15" t="str">
        <f aca="false">IF(L421="","",IFERROR(L421/F421,""))</f>
        <v/>
      </c>
      <c r="N421" s="42" t="str">
        <f aca="false">IF(COUNTIFS(日次入力!$A$4:$A$1500,"&gt;="&amp;DATE(2026,9,8),日次入力!$A$4:$A$1500,"&lt;="&amp;DATE(2026,9,14),日次入力!$C$4:$C$1500,"広告外")=0,"",SUMIFS(日次入力!$I$4:$I$1500,日次入力!$A$4:$A$1500,"&gt;="&amp;DATE(2026,9,8),日次入力!$A$4:$A$1500,"&lt;="&amp;DATE(2026,9,14),日次入力!$C$4:$C$1500,"広告外"))</f>
        <v/>
      </c>
      <c r="O421" s="15" t="str">
        <f aca="false">IF(N421="","",IFERROR(N421/L421,""))</f>
        <v/>
      </c>
      <c r="P421" s="37" t="str">
        <f aca="false">IF(N421=0,"",IFERROR(C421/N421,""))</f>
        <v/>
      </c>
      <c r="Q421" s="38" t="str">
        <f aca="false">IF(N421=0,"",IFERROR(IF(C421/N421&lt;=用語集!$B$22,"◎ 許容内","✗ 超過"),"—"))</f>
        <v>—</v>
      </c>
      <c r="R421" s="39" t="str">
        <f aca="false">IFERROR(用語集!$B$22/P421,"")</f>
        <v/>
      </c>
    </row>
    <row r="422" customFormat="false" ht="15" hidden="false" customHeight="false" outlineLevel="0" collapsed="false">
      <c r="A422" s="34" t="s">
        <v>106</v>
      </c>
      <c r="B422" s="35" t="s">
        <v>107</v>
      </c>
      <c r="C422" s="51" t="s">
        <v>174</v>
      </c>
      <c r="D422" s="51" t="s">
        <v>174</v>
      </c>
      <c r="E422" s="51" t="s">
        <v>174</v>
      </c>
      <c r="F422" s="42" t="str">
        <f aca="false">IF(COUNTIFS(日次入力!$A$4:$A$1500,"&gt;="&amp;DATE(2026,9,15),日次入力!$A$4:$A$1500,"&lt;="&amp;DATE(2026,9,21),日次入力!$C$4:$C$1500,"広告外")=0,"",SUMIFS(日次入力!$G$4:$G$1500,日次入力!$A$4:$A$1500,"&gt;="&amp;DATE(2026,9,15),日次入力!$A$4:$A$1500,"&lt;="&amp;DATE(2026,9,21),日次入力!$C$4:$C$1500,"広告外"))</f>
        <v/>
      </c>
      <c r="G422" s="15" t="str">
        <f aca="false">IFERROR(E422/D422,"")</f>
        <v/>
      </c>
      <c r="H422" s="37" t="str">
        <f aca="false">IFERROR(C422/E422,"")</f>
        <v/>
      </c>
      <c r="I422" s="37" t="str">
        <f aca="false">IFERROR(C422/D422*1000,"")</f>
        <v/>
      </c>
      <c r="J422" s="15" t="str">
        <f aca="false">IFERROR(F422/E422,"")</f>
        <v/>
      </c>
      <c r="K422" s="37" t="str">
        <f aca="false">IFERROR(C422/F422,"")</f>
        <v/>
      </c>
      <c r="L422" s="42" t="str">
        <f aca="false">IF(COUNTIFS(日次入力!$A$4:$A$1500,"&gt;="&amp;DATE(2026,9,15),日次入力!$A$4:$A$1500,"&lt;="&amp;DATE(2026,9,21),日次入力!$C$4:$C$1500,"広告外")=0,"",SUMIFS(日次入力!$H$4:$H$1500,日次入力!$A$4:$A$1500,"&gt;="&amp;DATE(2026,9,15),日次入力!$A$4:$A$1500,"&lt;="&amp;DATE(2026,9,21),日次入力!$C$4:$C$1500,"広告外"))</f>
        <v/>
      </c>
      <c r="M422" s="15" t="str">
        <f aca="false">IF(L422="","",IFERROR(L422/F422,""))</f>
        <v/>
      </c>
      <c r="N422" s="42" t="str">
        <f aca="false">IF(COUNTIFS(日次入力!$A$4:$A$1500,"&gt;="&amp;DATE(2026,9,15),日次入力!$A$4:$A$1500,"&lt;="&amp;DATE(2026,9,21),日次入力!$C$4:$C$1500,"広告外")=0,"",SUMIFS(日次入力!$I$4:$I$1500,日次入力!$A$4:$A$1500,"&gt;="&amp;DATE(2026,9,15),日次入力!$A$4:$A$1500,"&lt;="&amp;DATE(2026,9,21),日次入力!$C$4:$C$1500,"広告外"))</f>
        <v/>
      </c>
      <c r="O422" s="15" t="str">
        <f aca="false">IF(N422="","",IFERROR(N422/L422,""))</f>
        <v/>
      </c>
      <c r="P422" s="37" t="str">
        <f aca="false">IF(N422=0,"",IFERROR(C422/N422,""))</f>
        <v/>
      </c>
      <c r="Q422" s="38" t="str">
        <f aca="false">IF(N422=0,"",IFERROR(IF(C422/N422&lt;=用語集!$B$22,"◎ 許容内","✗ 超過"),"—"))</f>
        <v>—</v>
      </c>
      <c r="R422" s="39" t="str">
        <f aca="false">IFERROR(用語集!$B$22/P422,"")</f>
        <v/>
      </c>
    </row>
    <row r="423" customFormat="false" ht="15" hidden="false" customHeight="false" outlineLevel="0" collapsed="false">
      <c r="A423" s="34" t="s">
        <v>108</v>
      </c>
      <c r="B423" s="35" t="s">
        <v>109</v>
      </c>
      <c r="C423" s="51" t="s">
        <v>174</v>
      </c>
      <c r="D423" s="51" t="s">
        <v>174</v>
      </c>
      <c r="E423" s="51" t="s">
        <v>174</v>
      </c>
      <c r="F423" s="42" t="str">
        <f aca="false">IF(COUNTIFS(日次入力!$A$4:$A$1500,"&gt;="&amp;DATE(2026,9,22),日次入力!$A$4:$A$1500,"&lt;="&amp;DATE(2026,9,28),日次入力!$C$4:$C$1500,"広告外")=0,"",SUMIFS(日次入力!$G$4:$G$1500,日次入力!$A$4:$A$1500,"&gt;="&amp;DATE(2026,9,22),日次入力!$A$4:$A$1500,"&lt;="&amp;DATE(2026,9,28),日次入力!$C$4:$C$1500,"広告外"))</f>
        <v/>
      </c>
      <c r="G423" s="15" t="str">
        <f aca="false">IFERROR(E423/D423,"")</f>
        <v/>
      </c>
      <c r="H423" s="37" t="str">
        <f aca="false">IFERROR(C423/E423,"")</f>
        <v/>
      </c>
      <c r="I423" s="37" t="str">
        <f aca="false">IFERROR(C423/D423*1000,"")</f>
        <v/>
      </c>
      <c r="J423" s="15" t="str">
        <f aca="false">IFERROR(F423/E423,"")</f>
        <v/>
      </c>
      <c r="K423" s="37" t="str">
        <f aca="false">IFERROR(C423/F423,"")</f>
        <v/>
      </c>
      <c r="L423" s="42" t="str">
        <f aca="false">IF(COUNTIFS(日次入力!$A$4:$A$1500,"&gt;="&amp;DATE(2026,9,22),日次入力!$A$4:$A$1500,"&lt;="&amp;DATE(2026,9,28),日次入力!$C$4:$C$1500,"広告外")=0,"",SUMIFS(日次入力!$H$4:$H$1500,日次入力!$A$4:$A$1500,"&gt;="&amp;DATE(2026,9,22),日次入力!$A$4:$A$1500,"&lt;="&amp;DATE(2026,9,28),日次入力!$C$4:$C$1500,"広告外"))</f>
        <v/>
      </c>
      <c r="M423" s="15" t="str">
        <f aca="false">IF(L423="","",IFERROR(L423/F423,""))</f>
        <v/>
      </c>
      <c r="N423" s="42" t="str">
        <f aca="false">IF(COUNTIFS(日次入力!$A$4:$A$1500,"&gt;="&amp;DATE(2026,9,22),日次入力!$A$4:$A$1500,"&lt;="&amp;DATE(2026,9,28),日次入力!$C$4:$C$1500,"広告外")=0,"",SUMIFS(日次入力!$I$4:$I$1500,日次入力!$A$4:$A$1500,"&gt;="&amp;DATE(2026,9,22),日次入力!$A$4:$A$1500,"&lt;="&amp;DATE(2026,9,28),日次入力!$C$4:$C$1500,"広告外"))</f>
        <v/>
      </c>
      <c r="O423" s="15" t="str">
        <f aca="false">IF(N423="","",IFERROR(N423/L423,""))</f>
        <v/>
      </c>
      <c r="P423" s="37" t="str">
        <f aca="false">IF(N423=0,"",IFERROR(C423/N423,""))</f>
        <v/>
      </c>
      <c r="Q423" s="38" t="str">
        <f aca="false">IF(N423=0,"",IFERROR(IF(C423/N423&lt;=用語集!$B$22,"◎ 許容内","✗ 超過"),"—"))</f>
        <v>—</v>
      </c>
      <c r="R423" s="39" t="str">
        <f aca="false">IFERROR(用語集!$B$22/P423,"")</f>
        <v/>
      </c>
    </row>
    <row r="424" customFormat="false" ht="15" hidden="false" customHeight="false" outlineLevel="0" collapsed="false">
      <c r="A424" s="34" t="s">
        <v>110</v>
      </c>
      <c r="B424" s="35" t="s">
        <v>111</v>
      </c>
      <c r="C424" s="51" t="s">
        <v>174</v>
      </c>
      <c r="D424" s="51" t="s">
        <v>174</v>
      </c>
      <c r="E424" s="51" t="s">
        <v>174</v>
      </c>
      <c r="F424" s="42" t="str">
        <f aca="false">IF(COUNTIFS(日次入力!$A$4:$A$1500,"&gt;="&amp;DATE(2026,9,29),日次入力!$A$4:$A$1500,"&lt;="&amp;DATE(2026,10,5),日次入力!$C$4:$C$1500,"広告外")=0,"",SUMIFS(日次入力!$G$4:$G$1500,日次入力!$A$4:$A$1500,"&gt;="&amp;DATE(2026,9,29),日次入力!$A$4:$A$1500,"&lt;="&amp;DATE(2026,10,5),日次入力!$C$4:$C$1500,"広告外"))</f>
        <v/>
      </c>
      <c r="G424" s="15" t="str">
        <f aca="false">IFERROR(E424/D424,"")</f>
        <v/>
      </c>
      <c r="H424" s="37" t="str">
        <f aca="false">IFERROR(C424/E424,"")</f>
        <v/>
      </c>
      <c r="I424" s="37" t="str">
        <f aca="false">IFERROR(C424/D424*1000,"")</f>
        <v/>
      </c>
      <c r="J424" s="15" t="str">
        <f aca="false">IFERROR(F424/E424,"")</f>
        <v/>
      </c>
      <c r="K424" s="37" t="str">
        <f aca="false">IFERROR(C424/F424,"")</f>
        <v/>
      </c>
      <c r="L424" s="42" t="str">
        <f aca="false">IF(COUNTIFS(日次入力!$A$4:$A$1500,"&gt;="&amp;DATE(2026,9,29),日次入力!$A$4:$A$1500,"&lt;="&amp;DATE(2026,10,5),日次入力!$C$4:$C$1500,"広告外")=0,"",SUMIFS(日次入力!$H$4:$H$1500,日次入力!$A$4:$A$1500,"&gt;="&amp;DATE(2026,9,29),日次入力!$A$4:$A$1500,"&lt;="&amp;DATE(2026,10,5),日次入力!$C$4:$C$1500,"広告外"))</f>
        <v/>
      </c>
      <c r="M424" s="15" t="str">
        <f aca="false">IF(L424="","",IFERROR(L424/F424,""))</f>
        <v/>
      </c>
      <c r="N424" s="42" t="str">
        <f aca="false">IF(COUNTIFS(日次入力!$A$4:$A$1500,"&gt;="&amp;DATE(2026,9,29),日次入力!$A$4:$A$1500,"&lt;="&amp;DATE(2026,10,5),日次入力!$C$4:$C$1500,"広告外")=0,"",SUMIFS(日次入力!$I$4:$I$1500,日次入力!$A$4:$A$1500,"&gt;="&amp;DATE(2026,9,29),日次入力!$A$4:$A$1500,"&lt;="&amp;DATE(2026,10,5),日次入力!$C$4:$C$1500,"広告外"))</f>
        <v/>
      </c>
      <c r="O424" s="15" t="str">
        <f aca="false">IF(N424="","",IFERROR(N424/L424,""))</f>
        <v/>
      </c>
      <c r="P424" s="37" t="str">
        <f aca="false">IF(N424=0,"",IFERROR(C424/N424,""))</f>
        <v/>
      </c>
      <c r="Q424" s="38" t="str">
        <f aca="false">IF(N424=0,"",IFERROR(IF(C424/N424&lt;=用語集!$B$22,"◎ 許容内","✗ 超過"),"—"))</f>
        <v>—</v>
      </c>
      <c r="R424" s="39" t="str">
        <f aca="false">IFERROR(用語集!$B$22/P424,"")</f>
        <v/>
      </c>
    </row>
    <row r="425" customFormat="false" ht="15" hidden="false" customHeight="false" outlineLevel="0" collapsed="false">
      <c r="A425" s="34" t="s">
        <v>112</v>
      </c>
      <c r="B425" s="35" t="s">
        <v>113</v>
      </c>
      <c r="C425" s="51" t="s">
        <v>174</v>
      </c>
      <c r="D425" s="51" t="s">
        <v>174</v>
      </c>
      <c r="E425" s="51" t="s">
        <v>174</v>
      </c>
      <c r="F425" s="42" t="str">
        <f aca="false">IF(COUNTIFS(日次入力!$A$4:$A$1500,"&gt;="&amp;DATE(2026,10,6),日次入力!$A$4:$A$1500,"&lt;="&amp;DATE(2026,10,12),日次入力!$C$4:$C$1500,"広告外")=0,"",SUMIFS(日次入力!$G$4:$G$1500,日次入力!$A$4:$A$1500,"&gt;="&amp;DATE(2026,10,6),日次入力!$A$4:$A$1500,"&lt;="&amp;DATE(2026,10,12),日次入力!$C$4:$C$1500,"広告外"))</f>
        <v/>
      </c>
      <c r="G425" s="15" t="str">
        <f aca="false">IFERROR(E425/D425,"")</f>
        <v/>
      </c>
      <c r="H425" s="37" t="str">
        <f aca="false">IFERROR(C425/E425,"")</f>
        <v/>
      </c>
      <c r="I425" s="37" t="str">
        <f aca="false">IFERROR(C425/D425*1000,"")</f>
        <v/>
      </c>
      <c r="J425" s="15" t="str">
        <f aca="false">IFERROR(F425/E425,"")</f>
        <v/>
      </c>
      <c r="K425" s="37" t="str">
        <f aca="false">IFERROR(C425/F425,"")</f>
        <v/>
      </c>
      <c r="L425" s="42" t="str">
        <f aca="false">IF(COUNTIFS(日次入力!$A$4:$A$1500,"&gt;="&amp;DATE(2026,10,6),日次入力!$A$4:$A$1500,"&lt;="&amp;DATE(2026,10,12),日次入力!$C$4:$C$1500,"広告外")=0,"",SUMIFS(日次入力!$H$4:$H$1500,日次入力!$A$4:$A$1500,"&gt;="&amp;DATE(2026,10,6),日次入力!$A$4:$A$1500,"&lt;="&amp;DATE(2026,10,12),日次入力!$C$4:$C$1500,"広告外"))</f>
        <v/>
      </c>
      <c r="M425" s="15" t="str">
        <f aca="false">IF(L425="","",IFERROR(L425/F425,""))</f>
        <v/>
      </c>
      <c r="N425" s="42" t="str">
        <f aca="false">IF(COUNTIFS(日次入力!$A$4:$A$1500,"&gt;="&amp;DATE(2026,10,6),日次入力!$A$4:$A$1500,"&lt;="&amp;DATE(2026,10,12),日次入力!$C$4:$C$1500,"広告外")=0,"",SUMIFS(日次入力!$I$4:$I$1500,日次入力!$A$4:$A$1500,"&gt;="&amp;DATE(2026,10,6),日次入力!$A$4:$A$1500,"&lt;="&amp;DATE(2026,10,12),日次入力!$C$4:$C$1500,"広告外"))</f>
        <v/>
      </c>
      <c r="O425" s="15" t="str">
        <f aca="false">IF(N425="","",IFERROR(N425/L425,""))</f>
        <v/>
      </c>
      <c r="P425" s="37" t="str">
        <f aca="false">IF(N425=0,"",IFERROR(C425/N425,""))</f>
        <v/>
      </c>
      <c r="Q425" s="38" t="str">
        <f aca="false">IF(N425=0,"",IFERROR(IF(C425/N425&lt;=用語集!$B$22,"◎ 許容内","✗ 超過"),"—"))</f>
        <v>—</v>
      </c>
      <c r="R425" s="39" t="str">
        <f aca="false">IFERROR(用語集!$B$22/P425,"")</f>
        <v/>
      </c>
    </row>
    <row r="426" customFormat="false" ht="15" hidden="false" customHeight="false" outlineLevel="0" collapsed="false">
      <c r="A426" s="34" t="s">
        <v>114</v>
      </c>
      <c r="B426" s="35" t="s">
        <v>115</v>
      </c>
      <c r="C426" s="51" t="s">
        <v>174</v>
      </c>
      <c r="D426" s="51" t="s">
        <v>174</v>
      </c>
      <c r="E426" s="51" t="s">
        <v>174</v>
      </c>
      <c r="F426" s="42" t="str">
        <f aca="false">IF(COUNTIFS(日次入力!$A$4:$A$1500,"&gt;="&amp;DATE(2026,10,13),日次入力!$A$4:$A$1500,"&lt;="&amp;DATE(2026,10,19),日次入力!$C$4:$C$1500,"広告外")=0,"",SUMIFS(日次入力!$G$4:$G$1500,日次入力!$A$4:$A$1500,"&gt;="&amp;DATE(2026,10,13),日次入力!$A$4:$A$1500,"&lt;="&amp;DATE(2026,10,19),日次入力!$C$4:$C$1500,"広告外"))</f>
        <v/>
      </c>
      <c r="G426" s="15" t="str">
        <f aca="false">IFERROR(E426/D426,"")</f>
        <v/>
      </c>
      <c r="H426" s="37" t="str">
        <f aca="false">IFERROR(C426/E426,"")</f>
        <v/>
      </c>
      <c r="I426" s="37" t="str">
        <f aca="false">IFERROR(C426/D426*1000,"")</f>
        <v/>
      </c>
      <c r="J426" s="15" t="str">
        <f aca="false">IFERROR(F426/E426,"")</f>
        <v/>
      </c>
      <c r="K426" s="37" t="str">
        <f aca="false">IFERROR(C426/F426,"")</f>
        <v/>
      </c>
      <c r="L426" s="42" t="str">
        <f aca="false">IF(COUNTIFS(日次入力!$A$4:$A$1500,"&gt;="&amp;DATE(2026,10,13),日次入力!$A$4:$A$1500,"&lt;="&amp;DATE(2026,10,19),日次入力!$C$4:$C$1500,"広告外")=0,"",SUMIFS(日次入力!$H$4:$H$1500,日次入力!$A$4:$A$1500,"&gt;="&amp;DATE(2026,10,13),日次入力!$A$4:$A$1500,"&lt;="&amp;DATE(2026,10,19),日次入力!$C$4:$C$1500,"広告外"))</f>
        <v/>
      </c>
      <c r="M426" s="15" t="str">
        <f aca="false">IF(L426="","",IFERROR(L426/F426,""))</f>
        <v/>
      </c>
      <c r="N426" s="42" t="str">
        <f aca="false">IF(COUNTIFS(日次入力!$A$4:$A$1500,"&gt;="&amp;DATE(2026,10,13),日次入力!$A$4:$A$1500,"&lt;="&amp;DATE(2026,10,19),日次入力!$C$4:$C$1500,"広告外")=0,"",SUMIFS(日次入力!$I$4:$I$1500,日次入力!$A$4:$A$1500,"&gt;="&amp;DATE(2026,10,13),日次入力!$A$4:$A$1500,"&lt;="&amp;DATE(2026,10,19),日次入力!$C$4:$C$1500,"広告外"))</f>
        <v/>
      </c>
      <c r="O426" s="15" t="str">
        <f aca="false">IF(N426="","",IFERROR(N426/L426,""))</f>
        <v/>
      </c>
      <c r="P426" s="37" t="str">
        <f aca="false">IF(N426=0,"",IFERROR(C426/N426,""))</f>
        <v/>
      </c>
      <c r="Q426" s="38" t="str">
        <f aca="false">IF(N426=0,"",IFERROR(IF(C426/N426&lt;=用語集!$B$22,"◎ 許容内","✗ 超過"),"—"))</f>
        <v>—</v>
      </c>
      <c r="R426" s="39" t="str">
        <f aca="false">IFERROR(用語集!$B$22/P426,"")</f>
        <v/>
      </c>
    </row>
    <row r="427" customFormat="false" ht="15" hidden="false" customHeight="false" outlineLevel="0" collapsed="false">
      <c r="A427" s="34" t="s">
        <v>116</v>
      </c>
      <c r="B427" s="35" t="s">
        <v>117</v>
      </c>
      <c r="C427" s="51" t="s">
        <v>174</v>
      </c>
      <c r="D427" s="51" t="s">
        <v>174</v>
      </c>
      <c r="E427" s="51" t="s">
        <v>174</v>
      </c>
      <c r="F427" s="42" t="str">
        <f aca="false">IF(COUNTIFS(日次入力!$A$4:$A$1500,"&gt;="&amp;DATE(2026,10,20),日次入力!$A$4:$A$1500,"&lt;="&amp;DATE(2026,10,26),日次入力!$C$4:$C$1500,"広告外")=0,"",SUMIFS(日次入力!$G$4:$G$1500,日次入力!$A$4:$A$1500,"&gt;="&amp;DATE(2026,10,20),日次入力!$A$4:$A$1500,"&lt;="&amp;DATE(2026,10,26),日次入力!$C$4:$C$1500,"広告外"))</f>
        <v/>
      </c>
      <c r="G427" s="15" t="str">
        <f aca="false">IFERROR(E427/D427,"")</f>
        <v/>
      </c>
      <c r="H427" s="37" t="str">
        <f aca="false">IFERROR(C427/E427,"")</f>
        <v/>
      </c>
      <c r="I427" s="37" t="str">
        <f aca="false">IFERROR(C427/D427*1000,"")</f>
        <v/>
      </c>
      <c r="J427" s="15" t="str">
        <f aca="false">IFERROR(F427/E427,"")</f>
        <v/>
      </c>
      <c r="K427" s="37" t="str">
        <f aca="false">IFERROR(C427/F427,"")</f>
        <v/>
      </c>
      <c r="L427" s="42" t="str">
        <f aca="false">IF(COUNTIFS(日次入力!$A$4:$A$1500,"&gt;="&amp;DATE(2026,10,20),日次入力!$A$4:$A$1500,"&lt;="&amp;DATE(2026,10,26),日次入力!$C$4:$C$1500,"広告外")=0,"",SUMIFS(日次入力!$H$4:$H$1500,日次入力!$A$4:$A$1500,"&gt;="&amp;DATE(2026,10,20),日次入力!$A$4:$A$1500,"&lt;="&amp;DATE(2026,10,26),日次入力!$C$4:$C$1500,"広告外"))</f>
        <v/>
      </c>
      <c r="M427" s="15" t="str">
        <f aca="false">IF(L427="","",IFERROR(L427/F427,""))</f>
        <v/>
      </c>
      <c r="N427" s="42" t="str">
        <f aca="false">IF(COUNTIFS(日次入力!$A$4:$A$1500,"&gt;="&amp;DATE(2026,10,20),日次入力!$A$4:$A$1500,"&lt;="&amp;DATE(2026,10,26),日次入力!$C$4:$C$1500,"広告外")=0,"",SUMIFS(日次入力!$I$4:$I$1500,日次入力!$A$4:$A$1500,"&gt;="&amp;DATE(2026,10,20),日次入力!$A$4:$A$1500,"&lt;="&amp;DATE(2026,10,26),日次入力!$C$4:$C$1500,"広告外"))</f>
        <v/>
      </c>
      <c r="O427" s="15" t="str">
        <f aca="false">IF(N427="","",IFERROR(N427/L427,""))</f>
        <v/>
      </c>
      <c r="P427" s="37" t="str">
        <f aca="false">IF(N427=0,"",IFERROR(C427/N427,""))</f>
        <v/>
      </c>
      <c r="Q427" s="38" t="str">
        <f aca="false">IF(N427=0,"",IFERROR(IF(C427/N427&lt;=用語集!$B$22,"◎ 許容内","✗ 超過"),"—"))</f>
        <v>—</v>
      </c>
      <c r="R427" s="39" t="str">
        <f aca="false">IFERROR(用語集!$B$22/P427,"")</f>
        <v/>
      </c>
    </row>
    <row r="428" customFormat="false" ht="15" hidden="false" customHeight="false" outlineLevel="0" collapsed="false">
      <c r="A428" s="34" t="s">
        <v>118</v>
      </c>
      <c r="B428" s="35" t="s">
        <v>119</v>
      </c>
      <c r="C428" s="51" t="s">
        <v>174</v>
      </c>
      <c r="D428" s="51" t="s">
        <v>174</v>
      </c>
      <c r="E428" s="51" t="s">
        <v>174</v>
      </c>
      <c r="F428" s="42" t="str">
        <f aca="false">IF(COUNTIFS(日次入力!$A$4:$A$1500,"&gt;="&amp;DATE(2026,10,27),日次入力!$A$4:$A$1500,"&lt;="&amp;DATE(2026,11,2),日次入力!$C$4:$C$1500,"広告外")=0,"",SUMIFS(日次入力!$G$4:$G$1500,日次入力!$A$4:$A$1500,"&gt;="&amp;DATE(2026,10,27),日次入力!$A$4:$A$1500,"&lt;="&amp;DATE(2026,11,2),日次入力!$C$4:$C$1500,"広告外"))</f>
        <v/>
      </c>
      <c r="G428" s="15" t="str">
        <f aca="false">IFERROR(E428/D428,"")</f>
        <v/>
      </c>
      <c r="H428" s="37" t="str">
        <f aca="false">IFERROR(C428/E428,"")</f>
        <v/>
      </c>
      <c r="I428" s="37" t="str">
        <f aca="false">IFERROR(C428/D428*1000,"")</f>
        <v/>
      </c>
      <c r="J428" s="15" t="str">
        <f aca="false">IFERROR(F428/E428,"")</f>
        <v/>
      </c>
      <c r="K428" s="37" t="str">
        <f aca="false">IFERROR(C428/F428,"")</f>
        <v/>
      </c>
      <c r="L428" s="42" t="str">
        <f aca="false">IF(COUNTIFS(日次入力!$A$4:$A$1500,"&gt;="&amp;DATE(2026,10,27),日次入力!$A$4:$A$1500,"&lt;="&amp;DATE(2026,11,2),日次入力!$C$4:$C$1500,"広告外")=0,"",SUMIFS(日次入力!$H$4:$H$1500,日次入力!$A$4:$A$1500,"&gt;="&amp;DATE(2026,10,27),日次入力!$A$4:$A$1500,"&lt;="&amp;DATE(2026,11,2),日次入力!$C$4:$C$1500,"広告外"))</f>
        <v/>
      </c>
      <c r="M428" s="15" t="str">
        <f aca="false">IF(L428="","",IFERROR(L428/F428,""))</f>
        <v/>
      </c>
      <c r="N428" s="42" t="str">
        <f aca="false">IF(COUNTIFS(日次入力!$A$4:$A$1500,"&gt;="&amp;DATE(2026,10,27),日次入力!$A$4:$A$1500,"&lt;="&amp;DATE(2026,11,2),日次入力!$C$4:$C$1500,"広告外")=0,"",SUMIFS(日次入力!$I$4:$I$1500,日次入力!$A$4:$A$1500,"&gt;="&amp;DATE(2026,10,27),日次入力!$A$4:$A$1500,"&lt;="&amp;DATE(2026,11,2),日次入力!$C$4:$C$1500,"広告外"))</f>
        <v/>
      </c>
      <c r="O428" s="15" t="str">
        <f aca="false">IF(N428="","",IFERROR(N428/L428,""))</f>
        <v/>
      </c>
      <c r="P428" s="37" t="str">
        <f aca="false">IF(N428=0,"",IFERROR(C428/N428,""))</f>
        <v/>
      </c>
      <c r="Q428" s="38" t="str">
        <f aca="false">IF(N428=0,"",IFERROR(IF(C428/N428&lt;=用語集!$B$22,"◎ 許容内","✗ 超過"),"—"))</f>
        <v>—</v>
      </c>
      <c r="R428" s="39" t="str">
        <f aca="false">IFERROR(用語集!$B$22/P428,"")</f>
        <v/>
      </c>
    </row>
    <row r="429" customFormat="false" ht="15" hidden="false" customHeight="false" outlineLevel="0" collapsed="false">
      <c r="A429" s="34" t="s">
        <v>120</v>
      </c>
      <c r="B429" s="35" t="s">
        <v>121</v>
      </c>
      <c r="C429" s="51" t="s">
        <v>174</v>
      </c>
      <c r="D429" s="51" t="s">
        <v>174</v>
      </c>
      <c r="E429" s="51" t="s">
        <v>174</v>
      </c>
      <c r="F429" s="42" t="str">
        <f aca="false">IF(COUNTIFS(日次入力!$A$4:$A$1500,"&gt;="&amp;DATE(2026,11,3),日次入力!$A$4:$A$1500,"&lt;="&amp;DATE(2026,11,9),日次入力!$C$4:$C$1500,"広告外")=0,"",SUMIFS(日次入力!$G$4:$G$1500,日次入力!$A$4:$A$1500,"&gt;="&amp;DATE(2026,11,3),日次入力!$A$4:$A$1500,"&lt;="&amp;DATE(2026,11,9),日次入力!$C$4:$C$1500,"広告外"))</f>
        <v/>
      </c>
      <c r="G429" s="15" t="str">
        <f aca="false">IFERROR(E429/D429,"")</f>
        <v/>
      </c>
      <c r="H429" s="37" t="str">
        <f aca="false">IFERROR(C429/E429,"")</f>
        <v/>
      </c>
      <c r="I429" s="37" t="str">
        <f aca="false">IFERROR(C429/D429*1000,"")</f>
        <v/>
      </c>
      <c r="J429" s="15" t="str">
        <f aca="false">IFERROR(F429/E429,"")</f>
        <v/>
      </c>
      <c r="K429" s="37" t="str">
        <f aca="false">IFERROR(C429/F429,"")</f>
        <v/>
      </c>
      <c r="L429" s="42" t="str">
        <f aca="false">IF(COUNTIFS(日次入力!$A$4:$A$1500,"&gt;="&amp;DATE(2026,11,3),日次入力!$A$4:$A$1500,"&lt;="&amp;DATE(2026,11,9),日次入力!$C$4:$C$1500,"広告外")=0,"",SUMIFS(日次入力!$H$4:$H$1500,日次入力!$A$4:$A$1500,"&gt;="&amp;DATE(2026,11,3),日次入力!$A$4:$A$1500,"&lt;="&amp;DATE(2026,11,9),日次入力!$C$4:$C$1500,"広告外"))</f>
        <v/>
      </c>
      <c r="M429" s="15" t="str">
        <f aca="false">IF(L429="","",IFERROR(L429/F429,""))</f>
        <v/>
      </c>
      <c r="N429" s="42" t="str">
        <f aca="false">IF(COUNTIFS(日次入力!$A$4:$A$1500,"&gt;="&amp;DATE(2026,11,3),日次入力!$A$4:$A$1500,"&lt;="&amp;DATE(2026,11,9),日次入力!$C$4:$C$1500,"広告外")=0,"",SUMIFS(日次入力!$I$4:$I$1500,日次入力!$A$4:$A$1500,"&gt;="&amp;DATE(2026,11,3),日次入力!$A$4:$A$1500,"&lt;="&amp;DATE(2026,11,9),日次入力!$C$4:$C$1500,"広告外"))</f>
        <v/>
      </c>
      <c r="O429" s="15" t="str">
        <f aca="false">IF(N429="","",IFERROR(N429/L429,""))</f>
        <v/>
      </c>
      <c r="P429" s="37" t="str">
        <f aca="false">IF(N429=0,"",IFERROR(C429/N429,""))</f>
        <v/>
      </c>
      <c r="Q429" s="38" t="str">
        <f aca="false">IF(N429=0,"",IFERROR(IF(C429/N429&lt;=用語集!$B$22,"◎ 許容内","✗ 超過"),"—"))</f>
        <v>—</v>
      </c>
      <c r="R429" s="39" t="str">
        <f aca="false">IFERROR(用語集!$B$22/P429,"")</f>
        <v/>
      </c>
    </row>
    <row r="430" customFormat="false" ht="15" hidden="false" customHeight="false" outlineLevel="0" collapsed="false">
      <c r="A430" s="34" t="s">
        <v>122</v>
      </c>
      <c r="B430" s="35" t="s">
        <v>123</v>
      </c>
      <c r="C430" s="51" t="s">
        <v>174</v>
      </c>
      <c r="D430" s="51" t="s">
        <v>174</v>
      </c>
      <c r="E430" s="51" t="s">
        <v>174</v>
      </c>
      <c r="F430" s="42" t="str">
        <f aca="false">IF(COUNTIFS(日次入力!$A$4:$A$1500,"&gt;="&amp;DATE(2026,11,10),日次入力!$A$4:$A$1500,"&lt;="&amp;DATE(2026,11,16),日次入力!$C$4:$C$1500,"広告外")=0,"",SUMIFS(日次入力!$G$4:$G$1500,日次入力!$A$4:$A$1500,"&gt;="&amp;DATE(2026,11,10),日次入力!$A$4:$A$1500,"&lt;="&amp;DATE(2026,11,16),日次入力!$C$4:$C$1500,"広告外"))</f>
        <v/>
      </c>
      <c r="G430" s="15" t="str">
        <f aca="false">IFERROR(E430/D430,"")</f>
        <v/>
      </c>
      <c r="H430" s="37" t="str">
        <f aca="false">IFERROR(C430/E430,"")</f>
        <v/>
      </c>
      <c r="I430" s="37" t="str">
        <f aca="false">IFERROR(C430/D430*1000,"")</f>
        <v/>
      </c>
      <c r="J430" s="15" t="str">
        <f aca="false">IFERROR(F430/E430,"")</f>
        <v/>
      </c>
      <c r="K430" s="37" t="str">
        <f aca="false">IFERROR(C430/F430,"")</f>
        <v/>
      </c>
      <c r="L430" s="42" t="str">
        <f aca="false">IF(COUNTIFS(日次入力!$A$4:$A$1500,"&gt;="&amp;DATE(2026,11,10),日次入力!$A$4:$A$1500,"&lt;="&amp;DATE(2026,11,16),日次入力!$C$4:$C$1500,"広告外")=0,"",SUMIFS(日次入力!$H$4:$H$1500,日次入力!$A$4:$A$1500,"&gt;="&amp;DATE(2026,11,10),日次入力!$A$4:$A$1500,"&lt;="&amp;DATE(2026,11,16),日次入力!$C$4:$C$1500,"広告外"))</f>
        <v/>
      </c>
      <c r="M430" s="15" t="str">
        <f aca="false">IF(L430="","",IFERROR(L430/F430,""))</f>
        <v/>
      </c>
      <c r="N430" s="42" t="str">
        <f aca="false">IF(COUNTIFS(日次入力!$A$4:$A$1500,"&gt;="&amp;DATE(2026,11,10),日次入力!$A$4:$A$1500,"&lt;="&amp;DATE(2026,11,16),日次入力!$C$4:$C$1500,"広告外")=0,"",SUMIFS(日次入力!$I$4:$I$1500,日次入力!$A$4:$A$1500,"&gt;="&amp;DATE(2026,11,10),日次入力!$A$4:$A$1500,"&lt;="&amp;DATE(2026,11,16),日次入力!$C$4:$C$1500,"広告外"))</f>
        <v/>
      </c>
      <c r="O430" s="15" t="str">
        <f aca="false">IF(N430="","",IFERROR(N430/L430,""))</f>
        <v/>
      </c>
      <c r="P430" s="37" t="str">
        <f aca="false">IF(N430=0,"",IFERROR(C430/N430,""))</f>
        <v/>
      </c>
      <c r="Q430" s="38" t="str">
        <f aca="false">IF(N430=0,"",IFERROR(IF(C430/N430&lt;=用語集!$B$22,"◎ 許容内","✗ 超過"),"—"))</f>
        <v>—</v>
      </c>
      <c r="R430" s="39" t="str">
        <f aca="false">IFERROR(用語集!$B$22/P430,"")</f>
        <v/>
      </c>
    </row>
    <row r="431" customFormat="false" ht="15" hidden="false" customHeight="false" outlineLevel="0" collapsed="false">
      <c r="A431" s="34" t="s">
        <v>124</v>
      </c>
      <c r="B431" s="35" t="s">
        <v>125</v>
      </c>
      <c r="C431" s="51" t="s">
        <v>174</v>
      </c>
      <c r="D431" s="51" t="s">
        <v>174</v>
      </c>
      <c r="E431" s="51" t="s">
        <v>174</v>
      </c>
      <c r="F431" s="42" t="str">
        <f aca="false">IF(COUNTIFS(日次入力!$A$4:$A$1500,"&gt;="&amp;DATE(2026,11,17),日次入力!$A$4:$A$1500,"&lt;="&amp;DATE(2026,11,23),日次入力!$C$4:$C$1500,"広告外")=0,"",SUMIFS(日次入力!$G$4:$G$1500,日次入力!$A$4:$A$1500,"&gt;="&amp;DATE(2026,11,17),日次入力!$A$4:$A$1500,"&lt;="&amp;DATE(2026,11,23),日次入力!$C$4:$C$1500,"広告外"))</f>
        <v/>
      </c>
      <c r="G431" s="15" t="str">
        <f aca="false">IFERROR(E431/D431,"")</f>
        <v/>
      </c>
      <c r="H431" s="37" t="str">
        <f aca="false">IFERROR(C431/E431,"")</f>
        <v/>
      </c>
      <c r="I431" s="37" t="str">
        <f aca="false">IFERROR(C431/D431*1000,"")</f>
        <v/>
      </c>
      <c r="J431" s="15" t="str">
        <f aca="false">IFERROR(F431/E431,"")</f>
        <v/>
      </c>
      <c r="K431" s="37" t="str">
        <f aca="false">IFERROR(C431/F431,"")</f>
        <v/>
      </c>
      <c r="L431" s="42" t="str">
        <f aca="false">IF(COUNTIFS(日次入力!$A$4:$A$1500,"&gt;="&amp;DATE(2026,11,17),日次入力!$A$4:$A$1500,"&lt;="&amp;DATE(2026,11,23),日次入力!$C$4:$C$1500,"広告外")=0,"",SUMIFS(日次入力!$H$4:$H$1500,日次入力!$A$4:$A$1500,"&gt;="&amp;DATE(2026,11,17),日次入力!$A$4:$A$1500,"&lt;="&amp;DATE(2026,11,23),日次入力!$C$4:$C$1500,"広告外"))</f>
        <v/>
      </c>
      <c r="M431" s="15" t="str">
        <f aca="false">IF(L431="","",IFERROR(L431/F431,""))</f>
        <v/>
      </c>
      <c r="N431" s="42" t="str">
        <f aca="false">IF(COUNTIFS(日次入力!$A$4:$A$1500,"&gt;="&amp;DATE(2026,11,17),日次入力!$A$4:$A$1500,"&lt;="&amp;DATE(2026,11,23),日次入力!$C$4:$C$1500,"広告外")=0,"",SUMIFS(日次入力!$I$4:$I$1500,日次入力!$A$4:$A$1500,"&gt;="&amp;DATE(2026,11,17),日次入力!$A$4:$A$1500,"&lt;="&amp;DATE(2026,11,23),日次入力!$C$4:$C$1500,"広告外"))</f>
        <v/>
      </c>
      <c r="O431" s="15" t="str">
        <f aca="false">IF(N431="","",IFERROR(N431/L431,""))</f>
        <v/>
      </c>
      <c r="P431" s="37" t="str">
        <f aca="false">IF(N431=0,"",IFERROR(C431/N431,""))</f>
        <v/>
      </c>
      <c r="Q431" s="38" t="str">
        <f aca="false">IF(N431=0,"",IFERROR(IF(C431/N431&lt;=用語集!$B$22,"◎ 許容内","✗ 超過"),"—"))</f>
        <v>—</v>
      </c>
      <c r="R431" s="39" t="str">
        <f aca="false">IFERROR(用語集!$B$22/P431,"")</f>
        <v/>
      </c>
    </row>
    <row r="432" customFormat="false" ht="15" hidden="false" customHeight="false" outlineLevel="0" collapsed="false">
      <c r="A432" s="34" t="s">
        <v>126</v>
      </c>
      <c r="B432" s="35" t="s">
        <v>127</v>
      </c>
      <c r="C432" s="51" t="s">
        <v>174</v>
      </c>
      <c r="D432" s="51" t="s">
        <v>174</v>
      </c>
      <c r="E432" s="51" t="s">
        <v>174</v>
      </c>
      <c r="F432" s="42" t="str">
        <f aca="false">IF(COUNTIFS(日次入力!$A$4:$A$1500,"&gt;="&amp;DATE(2026,11,24),日次入力!$A$4:$A$1500,"&lt;="&amp;DATE(2026,11,30),日次入力!$C$4:$C$1500,"広告外")=0,"",SUMIFS(日次入力!$G$4:$G$1500,日次入力!$A$4:$A$1500,"&gt;="&amp;DATE(2026,11,24),日次入力!$A$4:$A$1500,"&lt;="&amp;DATE(2026,11,30),日次入力!$C$4:$C$1500,"広告外"))</f>
        <v/>
      </c>
      <c r="G432" s="15" t="str">
        <f aca="false">IFERROR(E432/D432,"")</f>
        <v/>
      </c>
      <c r="H432" s="37" t="str">
        <f aca="false">IFERROR(C432/E432,"")</f>
        <v/>
      </c>
      <c r="I432" s="37" t="str">
        <f aca="false">IFERROR(C432/D432*1000,"")</f>
        <v/>
      </c>
      <c r="J432" s="15" t="str">
        <f aca="false">IFERROR(F432/E432,"")</f>
        <v/>
      </c>
      <c r="K432" s="37" t="str">
        <f aca="false">IFERROR(C432/F432,"")</f>
        <v/>
      </c>
      <c r="L432" s="42" t="str">
        <f aca="false">IF(COUNTIFS(日次入力!$A$4:$A$1500,"&gt;="&amp;DATE(2026,11,24),日次入力!$A$4:$A$1500,"&lt;="&amp;DATE(2026,11,30),日次入力!$C$4:$C$1500,"広告外")=0,"",SUMIFS(日次入力!$H$4:$H$1500,日次入力!$A$4:$A$1500,"&gt;="&amp;DATE(2026,11,24),日次入力!$A$4:$A$1500,"&lt;="&amp;DATE(2026,11,30),日次入力!$C$4:$C$1500,"広告外"))</f>
        <v/>
      </c>
      <c r="M432" s="15" t="str">
        <f aca="false">IF(L432="","",IFERROR(L432/F432,""))</f>
        <v/>
      </c>
      <c r="N432" s="42" t="str">
        <f aca="false">IF(COUNTIFS(日次入力!$A$4:$A$1500,"&gt;="&amp;DATE(2026,11,24),日次入力!$A$4:$A$1500,"&lt;="&amp;DATE(2026,11,30),日次入力!$C$4:$C$1500,"広告外")=0,"",SUMIFS(日次入力!$I$4:$I$1500,日次入力!$A$4:$A$1500,"&gt;="&amp;DATE(2026,11,24),日次入力!$A$4:$A$1500,"&lt;="&amp;DATE(2026,11,30),日次入力!$C$4:$C$1500,"広告外"))</f>
        <v/>
      </c>
      <c r="O432" s="15" t="str">
        <f aca="false">IF(N432="","",IFERROR(N432/L432,""))</f>
        <v/>
      </c>
      <c r="P432" s="37" t="str">
        <f aca="false">IF(N432=0,"",IFERROR(C432/N432,""))</f>
        <v/>
      </c>
      <c r="Q432" s="38" t="str">
        <f aca="false">IF(N432=0,"",IFERROR(IF(C432/N432&lt;=用語集!$B$22,"◎ 許容内","✗ 超過"),"—"))</f>
        <v>—</v>
      </c>
      <c r="R432" s="39" t="str">
        <f aca="false">IFERROR(用語集!$B$22/P432,"")</f>
        <v/>
      </c>
    </row>
    <row r="433" customFormat="false" ht="15" hidden="false" customHeight="false" outlineLevel="0" collapsed="false">
      <c r="A433" s="34" t="s">
        <v>128</v>
      </c>
      <c r="B433" s="35" t="s">
        <v>129</v>
      </c>
      <c r="C433" s="51" t="s">
        <v>174</v>
      </c>
      <c r="D433" s="51" t="s">
        <v>174</v>
      </c>
      <c r="E433" s="51" t="s">
        <v>174</v>
      </c>
      <c r="F433" s="42" t="str">
        <f aca="false">IF(COUNTIFS(日次入力!$A$4:$A$1500,"&gt;="&amp;DATE(2026,12,1),日次入力!$A$4:$A$1500,"&lt;="&amp;DATE(2026,12,7),日次入力!$C$4:$C$1500,"広告外")=0,"",SUMIFS(日次入力!$G$4:$G$1500,日次入力!$A$4:$A$1500,"&gt;="&amp;DATE(2026,12,1),日次入力!$A$4:$A$1500,"&lt;="&amp;DATE(2026,12,7),日次入力!$C$4:$C$1500,"広告外"))</f>
        <v/>
      </c>
      <c r="G433" s="15" t="str">
        <f aca="false">IFERROR(E433/D433,"")</f>
        <v/>
      </c>
      <c r="H433" s="37" t="str">
        <f aca="false">IFERROR(C433/E433,"")</f>
        <v/>
      </c>
      <c r="I433" s="37" t="str">
        <f aca="false">IFERROR(C433/D433*1000,"")</f>
        <v/>
      </c>
      <c r="J433" s="15" t="str">
        <f aca="false">IFERROR(F433/E433,"")</f>
        <v/>
      </c>
      <c r="K433" s="37" t="str">
        <f aca="false">IFERROR(C433/F433,"")</f>
        <v/>
      </c>
      <c r="L433" s="42" t="str">
        <f aca="false">IF(COUNTIFS(日次入力!$A$4:$A$1500,"&gt;="&amp;DATE(2026,12,1),日次入力!$A$4:$A$1500,"&lt;="&amp;DATE(2026,12,7),日次入力!$C$4:$C$1500,"広告外")=0,"",SUMIFS(日次入力!$H$4:$H$1500,日次入力!$A$4:$A$1500,"&gt;="&amp;DATE(2026,12,1),日次入力!$A$4:$A$1500,"&lt;="&amp;DATE(2026,12,7),日次入力!$C$4:$C$1500,"広告外"))</f>
        <v/>
      </c>
      <c r="M433" s="15" t="str">
        <f aca="false">IF(L433="","",IFERROR(L433/F433,""))</f>
        <v/>
      </c>
      <c r="N433" s="42" t="str">
        <f aca="false">IF(COUNTIFS(日次入力!$A$4:$A$1500,"&gt;="&amp;DATE(2026,12,1),日次入力!$A$4:$A$1500,"&lt;="&amp;DATE(2026,12,7),日次入力!$C$4:$C$1500,"広告外")=0,"",SUMIFS(日次入力!$I$4:$I$1500,日次入力!$A$4:$A$1500,"&gt;="&amp;DATE(2026,12,1),日次入力!$A$4:$A$1500,"&lt;="&amp;DATE(2026,12,7),日次入力!$C$4:$C$1500,"広告外"))</f>
        <v/>
      </c>
      <c r="O433" s="15" t="str">
        <f aca="false">IF(N433="","",IFERROR(N433/L433,""))</f>
        <v/>
      </c>
      <c r="P433" s="37" t="str">
        <f aca="false">IF(N433=0,"",IFERROR(C433/N433,""))</f>
        <v/>
      </c>
      <c r="Q433" s="38" t="str">
        <f aca="false">IF(N433=0,"",IFERROR(IF(C433/N433&lt;=用語集!$B$22,"◎ 許容内","✗ 超過"),"—"))</f>
        <v>—</v>
      </c>
      <c r="R433" s="39" t="str">
        <f aca="false">IFERROR(用語集!$B$22/P433,"")</f>
        <v/>
      </c>
    </row>
    <row r="434" customFormat="false" ht="15" hidden="false" customHeight="false" outlineLevel="0" collapsed="false">
      <c r="A434" s="34" t="s">
        <v>130</v>
      </c>
      <c r="B434" s="35" t="s">
        <v>131</v>
      </c>
      <c r="C434" s="51" t="s">
        <v>174</v>
      </c>
      <c r="D434" s="51" t="s">
        <v>174</v>
      </c>
      <c r="E434" s="51" t="s">
        <v>174</v>
      </c>
      <c r="F434" s="42" t="str">
        <f aca="false">IF(COUNTIFS(日次入力!$A$4:$A$1500,"&gt;="&amp;DATE(2026,12,8),日次入力!$A$4:$A$1500,"&lt;="&amp;DATE(2026,12,14),日次入力!$C$4:$C$1500,"広告外")=0,"",SUMIFS(日次入力!$G$4:$G$1500,日次入力!$A$4:$A$1500,"&gt;="&amp;DATE(2026,12,8),日次入力!$A$4:$A$1500,"&lt;="&amp;DATE(2026,12,14),日次入力!$C$4:$C$1500,"広告外"))</f>
        <v/>
      </c>
      <c r="G434" s="15" t="str">
        <f aca="false">IFERROR(E434/D434,"")</f>
        <v/>
      </c>
      <c r="H434" s="37" t="str">
        <f aca="false">IFERROR(C434/E434,"")</f>
        <v/>
      </c>
      <c r="I434" s="37" t="str">
        <f aca="false">IFERROR(C434/D434*1000,"")</f>
        <v/>
      </c>
      <c r="J434" s="15" t="str">
        <f aca="false">IFERROR(F434/E434,"")</f>
        <v/>
      </c>
      <c r="K434" s="37" t="str">
        <f aca="false">IFERROR(C434/F434,"")</f>
        <v/>
      </c>
      <c r="L434" s="42" t="str">
        <f aca="false">IF(COUNTIFS(日次入力!$A$4:$A$1500,"&gt;="&amp;DATE(2026,12,8),日次入力!$A$4:$A$1500,"&lt;="&amp;DATE(2026,12,14),日次入力!$C$4:$C$1500,"広告外")=0,"",SUMIFS(日次入力!$H$4:$H$1500,日次入力!$A$4:$A$1500,"&gt;="&amp;DATE(2026,12,8),日次入力!$A$4:$A$1500,"&lt;="&amp;DATE(2026,12,14),日次入力!$C$4:$C$1500,"広告外"))</f>
        <v/>
      </c>
      <c r="M434" s="15" t="str">
        <f aca="false">IF(L434="","",IFERROR(L434/F434,""))</f>
        <v/>
      </c>
      <c r="N434" s="42" t="str">
        <f aca="false">IF(COUNTIFS(日次入力!$A$4:$A$1500,"&gt;="&amp;DATE(2026,12,8),日次入力!$A$4:$A$1500,"&lt;="&amp;DATE(2026,12,14),日次入力!$C$4:$C$1500,"広告外")=0,"",SUMIFS(日次入力!$I$4:$I$1500,日次入力!$A$4:$A$1500,"&gt;="&amp;DATE(2026,12,8),日次入力!$A$4:$A$1500,"&lt;="&amp;DATE(2026,12,14),日次入力!$C$4:$C$1500,"広告外"))</f>
        <v/>
      </c>
      <c r="O434" s="15" t="str">
        <f aca="false">IF(N434="","",IFERROR(N434/L434,""))</f>
        <v/>
      </c>
      <c r="P434" s="37" t="str">
        <f aca="false">IF(N434=0,"",IFERROR(C434/N434,""))</f>
        <v/>
      </c>
      <c r="Q434" s="38" t="str">
        <f aca="false">IF(N434=0,"",IFERROR(IF(C434/N434&lt;=用語集!$B$22,"◎ 許容内","✗ 超過"),"—"))</f>
        <v>—</v>
      </c>
      <c r="R434" s="39" t="str">
        <f aca="false">IFERROR(用語集!$B$22/P434,"")</f>
        <v/>
      </c>
    </row>
    <row r="435" customFormat="false" ht="15" hidden="false" customHeight="false" outlineLevel="0" collapsed="false">
      <c r="A435" s="34" t="s">
        <v>132</v>
      </c>
      <c r="B435" s="35" t="s">
        <v>133</v>
      </c>
      <c r="C435" s="51" t="s">
        <v>174</v>
      </c>
      <c r="D435" s="51" t="s">
        <v>174</v>
      </c>
      <c r="E435" s="51" t="s">
        <v>174</v>
      </c>
      <c r="F435" s="42" t="str">
        <f aca="false">IF(COUNTIFS(日次入力!$A$4:$A$1500,"&gt;="&amp;DATE(2026,12,15),日次入力!$A$4:$A$1500,"&lt;="&amp;DATE(2026,12,21),日次入力!$C$4:$C$1500,"広告外")=0,"",SUMIFS(日次入力!$G$4:$G$1500,日次入力!$A$4:$A$1500,"&gt;="&amp;DATE(2026,12,15),日次入力!$A$4:$A$1500,"&lt;="&amp;DATE(2026,12,21),日次入力!$C$4:$C$1500,"広告外"))</f>
        <v/>
      </c>
      <c r="G435" s="15" t="str">
        <f aca="false">IFERROR(E435/D435,"")</f>
        <v/>
      </c>
      <c r="H435" s="37" t="str">
        <f aca="false">IFERROR(C435/E435,"")</f>
        <v/>
      </c>
      <c r="I435" s="37" t="str">
        <f aca="false">IFERROR(C435/D435*1000,"")</f>
        <v/>
      </c>
      <c r="J435" s="15" t="str">
        <f aca="false">IFERROR(F435/E435,"")</f>
        <v/>
      </c>
      <c r="K435" s="37" t="str">
        <f aca="false">IFERROR(C435/F435,"")</f>
        <v/>
      </c>
      <c r="L435" s="42" t="str">
        <f aca="false">IF(COUNTIFS(日次入力!$A$4:$A$1500,"&gt;="&amp;DATE(2026,12,15),日次入力!$A$4:$A$1500,"&lt;="&amp;DATE(2026,12,21),日次入力!$C$4:$C$1500,"広告外")=0,"",SUMIFS(日次入力!$H$4:$H$1500,日次入力!$A$4:$A$1500,"&gt;="&amp;DATE(2026,12,15),日次入力!$A$4:$A$1500,"&lt;="&amp;DATE(2026,12,21),日次入力!$C$4:$C$1500,"広告外"))</f>
        <v/>
      </c>
      <c r="M435" s="15" t="str">
        <f aca="false">IF(L435="","",IFERROR(L435/F435,""))</f>
        <v/>
      </c>
      <c r="N435" s="42" t="str">
        <f aca="false">IF(COUNTIFS(日次入力!$A$4:$A$1500,"&gt;="&amp;DATE(2026,12,15),日次入力!$A$4:$A$1500,"&lt;="&amp;DATE(2026,12,21),日次入力!$C$4:$C$1500,"広告外")=0,"",SUMIFS(日次入力!$I$4:$I$1500,日次入力!$A$4:$A$1500,"&gt;="&amp;DATE(2026,12,15),日次入力!$A$4:$A$1500,"&lt;="&amp;DATE(2026,12,21),日次入力!$C$4:$C$1500,"広告外"))</f>
        <v/>
      </c>
      <c r="O435" s="15" t="str">
        <f aca="false">IF(N435="","",IFERROR(N435/L435,""))</f>
        <v/>
      </c>
      <c r="P435" s="37" t="str">
        <f aca="false">IF(N435=0,"",IFERROR(C435/N435,""))</f>
        <v/>
      </c>
      <c r="Q435" s="38" t="str">
        <f aca="false">IF(N435=0,"",IFERROR(IF(C435/N435&lt;=用語集!$B$22,"◎ 許容内","✗ 超過"),"—"))</f>
        <v>—</v>
      </c>
      <c r="R435" s="39" t="str">
        <f aca="false">IFERROR(用語集!$B$22/P435,"")</f>
        <v/>
      </c>
    </row>
    <row r="436" customFormat="false" ht="15" hidden="false" customHeight="false" outlineLevel="0" collapsed="false">
      <c r="A436" s="34" t="s">
        <v>134</v>
      </c>
      <c r="B436" s="35" t="s">
        <v>135</v>
      </c>
      <c r="C436" s="51" t="s">
        <v>174</v>
      </c>
      <c r="D436" s="51" t="s">
        <v>174</v>
      </c>
      <c r="E436" s="51" t="s">
        <v>174</v>
      </c>
      <c r="F436" s="42" t="str">
        <f aca="false">IF(COUNTIFS(日次入力!$A$4:$A$1500,"&gt;="&amp;DATE(2026,12,22),日次入力!$A$4:$A$1500,"&lt;="&amp;DATE(2026,12,28),日次入力!$C$4:$C$1500,"広告外")=0,"",SUMIFS(日次入力!$G$4:$G$1500,日次入力!$A$4:$A$1500,"&gt;="&amp;DATE(2026,12,22),日次入力!$A$4:$A$1500,"&lt;="&amp;DATE(2026,12,28),日次入力!$C$4:$C$1500,"広告外"))</f>
        <v/>
      </c>
      <c r="G436" s="15" t="str">
        <f aca="false">IFERROR(E436/D436,"")</f>
        <v/>
      </c>
      <c r="H436" s="37" t="str">
        <f aca="false">IFERROR(C436/E436,"")</f>
        <v/>
      </c>
      <c r="I436" s="37" t="str">
        <f aca="false">IFERROR(C436/D436*1000,"")</f>
        <v/>
      </c>
      <c r="J436" s="15" t="str">
        <f aca="false">IFERROR(F436/E436,"")</f>
        <v/>
      </c>
      <c r="K436" s="37" t="str">
        <f aca="false">IFERROR(C436/F436,"")</f>
        <v/>
      </c>
      <c r="L436" s="42" t="str">
        <f aca="false">IF(COUNTIFS(日次入力!$A$4:$A$1500,"&gt;="&amp;DATE(2026,12,22),日次入力!$A$4:$A$1500,"&lt;="&amp;DATE(2026,12,28),日次入力!$C$4:$C$1500,"広告外")=0,"",SUMIFS(日次入力!$H$4:$H$1500,日次入力!$A$4:$A$1500,"&gt;="&amp;DATE(2026,12,22),日次入力!$A$4:$A$1500,"&lt;="&amp;DATE(2026,12,28),日次入力!$C$4:$C$1500,"広告外"))</f>
        <v/>
      </c>
      <c r="M436" s="15" t="str">
        <f aca="false">IF(L436="","",IFERROR(L436/F436,""))</f>
        <v/>
      </c>
      <c r="N436" s="42" t="str">
        <f aca="false">IF(COUNTIFS(日次入力!$A$4:$A$1500,"&gt;="&amp;DATE(2026,12,22),日次入力!$A$4:$A$1500,"&lt;="&amp;DATE(2026,12,28),日次入力!$C$4:$C$1500,"広告外")=0,"",SUMIFS(日次入力!$I$4:$I$1500,日次入力!$A$4:$A$1500,"&gt;="&amp;DATE(2026,12,22),日次入力!$A$4:$A$1500,"&lt;="&amp;DATE(2026,12,28),日次入力!$C$4:$C$1500,"広告外"))</f>
        <v/>
      </c>
      <c r="O436" s="15" t="str">
        <f aca="false">IF(N436="","",IFERROR(N436/L436,""))</f>
        <v/>
      </c>
      <c r="P436" s="37" t="str">
        <f aca="false">IF(N436=0,"",IFERROR(C436/N436,""))</f>
        <v/>
      </c>
      <c r="Q436" s="38" t="str">
        <f aca="false">IF(N436=0,"",IFERROR(IF(C436/N436&lt;=用語集!$B$22,"◎ 許容内","✗ 超過"),"—"))</f>
        <v>—</v>
      </c>
      <c r="R436" s="39" t="str">
        <f aca="false">IFERROR(用語集!$B$22/P436,"")</f>
        <v/>
      </c>
    </row>
    <row r="437" customFormat="false" ht="15" hidden="false" customHeight="false" outlineLevel="0" collapsed="false">
      <c r="A437" s="34" t="s">
        <v>136</v>
      </c>
      <c r="B437" s="35" t="s">
        <v>137</v>
      </c>
      <c r="C437" s="51" t="s">
        <v>174</v>
      </c>
      <c r="D437" s="51" t="s">
        <v>174</v>
      </c>
      <c r="E437" s="51" t="s">
        <v>174</v>
      </c>
      <c r="F437" s="42" t="str">
        <f aca="false">IF(COUNTIFS(日次入力!$A$4:$A$1500,"&gt;="&amp;DATE(2026,12,29),日次入力!$A$4:$A$1500,"&lt;="&amp;DATE(2027,1,4),日次入力!$C$4:$C$1500,"広告外")=0,"",SUMIFS(日次入力!$G$4:$G$1500,日次入力!$A$4:$A$1500,"&gt;="&amp;DATE(2026,12,29),日次入力!$A$4:$A$1500,"&lt;="&amp;DATE(2027,1,4),日次入力!$C$4:$C$1500,"広告外"))</f>
        <v/>
      </c>
      <c r="G437" s="15" t="str">
        <f aca="false">IFERROR(E437/D437,"")</f>
        <v/>
      </c>
      <c r="H437" s="37" t="str">
        <f aca="false">IFERROR(C437/E437,"")</f>
        <v/>
      </c>
      <c r="I437" s="37" t="str">
        <f aca="false">IFERROR(C437/D437*1000,"")</f>
        <v/>
      </c>
      <c r="J437" s="15" t="str">
        <f aca="false">IFERROR(F437/E437,"")</f>
        <v/>
      </c>
      <c r="K437" s="37" t="str">
        <f aca="false">IFERROR(C437/F437,"")</f>
        <v/>
      </c>
      <c r="L437" s="42" t="str">
        <f aca="false">IF(COUNTIFS(日次入力!$A$4:$A$1500,"&gt;="&amp;DATE(2026,12,29),日次入力!$A$4:$A$1500,"&lt;="&amp;DATE(2027,1,4),日次入力!$C$4:$C$1500,"広告外")=0,"",SUMIFS(日次入力!$H$4:$H$1500,日次入力!$A$4:$A$1500,"&gt;="&amp;DATE(2026,12,29),日次入力!$A$4:$A$1500,"&lt;="&amp;DATE(2027,1,4),日次入力!$C$4:$C$1500,"広告外"))</f>
        <v/>
      </c>
      <c r="M437" s="15" t="str">
        <f aca="false">IF(L437="","",IFERROR(L437/F437,""))</f>
        <v/>
      </c>
      <c r="N437" s="42" t="str">
        <f aca="false">IF(COUNTIFS(日次入力!$A$4:$A$1500,"&gt;="&amp;DATE(2026,12,29),日次入力!$A$4:$A$1500,"&lt;="&amp;DATE(2027,1,4),日次入力!$C$4:$C$1500,"広告外")=0,"",SUMIFS(日次入力!$I$4:$I$1500,日次入力!$A$4:$A$1500,"&gt;="&amp;DATE(2026,12,29),日次入力!$A$4:$A$1500,"&lt;="&amp;DATE(2027,1,4),日次入力!$C$4:$C$1500,"広告外"))</f>
        <v/>
      </c>
      <c r="O437" s="15" t="str">
        <f aca="false">IF(N437="","",IFERROR(N437/L437,""))</f>
        <v/>
      </c>
      <c r="P437" s="37" t="str">
        <f aca="false">IF(N437=0,"",IFERROR(C437/N437,""))</f>
        <v/>
      </c>
      <c r="Q437" s="38" t="str">
        <f aca="false">IF(N437=0,"",IFERROR(IF(C437/N437&lt;=用語集!$B$22,"◎ 許容内","✗ 超過"),"—"))</f>
        <v>—</v>
      </c>
      <c r="R437" s="39" t="str">
        <f aca="false">IFERROR(用語集!$B$22/P437,"")</f>
        <v/>
      </c>
    </row>
    <row r="438" customFormat="false" ht="15" hidden="false" customHeight="false" outlineLevel="0" collapsed="false">
      <c r="A438" s="34" t="s">
        <v>138</v>
      </c>
      <c r="B438" s="35" t="s">
        <v>139</v>
      </c>
      <c r="C438" s="51" t="s">
        <v>174</v>
      </c>
      <c r="D438" s="51" t="s">
        <v>174</v>
      </c>
      <c r="E438" s="51" t="s">
        <v>174</v>
      </c>
      <c r="F438" s="42" t="str">
        <f aca="false">IF(COUNTIFS(日次入力!$A$4:$A$1500,"&gt;="&amp;DATE(2027,1,5),日次入力!$A$4:$A$1500,"&lt;="&amp;DATE(2027,1,11),日次入力!$C$4:$C$1500,"広告外")=0,"",SUMIFS(日次入力!$G$4:$G$1500,日次入力!$A$4:$A$1500,"&gt;="&amp;DATE(2027,1,5),日次入力!$A$4:$A$1500,"&lt;="&amp;DATE(2027,1,11),日次入力!$C$4:$C$1500,"広告外"))</f>
        <v/>
      </c>
      <c r="G438" s="15" t="str">
        <f aca="false">IFERROR(E438/D438,"")</f>
        <v/>
      </c>
      <c r="H438" s="37" t="str">
        <f aca="false">IFERROR(C438/E438,"")</f>
        <v/>
      </c>
      <c r="I438" s="37" t="str">
        <f aca="false">IFERROR(C438/D438*1000,"")</f>
        <v/>
      </c>
      <c r="J438" s="15" t="str">
        <f aca="false">IFERROR(F438/E438,"")</f>
        <v/>
      </c>
      <c r="K438" s="37" t="str">
        <f aca="false">IFERROR(C438/F438,"")</f>
        <v/>
      </c>
      <c r="L438" s="42" t="str">
        <f aca="false">IF(COUNTIFS(日次入力!$A$4:$A$1500,"&gt;="&amp;DATE(2027,1,5),日次入力!$A$4:$A$1500,"&lt;="&amp;DATE(2027,1,11),日次入力!$C$4:$C$1500,"広告外")=0,"",SUMIFS(日次入力!$H$4:$H$1500,日次入力!$A$4:$A$1500,"&gt;="&amp;DATE(2027,1,5),日次入力!$A$4:$A$1500,"&lt;="&amp;DATE(2027,1,11),日次入力!$C$4:$C$1500,"広告外"))</f>
        <v/>
      </c>
      <c r="M438" s="15" t="str">
        <f aca="false">IF(L438="","",IFERROR(L438/F438,""))</f>
        <v/>
      </c>
      <c r="N438" s="42" t="str">
        <f aca="false">IF(COUNTIFS(日次入力!$A$4:$A$1500,"&gt;="&amp;DATE(2027,1,5),日次入力!$A$4:$A$1500,"&lt;="&amp;DATE(2027,1,11),日次入力!$C$4:$C$1500,"広告外")=0,"",SUMIFS(日次入力!$I$4:$I$1500,日次入力!$A$4:$A$1500,"&gt;="&amp;DATE(2027,1,5),日次入力!$A$4:$A$1500,"&lt;="&amp;DATE(2027,1,11),日次入力!$C$4:$C$1500,"広告外"))</f>
        <v/>
      </c>
      <c r="O438" s="15" t="str">
        <f aca="false">IF(N438="","",IFERROR(N438/L438,""))</f>
        <v/>
      </c>
      <c r="P438" s="37" t="str">
        <f aca="false">IF(N438=0,"",IFERROR(C438/N438,""))</f>
        <v/>
      </c>
      <c r="Q438" s="38" t="str">
        <f aca="false">IF(N438=0,"",IFERROR(IF(C438/N438&lt;=用語集!$B$22,"◎ 許容内","✗ 超過"),"—"))</f>
        <v>—</v>
      </c>
      <c r="R438" s="39" t="str">
        <f aca="false">IFERROR(用語集!$B$22/P438,"")</f>
        <v/>
      </c>
    </row>
    <row r="439" customFormat="false" ht="15" hidden="false" customHeight="false" outlineLevel="0" collapsed="false">
      <c r="A439" s="34" t="s">
        <v>140</v>
      </c>
      <c r="B439" s="35" t="s">
        <v>141</v>
      </c>
      <c r="C439" s="51" t="s">
        <v>174</v>
      </c>
      <c r="D439" s="51" t="s">
        <v>174</v>
      </c>
      <c r="E439" s="51" t="s">
        <v>174</v>
      </c>
      <c r="F439" s="42" t="str">
        <f aca="false">IF(COUNTIFS(日次入力!$A$4:$A$1500,"&gt;="&amp;DATE(2027,1,12),日次入力!$A$4:$A$1500,"&lt;="&amp;DATE(2027,1,18),日次入力!$C$4:$C$1500,"広告外")=0,"",SUMIFS(日次入力!$G$4:$G$1500,日次入力!$A$4:$A$1500,"&gt;="&amp;DATE(2027,1,12),日次入力!$A$4:$A$1500,"&lt;="&amp;DATE(2027,1,18),日次入力!$C$4:$C$1500,"広告外"))</f>
        <v/>
      </c>
      <c r="G439" s="15" t="str">
        <f aca="false">IFERROR(E439/D439,"")</f>
        <v/>
      </c>
      <c r="H439" s="37" t="str">
        <f aca="false">IFERROR(C439/E439,"")</f>
        <v/>
      </c>
      <c r="I439" s="37" t="str">
        <f aca="false">IFERROR(C439/D439*1000,"")</f>
        <v/>
      </c>
      <c r="J439" s="15" t="str">
        <f aca="false">IFERROR(F439/E439,"")</f>
        <v/>
      </c>
      <c r="K439" s="37" t="str">
        <f aca="false">IFERROR(C439/F439,"")</f>
        <v/>
      </c>
      <c r="L439" s="42" t="str">
        <f aca="false">IF(COUNTIFS(日次入力!$A$4:$A$1500,"&gt;="&amp;DATE(2027,1,12),日次入力!$A$4:$A$1500,"&lt;="&amp;DATE(2027,1,18),日次入力!$C$4:$C$1500,"広告外")=0,"",SUMIFS(日次入力!$H$4:$H$1500,日次入力!$A$4:$A$1500,"&gt;="&amp;DATE(2027,1,12),日次入力!$A$4:$A$1500,"&lt;="&amp;DATE(2027,1,18),日次入力!$C$4:$C$1500,"広告外"))</f>
        <v/>
      </c>
      <c r="M439" s="15" t="str">
        <f aca="false">IF(L439="","",IFERROR(L439/F439,""))</f>
        <v/>
      </c>
      <c r="N439" s="42" t="str">
        <f aca="false">IF(COUNTIFS(日次入力!$A$4:$A$1500,"&gt;="&amp;DATE(2027,1,12),日次入力!$A$4:$A$1500,"&lt;="&amp;DATE(2027,1,18),日次入力!$C$4:$C$1500,"広告外")=0,"",SUMIFS(日次入力!$I$4:$I$1500,日次入力!$A$4:$A$1500,"&gt;="&amp;DATE(2027,1,12),日次入力!$A$4:$A$1500,"&lt;="&amp;DATE(2027,1,18),日次入力!$C$4:$C$1500,"広告外"))</f>
        <v/>
      </c>
      <c r="O439" s="15" t="str">
        <f aca="false">IF(N439="","",IFERROR(N439/L439,""))</f>
        <v/>
      </c>
      <c r="P439" s="37" t="str">
        <f aca="false">IF(N439=0,"",IFERROR(C439/N439,""))</f>
        <v/>
      </c>
      <c r="Q439" s="38" t="str">
        <f aca="false">IF(N439=0,"",IFERROR(IF(C439/N439&lt;=用語集!$B$22,"◎ 許容内","✗ 超過"),"—"))</f>
        <v>—</v>
      </c>
      <c r="R439" s="39" t="str">
        <f aca="false">IFERROR(用語集!$B$22/P439,"")</f>
        <v/>
      </c>
    </row>
    <row r="440" customFormat="false" ht="15" hidden="false" customHeight="false" outlineLevel="0" collapsed="false">
      <c r="A440" s="34" t="s">
        <v>142</v>
      </c>
      <c r="B440" s="35" t="s">
        <v>143</v>
      </c>
      <c r="C440" s="51" t="s">
        <v>174</v>
      </c>
      <c r="D440" s="51" t="s">
        <v>174</v>
      </c>
      <c r="E440" s="51" t="s">
        <v>174</v>
      </c>
      <c r="F440" s="42" t="str">
        <f aca="false">IF(COUNTIFS(日次入力!$A$4:$A$1500,"&gt;="&amp;DATE(2027,1,19),日次入力!$A$4:$A$1500,"&lt;="&amp;DATE(2027,1,25),日次入力!$C$4:$C$1500,"広告外")=0,"",SUMIFS(日次入力!$G$4:$G$1500,日次入力!$A$4:$A$1500,"&gt;="&amp;DATE(2027,1,19),日次入力!$A$4:$A$1500,"&lt;="&amp;DATE(2027,1,25),日次入力!$C$4:$C$1500,"広告外"))</f>
        <v/>
      </c>
      <c r="G440" s="15" t="str">
        <f aca="false">IFERROR(E440/D440,"")</f>
        <v/>
      </c>
      <c r="H440" s="37" t="str">
        <f aca="false">IFERROR(C440/E440,"")</f>
        <v/>
      </c>
      <c r="I440" s="37" t="str">
        <f aca="false">IFERROR(C440/D440*1000,"")</f>
        <v/>
      </c>
      <c r="J440" s="15" t="str">
        <f aca="false">IFERROR(F440/E440,"")</f>
        <v/>
      </c>
      <c r="K440" s="37" t="str">
        <f aca="false">IFERROR(C440/F440,"")</f>
        <v/>
      </c>
      <c r="L440" s="42" t="str">
        <f aca="false">IF(COUNTIFS(日次入力!$A$4:$A$1500,"&gt;="&amp;DATE(2027,1,19),日次入力!$A$4:$A$1500,"&lt;="&amp;DATE(2027,1,25),日次入力!$C$4:$C$1500,"広告外")=0,"",SUMIFS(日次入力!$H$4:$H$1500,日次入力!$A$4:$A$1500,"&gt;="&amp;DATE(2027,1,19),日次入力!$A$4:$A$1500,"&lt;="&amp;DATE(2027,1,25),日次入力!$C$4:$C$1500,"広告外"))</f>
        <v/>
      </c>
      <c r="M440" s="15" t="str">
        <f aca="false">IF(L440="","",IFERROR(L440/F440,""))</f>
        <v/>
      </c>
      <c r="N440" s="42" t="str">
        <f aca="false">IF(COUNTIFS(日次入力!$A$4:$A$1500,"&gt;="&amp;DATE(2027,1,19),日次入力!$A$4:$A$1500,"&lt;="&amp;DATE(2027,1,25),日次入力!$C$4:$C$1500,"広告外")=0,"",SUMIFS(日次入力!$I$4:$I$1500,日次入力!$A$4:$A$1500,"&gt;="&amp;DATE(2027,1,19),日次入力!$A$4:$A$1500,"&lt;="&amp;DATE(2027,1,25),日次入力!$C$4:$C$1500,"広告外"))</f>
        <v/>
      </c>
      <c r="O440" s="15" t="str">
        <f aca="false">IF(N440="","",IFERROR(N440/L440,""))</f>
        <v/>
      </c>
      <c r="P440" s="37" t="str">
        <f aca="false">IF(N440=0,"",IFERROR(C440/N440,""))</f>
        <v/>
      </c>
      <c r="Q440" s="38" t="str">
        <f aca="false">IF(N440=0,"",IFERROR(IF(C440/N440&lt;=用語集!$B$22,"◎ 許容内","✗ 超過"),"—"))</f>
        <v>—</v>
      </c>
      <c r="R440" s="39" t="str">
        <f aca="false">IFERROR(用語集!$B$22/P440,"")</f>
        <v/>
      </c>
    </row>
    <row r="441" customFormat="false" ht="15" hidden="false" customHeight="false" outlineLevel="0" collapsed="false">
      <c r="A441" s="34" t="s">
        <v>144</v>
      </c>
      <c r="B441" s="35" t="s">
        <v>145</v>
      </c>
      <c r="C441" s="51" t="s">
        <v>174</v>
      </c>
      <c r="D441" s="51" t="s">
        <v>174</v>
      </c>
      <c r="E441" s="51" t="s">
        <v>174</v>
      </c>
      <c r="F441" s="42" t="str">
        <f aca="false">IF(COUNTIFS(日次入力!$A$4:$A$1500,"&gt;="&amp;DATE(2027,1,26),日次入力!$A$4:$A$1500,"&lt;="&amp;DATE(2027,2,1),日次入力!$C$4:$C$1500,"広告外")=0,"",SUMIFS(日次入力!$G$4:$G$1500,日次入力!$A$4:$A$1500,"&gt;="&amp;DATE(2027,1,26),日次入力!$A$4:$A$1500,"&lt;="&amp;DATE(2027,2,1),日次入力!$C$4:$C$1500,"広告外"))</f>
        <v/>
      </c>
      <c r="G441" s="15" t="str">
        <f aca="false">IFERROR(E441/D441,"")</f>
        <v/>
      </c>
      <c r="H441" s="37" t="str">
        <f aca="false">IFERROR(C441/E441,"")</f>
        <v/>
      </c>
      <c r="I441" s="37" t="str">
        <f aca="false">IFERROR(C441/D441*1000,"")</f>
        <v/>
      </c>
      <c r="J441" s="15" t="str">
        <f aca="false">IFERROR(F441/E441,"")</f>
        <v/>
      </c>
      <c r="K441" s="37" t="str">
        <f aca="false">IFERROR(C441/F441,"")</f>
        <v/>
      </c>
      <c r="L441" s="42" t="str">
        <f aca="false">IF(COUNTIFS(日次入力!$A$4:$A$1500,"&gt;="&amp;DATE(2027,1,26),日次入力!$A$4:$A$1500,"&lt;="&amp;DATE(2027,2,1),日次入力!$C$4:$C$1500,"広告外")=0,"",SUMIFS(日次入力!$H$4:$H$1500,日次入力!$A$4:$A$1500,"&gt;="&amp;DATE(2027,1,26),日次入力!$A$4:$A$1500,"&lt;="&amp;DATE(2027,2,1),日次入力!$C$4:$C$1500,"広告外"))</f>
        <v/>
      </c>
      <c r="M441" s="15" t="str">
        <f aca="false">IF(L441="","",IFERROR(L441/F441,""))</f>
        <v/>
      </c>
      <c r="N441" s="42" t="str">
        <f aca="false">IF(COUNTIFS(日次入力!$A$4:$A$1500,"&gt;="&amp;DATE(2027,1,26),日次入力!$A$4:$A$1500,"&lt;="&amp;DATE(2027,2,1),日次入力!$C$4:$C$1500,"広告外")=0,"",SUMIFS(日次入力!$I$4:$I$1500,日次入力!$A$4:$A$1500,"&gt;="&amp;DATE(2027,1,26),日次入力!$A$4:$A$1500,"&lt;="&amp;DATE(2027,2,1),日次入力!$C$4:$C$1500,"広告外"))</f>
        <v/>
      </c>
      <c r="O441" s="15" t="str">
        <f aca="false">IF(N441="","",IFERROR(N441/L441,""))</f>
        <v/>
      </c>
      <c r="P441" s="37" t="str">
        <f aca="false">IF(N441=0,"",IFERROR(C441/N441,""))</f>
        <v/>
      </c>
      <c r="Q441" s="38" t="str">
        <f aca="false">IF(N441=0,"",IFERROR(IF(C441/N441&lt;=用語集!$B$22,"◎ 許容内","✗ 超過"),"—"))</f>
        <v>—</v>
      </c>
      <c r="R441" s="39" t="str">
        <f aca="false">IFERROR(用語集!$B$22/P441,"")</f>
        <v/>
      </c>
    </row>
    <row r="442" customFormat="false" ht="15" hidden="false" customHeight="false" outlineLevel="0" collapsed="false">
      <c r="A442" s="34" t="s">
        <v>146</v>
      </c>
      <c r="B442" s="35" t="s">
        <v>147</v>
      </c>
      <c r="C442" s="51" t="s">
        <v>174</v>
      </c>
      <c r="D442" s="51" t="s">
        <v>174</v>
      </c>
      <c r="E442" s="51" t="s">
        <v>174</v>
      </c>
      <c r="F442" s="42" t="str">
        <f aca="false">IF(COUNTIFS(日次入力!$A$4:$A$1500,"&gt;="&amp;DATE(2027,2,2),日次入力!$A$4:$A$1500,"&lt;="&amp;DATE(2027,2,8),日次入力!$C$4:$C$1500,"広告外")=0,"",SUMIFS(日次入力!$G$4:$G$1500,日次入力!$A$4:$A$1500,"&gt;="&amp;DATE(2027,2,2),日次入力!$A$4:$A$1500,"&lt;="&amp;DATE(2027,2,8),日次入力!$C$4:$C$1500,"広告外"))</f>
        <v/>
      </c>
      <c r="G442" s="15" t="str">
        <f aca="false">IFERROR(E442/D442,"")</f>
        <v/>
      </c>
      <c r="H442" s="37" t="str">
        <f aca="false">IFERROR(C442/E442,"")</f>
        <v/>
      </c>
      <c r="I442" s="37" t="str">
        <f aca="false">IFERROR(C442/D442*1000,"")</f>
        <v/>
      </c>
      <c r="J442" s="15" t="str">
        <f aca="false">IFERROR(F442/E442,"")</f>
        <v/>
      </c>
      <c r="K442" s="37" t="str">
        <f aca="false">IFERROR(C442/F442,"")</f>
        <v/>
      </c>
      <c r="L442" s="42" t="str">
        <f aca="false">IF(COUNTIFS(日次入力!$A$4:$A$1500,"&gt;="&amp;DATE(2027,2,2),日次入力!$A$4:$A$1500,"&lt;="&amp;DATE(2027,2,8),日次入力!$C$4:$C$1500,"広告外")=0,"",SUMIFS(日次入力!$H$4:$H$1500,日次入力!$A$4:$A$1500,"&gt;="&amp;DATE(2027,2,2),日次入力!$A$4:$A$1500,"&lt;="&amp;DATE(2027,2,8),日次入力!$C$4:$C$1500,"広告外"))</f>
        <v/>
      </c>
      <c r="M442" s="15" t="str">
        <f aca="false">IF(L442="","",IFERROR(L442/F442,""))</f>
        <v/>
      </c>
      <c r="N442" s="42" t="str">
        <f aca="false">IF(COUNTIFS(日次入力!$A$4:$A$1500,"&gt;="&amp;DATE(2027,2,2),日次入力!$A$4:$A$1500,"&lt;="&amp;DATE(2027,2,8),日次入力!$C$4:$C$1500,"広告外")=0,"",SUMIFS(日次入力!$I$4:$I$1500,日次入力!$A$4:$A$1500,"&gt;="&amp;DATE(2027,2,2),日次入力!$A$4:$A$1500,"&lt;="&amp;DATE(2027,2,8),日次入力!$C$4:$C$1500,"広告外"))</f>
        <v/>
      </c>
      <c r="O442" s="15" t="str">
        <f aca="false">IF(N442="","",IFERROR(N442/L442,""))</f>
        <v/>
      </c>
      <c r="P442" s="37" t="str">
        <f aca="false">IF(N442=0,"",IFERROR(C442/N442,""))</f>
        <v/>
      </c>
      <c r="Q442" s="38" t="str">
        <f aca="false">IF(N442=0,"",IFERROR(IF(C442/N442&lt;=用語集!$B$22,"◎ 許容内","✗ 超過"),"—"))</f>
        <v>—</v>
      </c>
      <c r="R442" s="39" t="str">
        <f aca="false">IFERROR(用語集!$B$22/P442,"")</f>
        <v/>
      </c>
    </row>
    <row r="443" customFormat="false" ht="15" hidden="false" customHeight="false" outlineLevel="0" collapsed="false">
      <c r="A443" s="34" t="s">
        <v>148</v>
      </c>
      <c r="B443" s="35" t="s">
        <v>149</v>
      </c>
      <c r="C443" s="51" t="s">
        <v>174</v>
      </c>
      <c r="D443" s="51" t="s">
        <v>174</v>
      </c>
      <c r="E443" s="51" t="s">
        <v>174</v>
      </c>
      <c r="F443" s="42" t="str">
        <f aca="false">IF(COUNTIFS(日次入力!$A$4:$A$1500,"&gt;="&amp;DATE(2027,2,9),日次入力!$A$4:$A$1500,"&lt;="&amp;DATE(2027,2,15),日次入力!$C$4:$C$1500,"広告外")=0,"",SUMIFS(日次入力!$G$4:$G$1500,日次入力!$A$4:$A$1500,"&gt;="&amp;DATE(2027,2,9),日次入力!$A$4:$A$1500,"&lt;="&amp;DATE(2027,2,15),日次入力!$C$4:$C$1500,"広告外"))</f>
        <v/>
      </c>
      <c r="G443" s="15" t="str">
        <f aca="false">IFERROR(E443/D443,"")</f>
        <v/>
      </c>
      <c r="H443" s="37" t="str">
        <f aca="false">IFERROR(C443/E443,"")</f>
        <v/>
      </c>
      <c r="I443" s="37" t="str">
        <f aca="false">IFERROR(C443/D443*1000,"")</f>
        <v/>
      </c>
      <c r="J443" s="15" t="str">
        <f aca="false">IFERROR(F443/E443,"")</f>
        <v/>
      </c>
      <c r="K443" s="37" t="str">
        <f aca="false">IFERROR(C443/F443,"")</f>
        <v/>
      </c>
      <c r="L443" s="42" t="str">
        <f aca="false">IF(COUNTIFS(日次入力!$A$4:$A$1500,"&gt;="&amp;DATE(2027,2,9),日次入力!$A$4:$A$1500,"&lt;="&amp;DATE(2027,2,15),日次入力!$C$4:$C$1500,"広告外")=0,"",SUMIFS(日次入力!$H$4:$H$1500,日次入力!$A$4:$A$1500,"&gt;="&amp;DATE(2027,2,9),日次入力!$A$4:$A$1500,"&lt;="&amp;DATE(2027,2,15),日次入力!$C$4:$C$1500,"広告外"))</f>
        <v/>
      </c>
      <c r="M443" s="15" t="str">
        <f aca="false">IF(L443="","",IFERROR(L443/F443,""))</f>
        <v/>
      </c>
      <c r="N443" s="42" t="str">
        <f aca="false">IF(COUNTIFS(日次入力!$A$4:$A$1500,"&gt;="&amp;DATE(2027,2,9),日次入力!$A$4:$A$1500,"&lt;="&amp;DATE(2027,2,15),日次入力!$C$4:$C$1500,"広告外")=0,"",SUMIFS(日次入力!$I$4:$I$1500,日次入力!$A$4:$A$1500,"&gt;="&amp;DATE(2027,2,9),日次入力!$A$4:$A$1500,"&lt;="&amp;DATE(2027,2,15),日次入力!$C$4:$C$1500,"広告外"))</f>
        <v/>
      </c>
      <c r="O443" s="15" t="str">
        <f aca="false">IF(N443="","",IFERROR(N443/L443,""))</f>
        <v/>
      </c>
      <c r="P443" s="37" t="str">
        <f aca="false">IF(N443=0,"",IFERROR(C443/N443,""))</f>
        <v/>
      </c>
      <c r="Q443" s="38" t="str">
        <f aca="false">IF(N443=0,"",IFERROR(IF(C443/N443&lt;=用語集!$B$22,"◎ 許容内","✗ 超過"),"—"))</f>
        <v>—</v>
      </c>
      <c r="R443" s="39" t="str">
        <f aca="false">IFERROR(用語集!$B$22/P443,"")</f>
        <v/>
      </c>
    </row>
    <row r="444" customFormat="false" ht="15" hidden="false" customHeight="false" outlineLevel="0" collapsed="false">
      <c r="A444" s="34" t="s">
        <v>150</v>
      </c>
      <c r="B444" s="35" t="s">
        <v>151</v>
      </c>
      <c r="C444" s="51" t="s">
        <v>174</v>
      </c>
      <c r="D444" s="51" t="s">
        <v>174</v>
      </c>
      <c r="E444" s="51" t="s">
        <v>174</v>
      </c>
      <c r="F444" s="42" t="str">
        <f aca="false">IF(COUNTIFS(日次入力!$A$4:$A$1500,"&gt;="&amp;DATE(2027,2,16),日次入力!$A$4:$A$1500,"&lt;="&amp;DATE(2027,2,22),日次入力!$C$4:$C$1500,"広告外")=0,"",SUMIFS(日次入力!$G$4:$G$1500,日次入力!$A$4:$A$1500,"&gt;="&amp;DATE(2027,2,16),日次入力!$A$4:$A$1500,"&lt;="&amp;DATE(2027,2,22),日次入力!$C$4:$C$1500,"広告外"))</f>
        <v/>
      </c>
      <c r="G444" s="15" t="str">
        <f aca="false">IFERROR(E444/D444,"")</f>
        <v/>
      </c>
      <c r="H444" s="37" t="str">
        <f aca="false">IFERROR(C444/E444,"")</f>
        <v/>
      </c>
      <c r="I444" s="37" t="str">
        <f aca="false">IFERROR(C444/D444*1000,"")</f>
        <v/>
      </c>
      <c r="J444" s="15" t="str">
        <f aca="false">IFERROR(F444/E444,"")</f>
        <v/>
      </c>
      <c r="K444" s="37" t="str">
        <f aca="false">IFERROR(C444/F444,"")</f>
        <v/>
      </c>
      <c r="L444" s="42" t="str">
        <f aca="false">IF(COUNTIFS(日次入力!$A$4:$A$1500,"&gt;="&amp;DATE(2027,2,16),日次入力!$A$4:$A$1500,"&lt;="&amp;DATE(2027,2,22),日次入力!$C$4:$C$1500,"広告外")=0,"",SUMIFS(日次入力!$H$4:$H$1500,日次入力!$A$4:$A$1500,"&gt;="&amp;DATE(2027,2,16),日次入力!$A$4:$A$1500,"&lt;="&amp;DATE(2027,2,22),日次入力!$C$4:$C$1500,"広告外"))</f>
        <v/>
      </c>
      <c r="M444" s="15" t="str">
        <f aca="false">IF(L444="","",IFERROR(L444/F444,""))</f>
        <v/>
      </c>
      <c r="N444" s="42" t="str">
        <f aca="false">IF(COUNTIFS(日次入力!$A$4:$A$1500,"&gt;="&amp;DATE(2027,2,16),日次入力!$A$4:$A$1500,"&lt;="&amp;DATE(2027,2,22),日次入力!$C$4:$C$1500,"広告外")=0,"",SUMIFS(日次入力!$I$4:$I$1500,日次入力!$A$4:$A$1500,"&gt;="&amp;DATE(2027,2,16),日次入力!$A$4:$A$1500,"&lt;="&amp;DATE(2027,2,22),日次入力!$C$4:$C$1500,"広告外"))</f>
        <v/>
      </c>
      <c r="O444" s="15" t="str">
        <f aca="false">IF(N444="","",IFERROR(N444/L444,""))</f>
        <v/>
      </c>
      <c r="P444" s="37" t="str">
        <f aca="false">IF(N444=0,"",IFERROR(C444/N444,""))</f>
        <v/>
      </c>
      <c r="Q444" s="38" t="str">
        <f aca="false">IF(N444=0,"",IFERROR(IF(C444/N444&lt;=用語集!$B$22,"◎ 許容内","✗ 超過"),"—"))</f>
        <v>—</v>
      </c>
      <c r="R444" s="39" t="str">
        <f aca="false">IFERROR(用語集!$B$22/P444,"")</f>
        <v/>
      </c>
    </row>
    <row r="445" customFormat="false" ht="15" hidden="false" customHeight="false" outlineLevel="0" collapsed="false">
      <c r="A445" s="34" t="s">
        <v>152</v>
      </c>
      <c r="B445" s="35" t="s">
        <v>153</v>
      </c>
      <c r="C445" s="51" t="s">
        <v>174</v>
      </c>
      <c r="D445" s="51" t="s">
        <v>174</v>
      </c>
      <c r="E445" s="51" t="s">
        <v>174</v>
      </c>
      <c r="F445" s="42" t="str">
        <f aca="false">IF(COUNTIFS(日次入力!$A$4:$A$1500,"&gt;="&amp;DATE(2027,2,23),日次入力!$A$4:$A$1500,"&lt;="&amp;DATE(2027,3,1),日次入力!$C$4:$C$1500,"広告外")=0,"",SUMIFS(日次入力!$G$4:$G$1500,日次入力!$A$4:$A$1500,"&gt;="&amp;DATE(2027,2,23),日次入力!$A$4:$A$1500,"&lt;="&amp;DATE(2027,3,1),日次入力!$C$4:$C$1500,"広告外"))</f>
        <v/>
      </c>
      <c r="G445" s="15" t="str">
        <f aca="false">IFERROR(E445/D445,"")</f>
        <v/>
      </c>
      <c r="H445" s="37" t="str">
        <f aca="false">IFERROR(C445/E445,"")</f>
        <v/>
      </c>
      <c r="I445" s="37" t="str">
        <f aca="false">IFERROR(C445/D445*1000,"")</f>
        <v/>
      </c>
      <c r="J445" s="15" t="str">
        <f aca="false">IFERROR(F445/E445,"")</f>
        <v/>
      </c>
      <c r="K445" s="37" t="str">
        <f aca="false">IFERROR(C445/F445,"")</f>
        <v/>
      </c>
      <c r="L445" s="42" t="str">
        <f aca="false">IF(COUNTIFS(日次入力!$A$4:$A$1500,"&gt;="&amp;DATE(2027,2,23),日次入力!$A$4:$A$1500,"&lt;="&amp;DATE(2027,3,1),日次入力!$C$4:$C$1500,"広告外")=0,"",SUMIFS(日次入力!$H$4:$H$1500,日次入力!$A$4:$A$1500,"&gt;="&amp;DATE(2027,2,23),日次入力!$A$4:$A$1500,"&lt;="&amp;DATE(2027,3,1),日次入力!$C$4:$C$1500,"広告外"))</f>
        <v/>
      </c>
      <c r="M445" s="15" t="str">
        <f aca="false">IF(L445="","",IFERROR(L445/F445,""))</f>
        <v/>
      </c>
      <c r="N445" s="42" t="str">
        <f aca="false">IF(COUNTIFS(日次入力!$A$4:$A$1500,"&gt;="&amp;DATE(2027,2,23),日次入力!$A$4:$A$1500,"&lt;="&amp;DATE(2027,3,1),日次入力!$C$4:$C$1500,"広告外")=0,"",SUMIFS(日次入力!$I$4:$I$1500,日次入力!$A$4:$A$1500,"&gt;="&amp;DATE(2027,2,23),日次入力!$A$4:$A$1500,"&lt;="&amp;DATE(2027,3,1),日次入力!$C$4:$C$1500,"広告外"))</f>
        <v/>
      </c>
      <c r="O445" s="15" t="str">
        <f aca="false">IF(N445="","",IFERROR(N445/L445,""))</f>
        <v/>
      </c>
      <c r="P445" s="37" t="str">
        <f aca="false">IF(N445=0,"",IFERROR(C445/N445,""))</f>
        <v/>
      </c>
      <c r="Q445" s="38" t="str">
        <f aca="false">IF(N445=0,"",IFERROR(IF(C445/N445&lt;=用語集!$B$22,"◎ 許容内","✗ 超過"),"—"))</f>
        <v>—</v>
      </c>
      <c r="R445" s="39" t="str">
        <f aca="false">IFERROR(用語集!$B$22/P445,"")</f>
        <v/>
      </c>
    </row>
    <row r="446" customFormat="false" ht="15" hidden="false" customHeight="false" outlineLevel="0" collapsed="false">
      <c r="A446" s="34" t="s">
        <v>154</v>
      </c>
      <c r="B446" s="35" t="s">
        <v>155</v>
      </c>
      <c r="C446" s="51" t="s">
        <v>174</v>
      </c>
      <c r="D446" s="51" t="s">
        <v>174</v>
      </c>
      <c r="E446" s="51" t="s">
        <v>174</v>
      </c>
      <c r="F446" s="42" t="str">
        <f aca="false">IF(COUNTIFS(日次入力!$A$4:$A$1500,"&gt;="&amp;DATE(2027,3,2),日次入力!$A$4:$A$1500,"&lt;="&amp;DATE(2027,3,8),日次入力!$C$4:$C$1500,"広告外")=0,"",SUMIFS(日次入力!$G$4:$G$1500,日次入力!$A$4:$A$1500,"&gt;="&amp;DATE(2027,3,2),日次入力!$A$4:$A$1500,"&lt;="&amp;DATE(2027,3,8),日次入力!$C$4:$C$1500,"広告外"))</f>
        <v/>
      </c>
      <c r="G446" s="15" t="str">
        <f aca="false">IFERROR(E446/D446,"")</f>
        <v/>
      </c>
      <c r="H446" s="37" t="str">
        <f aca="false">IFERROR(C446/E446,"")</f>
        <v/>
      </c>
      <c r="I446" s="37" t="str">
        <f aca="false">IFERROR(C446/D446*1000,"")</f>
        <v/>
      </c>
      <c r="J446" s="15" t="str">
        <f aca="false">IFERROR(F446/E446,"")</f>
        <v/>
      </c>
      <c r="K446" s="37" t="str">
        <f aca="false">IFERROR(C446/F446,"")</f>
        <v/>
      </c>
      <c r="L446" s="42" t="str">
        <f aca="false">IF(COUNTIFS(日次入力!$A$4:$A$1500,"&gt;="&amp;DATE(2027,3,2),日次入力!$A$4:$A$1500,"&lt;="&amp;DATE(2027,3,8),日次入力!$C$4:$C$1500,"広告外")=0,"",SUMIFS(日次入力!$H$4:$H$1500,日次入力!$A$4:$A$1500,"&gt;="&amp;DATE(2027,3,2),日次入力!$A$4:$A$1500,"&lt;="&amp;DATE(2027,3,8),日次入力!$C$4:$C$1500,"広告外"))</f>
        <v/>
      </c>
      <c r="M446" s="15" t="str">
        <f aca="false">IF(L446="","",IFERROR(L446/F446,""))</f>
        <v/>
      </c>
      <c r="N446" s="42" t="str">
        <f aca="false">IF(COUNTIFS(日次入力!$A$4:$A$1500,"&gt;="&amp;DATE(2027,3,2),日次入力!$A$4:$A$1500,"&lt;="&amp;DATE(2027,3,8),日次入力!$C$4:$C$1500,"広告外")=0,"",SUMIFS(日次入力!$I$4:$I$1500,日次入力!$A$4:$A$1500,"&gt;="&amp;DATE(2027,3,2),日次入力!$A$4:$A$1500,"&lt;="&amp;DATE(2027,3,8),日次入力!$C$4:$C$1500,"広告外"))</f>
        <v/>
      </c>
      <c r="O446" s="15" t="str">
        <f aca="false">IF(N446="","",IFERROR(N446/L446,""))</f>
        <v/>
      </c>
      <c r="P446" s="37" t="str">
        <f aca="false">IF(N446=0,"",IFERROR(C446/N446,""))</f>
        <v/>
      </c>
      <c r="Q446" s="38" t="str">
        <f aca="false">IF(N446=0,"",IFERROR(IF(C446/N446&lt;=用語集!$B$22,"◎ 許容内","✗ 超過"),"—"))</f>
        <v>—</v>
      </c>
      <c r="R446" s="39" t="str">
        <f aca="false">IFERROR(用語集!$B$22/P446,"")</f>
        <v/>
      </c>
    </row>
    <row r="447" customFormat="false" ht="15" hidden="false" customHeight="false" outlineLevel="0" collapsed="false">
      <c r="A447" s="34" t="s">
        <v>156</v>
      </c>
      <c r="B447" s="35" t="s">
        <v>157</v>
      </c>
      <c r="C447" s="51" t="s">
        <v>174</v>
      </c>
      <c r="D447" s="51" t="s">
        <v>174</v>
      </c>
      <c r="E447" s="51" t="s">
        <v>174</v>
      </c>
      <c r="F447" s="42" t="str">
        <f aca="false">IF(COUNTIFS(日次入力!$A$4:$A$1500,"&gt;="&amp;DATE(2027,3,9),日次入力!$A$4:$A$1500,"&lt;="&amp;DATE(2027,3,15),日次入力!$C$4:$C$1500,"広告外")=0,"",SUMIFS(日次入力!$G$4:$G$1500,日次入力!$A$4:$A$1500,"&gt;="&amp;DATE(2027,3,9),日次入力!$A$4:$A$1500,"&lt;="&amp;DATE(2027,3,15),日次入力!$C$4:$C$1500,"広告外"))</f>
        <v/>
      </c>
      <c r="G447" s="15" t="str">
        <f aca="false">IFERROR(E447/D447,"")</f>
        <v/>
      </c>
      <c r="H447" s="37" t="str">
        <f aca="false">IFERROR(C447/E447,"")</f>
        <v/>
      </c>
      <c r="I447" s="37" t="str">
        <f aca="false">IFERROR(C447/D447*1000,"")</f>
        <v/>
      </c>
      <c r="J447" s="15" t="str">
        <f aca="false">IFERROR(F447/E447,"")</f>
        <v/>
      </c>
      <c r="K447" s="37" t="str">
        <f aca="false">IFERROR(C447/F447,"")</f>
        <v/>
      </c>
      <c r="L447" s="42" t="str">
        <f aca="false">IF(COUNTIFS(日次入力!$A$4:$A$1500,"&gt;="&amp;DATE(2027,3,9),日次入力!$A$4:$A$1500,"&lt;="&amp;DATE(2027,3,15),日次入力!$C$4:$C$1500,"広告外")=0,"",SUMIFS(日次入力!$H$4:$H$1500,日次入力!$A$4:$A$1500,"&gt;="&amp;DATE(2027,3,9),日次入力!$A$4:$A$1500,"&lt;="&amp;DATE(2027,3,15),日次入力!$C$4:$C$1500,"広告外"))</f>
        <v/>
      </c>
      <c r="M447" s="15" t="str">
        <f aca="false">IF(L447="","",IFERROR(L447/F447,""))</f>
        <v/>
      </c>
      <c r="N447" s="42" t="str">
        <f aca="false">IF(COUNTIFS(日次入力!$A$4:$A$1500,"&gt;="&amp;DATE(2027,3,9),日次入力!$A$4:$A$1500,"&lt;="&amp;DATE(2027,3,15),日次入力!$C$4:$C$1500,"広告外")=0,"",SUMIFS(日次入力!$I$4:$I$1500,日次入力!$A$4:$A$1500,"&gt;="&amp;DATE(2027,3,9),日次入力!$A$4:$A$1500,"&lt;="&amp;DATE(2027,3,15),日次入力!$C$4:$C$1500,"広告外"))</f>
        <v/>
      </c>
      <c r="O447" s="15" t="str">
        <f aca="false">IF(N447="","",IFERROR(N447/L447,""))</f>
        <v/>
      </c>
      <c r="P447" s="37" t="str">
        <f aca="false">IF(N447=0,"",IFERROR(C447/N447,""))</f>
        <v/>
      </c>
      <c r="Q447" s="38" t="str">
        <f aca="false">IF(N447=0,"",IFERROR(IF(C447/N447&lt;=用語集!$B$22,"◎ 許容内","✗ 超過"),"—"))</f>
        <v>—</v>
      </c>
      <c r="R447" s="39" t="str">
        <f aca="false">IFERROR(用語集!$B$22/P447,"")</f>
        <v/>
      </c>
    </row>
    <row r="448" customFormat="false" ht="15" hidden="false" customHeight="false" outlineLevel="0" collapsed="false">
      <c r="A448" s="34" t="s">
        <v>158</v>
      </c>
      <c r="B448" s="35" t="s">
        <v>159</v>
      </c>
      <c r="C448" s="51" t="s">
        <v>174</v>
      </c>
      <c r="D448" s="51" t="s">
        <v>174</v>
      </c>
      <c r="E448" s="51" t="s">
        <v>174</v>
      </c>
      <c r="F448" s="42" t="str">
        <f aca="false">IF(COUNTIFS(日次入力!$A$4:$A$1500,"&gt;="&amp;DATE(2027,3,16),日次入力!$A$4:$A$1500,"&lt;="&amp;DATE(2027,3,22),日次入力!$C$4:$C$1500,"広告外")=0,"",SUMIFS(日次入力!$G$4:$G$1500,日次入力!$A$4:$A$1500,"&gt;="&amp;DATE(2027,3,16),日次入力!$A$4:$A$1500,"&lt;="&amp;DATE(2027,3,22),日次入力!$C$4:$C$1500,"広告外"))</f>
        <v/>
      </c>
      <c r="G448" s="15" t="str">
        <f aca="false">IFERROR(E448/D448,"")</f>
        <v/>
      </c>
      <c r="H448" s="37" t="str">
        <f aca="false">IFERROR(C448/E448,"")</f>
        <v/>
      </c>
      <c r="I448" s="37" t="str">
        <f aca="false">IFERROR(C448/D448*1000,"")</f>
        <v/>
      </c>
      <c r="J448" s="15" t="str">
        <f aca="false">IFERROR(F448/E448,"")</f>
        <v/>
      </c>
      <c r="K448" s="37" t="str">
        <f aca="false">IFERROR(C448/F448,"")</f>
        <v/>
      </c>
      <c r="L448" s="42" t="str">
        <f aca="false">IF(COUNTIFS(日次入力!$A$4:$A$1500,"&gt;="&amp;DATE(2027,3,16),日次入力!$A$4:$A$1500,"&lt;="&amp;DATE(2027,3,22),日次入力!$C$4:$C$1500,"広告外")=0,"",SUMIFS(日次入力!$H$4:$H$1500,日次入力!$A$4:$A$1500,"&gt;="&amp;DATE(2027,3,16),日次入力!$A$4:$A$1500,"&lt;="&amp;DATE(2027,3,22),日次入力!$C$4:$C$1500,"広告外"))</f>
        <v/>
      </c>
      <c r="M448" s="15" t="str">
        <f aca="false">IF(L448="","",IFERROR(L448/F448,""))</f>
        <v/>
      </c>
      <c r="N448" s="42" t="str">
        <f aca="false">IF(COUNTIFS(日次入力!$A$4:$A$1500,"&gt;="&amp;DATE(2027,3,16),日次入力!$A$4:$A$1500,"&lt;="&amp;DATE(2027,3,22),日次入力!$C$4:$C$1500,"広告外")=0,"",SUMIFS(日次入力!$I$4:$I$1500,日次入力!$A$4:$A$1500,"&gt;="&amp;DATE(2027,3,16),日次入力!$A$4:$A$1500,"&lt;="&amp;DATE(2027,3,22),日次入力!$C$4:$C$1500,"広告外"))</f>
        <v/>
      </c>
      <c r="O448" s="15" t="str">
        <f aca="false">IF(N448="","",IFERROR(N448/L448,""))</f>
        <v/>
      </c>
      <c r="P448" s="37" t="str">
        <f aca="false">IF(N448=0,"",IFERROR(C448/N448,""))</f>
        <v/>
      </c>
      <c r="Q448" s="38" t="str">
        <f aca="false">IF(N448=0,"",IFERROR(IF(C448/N448&lt;=用語集!$B$22,"◎ 許容内","✗ 超過"),"—"))</f>
        <v>—</v>
      </c>
      <c r="R448" s="39" t="str">
        <f aca="false">IFERROR(用語集!$B$22/P448,"")</f>
        <v/>
      </c>
    </row>
    <row r="449" customFormat="false" ht="15" hidden="false" customHeight="false" outlineLevel="0" collapsed="false">
      <c r="A449" s="34" t="s">
        <v>160</v>
      </c>
      <c r="B449" s="35" t="s">
        <v>161</v>
      </c>
      <c r="C449" s="51" t="s">
        <v>174</v>
      </c>
      <c r="D449" s="51" t="s">
        <v>174</v>
      </c>
      <c r="E449" s="51" t="s">
        <v>174</v>
      </c>
      <c r="F449" s="42" t="str">
        <f aca="false">IF(COUNTIFS(日次入力!$A$4:$A$1500,"&gt;="&amp;DATE(2027,3,23),日次入力!$A$4:$A$1500,"&lt;="&amp;DATE(2027,3,29),日次入力!$C$4:$C$1500,"広告外")=0,"",SUMIFS(日次入力!$G$4:$G$1500,日次入力!$A$4:$A$1500,"&gt;="&amp;DATE(2027,3,23),日次入力!$A$4:$A$1500,"&lt;="&amp;DATE(2027,3,29),日次入力!$C$4:$C$1500,"広告外"))</f>
        <v/>
      </c>
      <c r="G449" s="15" t="str">
        <f aca="false">IFERROR(E449/D449,"")</f>
        <v/>
      </c>
      <c r="H449" s="37" t="str">
        <f aca="false">IFERROR(C449/E449,"")</f>
        <v/>
      </c>
      <c r="I449" s="37" t="str">
        <f aca="false">IFERROR(C449/D449*1000,"")</f>
        <v/>
      </c>
      <c r="J449" s="15" t="str">
        <f aca="false">IFERROR(F449/E449,"")</f>
        <v/>
      </c>
      <c r="K449" s="37" t="str">
        <f aca="false">IFERROR(C449/F449,"")</f>
        <v/>
      </c>
      <c r="L449" s="42" t="str">
        <f aca="false">IF(COUNTIFS(日次入力!$A$4:$A$1500,"&gt;="&amp;DATE(2027,3,23),日次入力!$A$4:$A$1500,"&lt;="&amp;DATE(2027,3,29),日次入力!$C$4:$C$1500,"広告外")=0,"",SUMIFS(日次入力!$H$4:$H$1500,日次入力!$A$4:$A$1500,"&gt;="&amp;DATE(2027,3,23),日次入力!$A$4:$A$1500,"&lt;="&amp;DATE(2027,3,29),日次入力!$C$4:$C$1500,"広告外"))</f>
        <v/>
      </c>
      <c r="M449" s="15" t="str">
        <f aca="false">IF(L449="","",IFERROR(L449/F449,""))</f>
        <v/>
      </c>
      <c r="N449" s="42" t="str">
        <f aca="false">IF(COUNTIFS(日次入力!$A$4:$A$1500,"&gt;="&amp;DATE(2027,3,23),日次入力!$A$4:$A$1500,"&lt;="&amp;DATE(2027,3,29),日次入力!$C$4:$C$1500,"広告外")=0,"",SUMIFS(日次入力!$I$4:$I$1500,日次入力!$A$4:$A$1500,"&gt;="&amp;DATE(2027,3,23),日次入力!$A$4:$A$1500,"&lt;="&amp;DATE(2027,3,29),日次入力!$C$4:$C$1500,"広告外"))</f>
        <v/>
      </c>
      <c r="O449" s="15" t="str">
        <f aca="false">IF(N449="","",IFERROR(N449/L449,""))</f>
        <v/>
      </c>
      <c r="P449" s="37" t="str">
        <f aca="false">IF(N449=0,"",IFERROR(C449/N449,""))</f>
        <v/>
      </c>
      <c r="Q449" s="38" t="str">
        <f aca="false">IF(N449=0,"",IFERROR(IF(C449/N449&lt;=用語集!$B$22,"◎ 許容内","✗ 超過"),"—"))</f>
        <v>—</v>
      </c>
      <c r="R449" s="39" t="str">
        <f aca="false">IFERROR(用語集!$B$22/P449,"")</f>
        <v/>
      </c>
    </row>
    <row r="450" customFormat="false" ht="15" hidden="false" customHeight="false" outlineLevel="0" collapsed="false">
      <c r="A450" s="34" t="s">
        <v>162</v>
      </c>
      <c r="B450" s="35" t="s">
        <v>163</v>
      </c>
      <c r="C450" s="51" t="s">
        <v>174</v>
      </c>
      <c r="D450" s="51" t="s">
        <v>174</v>
      </c>
      <c r="E450" s="51" t="s">
        <v>174</v>
      </c>
      <c r="F450" s="42" t="str">
        <f aca="false">IF(COUNTIFS(日次入力!$A$4:$A$1500,"&gt;="&amp;DATE(2027,3,30),日次入力!$A$4:$A$1500,"&lt;="&amp;DATE(2027,4,5),日次入力!$C$4:$C$1500,"広告外")=0,"",SUMIFS(日次入力!$G$4:$G$1500,日次入力!$A$4:$A$1500,"&gt;="&amp;DATE(2027,3,30),日次入力!$A$4:$A$1500,"&lt;="&amp;DATE(2027,4,5),日次入力!$C$4:$C$1500,"広告外"))</f>
        <v/>
      </c>
      <c r="G450" s="15" t="str">
        <f aca="false">IFERROR(E450/D450,"")</f>
        <v/>
      </c>
      <c r="H450" s="37" t="str">
        <f aca="false">IFERROR(C450/E450,"")</f>
        <v/>
      </c>
      <c r="I450" s="37" t="str">
        <f aca="false">IFERROR(C450/D450*1000,"")</f>
        <v/>
      </c>
      <c r="J450" s="15" t="str">
        <f aca="false">IFERROR(F450/E450,"")</f>
        <v/>
      </c>
      <c r="K450" s="37" t="str">
        <f aca="false">IFERROR(C450/F450,"")</f>
        <v/>
      </c>
      <c r="L450" s="42" t="str">
        <f aca="false">IF(COUNTIFS(日次入力!$A$4:$A$1500,"&gt;="&amp;DATE(2027,3,30),日次入力!$A$4:$A$1500,"&lt;="&amp;DATE(2027,4,5),日次入力!$C$4:$C$1500,"広告外")=0,"",SUMIFS(日次入力!$H$4:$H$1500,日次入力!$A$4:$A$1500,"&gt;="&amp;DATE(2027,3,30),日次入力!$A$4:$A$1500,"&lt;="&amp;DATE(2027,4,5),日次入力!$C$4:$C$1500,"広告外"))</f>
        <v/>
      </c>
      <c r="M450" s="15" t="str">
        <f aca="false">IF(L450="","",IFERROR(L450/F450,""))</f>
        <v/>
      </c>
      <c r="N450" s="42" t="str">
        <f aca="false">IF(COUNTIFS(日次入力!$A$4:$A$1500,"&gt;="&amp;DATE(2027,3,30),日次入力!$A$4:$A$1500,"&lt;="&amp;DATE(2027,4,5),日次入力!$C$4:$C$1500,"広告外")=0,"",SUMIFS(日次入力!$I$4:$I$1500,日次入力!$A$4:$A$1500,"&gt;="&amp;DATE(2027,3,30),日次入力!$A$4:$A$1500,"&lt;="&amp;DATE(2027,4,5),日次入力!$C$4:$C$1500,"広告外"))</f>
        <v/>
      </c>
      <c r="O450" s="15" t="str">
        <f aca="false">IF(N450="","",IFERROR(N450/L450,""))</f>
        <v/>
      </c>
      <c r="P450" s="37" t="str">
        <f aca="false">IF(N450=0,"",IFERROR(C450/N450,""))</f>
        <v/>
      </c>
      <c r="Q450" s="38" t="str">
        <f aca="false">IF(N450=0,"",IFERROR(IF(C450/N450&lt;=用語集!$B$22,"◎ 許容内","✗ 超過"),"—"))</f>
        <v>—</v>
      </c>
      <c r="R450" s="39" t="str">
        <f aca="false">IFERROR(用語集!$B$22/P450,"")</f>
        <v/>
      </c>
    </row>
    <row r="451" customFormat="false" ht="15" hidden="false" customHeight="false" outlineLevel="0" collapsed="false">
      <c r="A451" s="43" t="s">
        <v>164</v>
      </c>
      <c r="B451" s="44"/>
      <c r="C451" s="45" t="n">
        <f aca="false">SUM(C398:C450)</f>
        <v>0</v>
      </c>
      <c r="D451" s="46" t="n">
        <f aca="false">SUM(D398:D450)</f>
        <v>0</v>
      </c>
      <c r="E451" s="46" t="n">
        <f aca="false">SUM(E398:E450)</f>
        <v>0</v>
      </c>
      <c r="F451" s="46" t="n">
        <f aca="false">SUM(F398:F450)</f>
        <v>0</v>
      </c>
      <c r="G451" s="47" t="str">
        <f aca="false">IFERROR(E451/D451,"")</f>
        <v/>
      </c>
      <c r="H451" s="45" t="str">
        <f aca="false">IFERROR(C451/E451,"")</f>
        <v/>
      </c>
      <c r="I451" s="45" t="str">
        <f aca="false">IFERROR(C451/D451*1000,"")</f>
        <v/>
      </c>
      <c r="J451" s="47" t="str">
        <f aca="false">IFERROR(F451/D451,"")</f>
        <v/>
      </c>
      <c r="K451" s="45" t="str">
        <f aca="false">IFERROR(C451/F451,"")</f>
        <v/>
      </c>
      <c r="L451" s="46" t="n">
        <f aca="false">SUM(L398:L450)</f>
        <v>0</v>
      </c>
      <c r="M451" s="47" t="str">
        <f aca="false">IF(L451=0,"",IFERROR(L451/F451,""))</f>
        <v/>
      </c>
      <c r="N451" s="46" t="n">
        <f aca="false">SUM(N398:N450)</f>
        <v>0</v>
      </c>
      <c r="O451" s="47" t="str">
        <f aca="false">IF(L451=0,"",IFERROR(N451/L451,""))</f>
        <v/>
      </c>
      <c r="P451" s="45" t="str">
        <f aca="false">IF(N451=0,"",IFERROR(C451/N451,""))</f>
        <v/>
      </c>
      <c r="Q451" s="43" t="str">
        <f aca="false">IF(N451=0,"",IFERROR(IF(C451/N451&lt;=用語集!$B$22,"◎ 許容内","✗ 超過"),"—"))</f>
        <v/>
      </c>
      <c r="R451" s="48" t="str">
        <f aca="false">IFERROR(用語集!$B$22/P451,"")</f>
        <v/>
      </c>
    </row>
  </sheetData>
  <mergeCells count="10">
    <mergeCell ref="A1:R1"/>
    <mergeCell ref="A2:R2"/>
    <mergeCell ref="A4:R4"/>
    <mergeCell ref="A60:R60"/>
    <mergeCell ref="A116:R116"/>
    <mergeCell ref="A172:R172"/>
    <mergeCell ref="A228:R228"/>
    <mergeCell ref="A284:R284"/>
    <mergeCell ref="A340:R340"/>
    <mergeCell ref="A396:R3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1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10" min="7" style="0" width="8"/>
    <col collapsed="false" customWidth="true" hidden="false" outlineLevel="0" max="11" min="11" style="0" width="9"/>
    <col collapsed="false" customWidth="true" hidden="false" outlineLevel="0" max="14" min="12" style="0" width="8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9"/>
    <col collapsed="false" customWidth="true" hidden="false" outlineLevel="0" max="22" min="21" style="0" width="8"/>
  </cols>
  <sheetData>
    <row r="1" customFormat="false" ht="17.35" hidden="false" customHeight="false" outlineLevel="0" collapsed="false">
      <c r="A1" s="22" t="s">
        <v>175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customFormat="false" ht="14.15" hidden="false" customHeight="false" outlineLevel="0" collapsed="false">
      <c r="A2" s="23" t="s">
        <v>176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customFormat="false" ht="15" hidden="false" customHeight="false" outlineLevel="0" collapsed="false">
      <c r="C3" s="53" t="s">
        <v>177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 t="s">
        <v>178</v>
      </c>
      <c r="S3" s="54"/>
      <c r="T3" s="54"/>
      <c r="U3" s="54"/>
      <c r="V3" s="54"/>
    </row>
    <row r="4" customFormat="false" ht="30" hidden="false" customHeight="true" outlineLevel="0" collapsed="false">
      <c r="A4" s="32" t="s">
        <v>48</v>
      </c>
      <c r="B4" s="32" t="s">
        <v>49</v>
      </c>
      <c r="C4" s="32" t="s">
        <v>35</v>
      </c>
      <c r="D4" s="33" t="s">
        <v>36</v>
      </c>
      <c r="E4" s="32" t="s">
        <v>37</v>
      </c>
      <c r="F4" s="33" t="s">
        <v>38</v>
      </c>
      <c r="G4" s="33" t="s">
        <v>52</v>
      </c>
      <c r="H4" s="33" t="s">
        <v>50</v>
      </c>
      <c r="I4" s="33" t="s">
        <v>51</v>
      </c>
      <c r="J4" s="33" t="s">
        <v>53</v>
      </c>
      <c r="K4" s="33" t="s">
        <v>54</v>
      </c>
      <c r="L4" s="32" t="s">
        <v>179</v>
      </c>
      <c r="M4" s="32" t="s">
        <v>180</v>
      </c>
      <c r="N4" s="32" t="s">
        <v>181</v>
      </c>
      <c r="O4" s="32" t="s">
        <v>182</v>
      </c>
      <c r="P4" s="32" t="s">
        <v>183</v>
      </c>
      <c r="Q4" s="32" t="s">
        <v>57</v>
      </c>
      <c r="R4" s="32" t="s">
        <v>184</v>
      </c>
      <c r="S4" s="32" t="s">
        <v>185</v>
      </c>
      <c r="T4" s="32" t="s">
        <v>186</v>
      </c>
      <c r="U4" s="32" t="s">
        <v>187</v>
      </c>
      <c r="V4" s="32" t="s">
        <v>188</v>
      </c>
    </row>
    <row r="5" customFormat="false" ht="15" hidden="false" customHeight="false" outlineLevel="0" collapsed="false">
      <c r="A5" s="49" t="s">
        <v>172</v>
      </c>
      <c r="B5" s="50" t="s">
        <v>173</v>
      </c>
      <c r="C5" s="37"/>
      <c r="D5" s="13"/>
      <c r="E5" s="13"/>
      <c r="F5" s="13"/>
      <c r="G5" s="37" t="str">
        <f aca="false">IFERROR(C5/D5*1000,"")</f>
        <v/>
      </c>
      <c r="H5" s="15" t="str">
        <f aca="false">IFERROR(E5/D5,"")</f>
        <v/>
      </c>
      <c r="I5" s="37" t="str">
        <f aca="false">IFERROR(C5/E5,"")</f>
        <v/>
      </c>
      <c r="J5" s="15" t="str">
        <f aca="false">IFERROR(F5/E5,"")</f>
        <v/>
      </c>
      <c r="K5" s="37" t="str">
        <f aca="false">IFERROR(C5/F5,"")</f>
        <v/>
      </c>
      <c r="L5" s="13"/>
      <c r="M5" s="15" t="str">
        <f aca="false">IF(F5=0,"",IFERROR(L5/F5,""))</f>
        <v/>
      </c>
      <c r="N5" s="13"/>
      <c r="O5" s="15" t="str">
        <f aca="false">IF(L5=0,"",IFERROR(N5/L5,""))</f>
        <v/>
      </c>
      <c r="P5" s="37" t="str">
        <f aca="false">IF(N5=0,"",C5/N5)</f>
        <v/>
      </c>
      <c r="Q5" s="34" t="str">
        <f aca="false">IF(N5=0,"",IF(C5/N5&lt;=用語集!$B$22,"◎ 許容内","✗ 超過"))</f>
        <v/>
      </c>
      <c r="R5" s="13" t="n">
        <f aca="false">週次_媒体別CP!L398</f>
        <v>0</v>
      </c>
      <c r="S5" s="13" t="n">
        <f aca="false">SUM(L5,R5)</f>
        <v>0</v>
      </c>
      <c r="T5" s="13" t="n">
        <f aca="false">週次_媒体別CP!N398</f>
        <v>0</v>
      </c>
      <c r="U5" s="13" t="n">
        <f aca="false">SUM(N5,T5)</f>
        <v>0</v>
      </c>
      <c r="V5" s="15" t="str">
        <f aca="false">IF(S5=0,"",IFERROR(U5/S5,""))</f>
        <v/>
      </c>
    </row>
    <row r="6" customFormat="false" ht="15" hidden="false" customHeight="false" outlineLevel="0" collapsed="false">
      <c r="A6" s="34" t="s">
        <v>59</v>
      </c>
      <c r="B6" s="35" t="s">
        <v>60</v>
      </c>
      <c r="C6" s="37" t="n">
        <f aca="false">SUM(週次_媒体別CP!C6,週次_媒体別CP!C62,週次_媒体別CP!C118,週次_媒体別CP!C174,週次_媒体別CP!C230,週次_媒体別CP!C286,週次_媒体別CP!C342)</f>
        <v>246127</v>
      </c>
      <c r="D6" s="13" t="n">
        <f aca="false">SUM(週次_媒体別CP!D6,週次_媒体別CP!D62,週次_媒体別CP!D118,週次_媒体別CP!D174,週次_媒体別CP!D230,週次_媒体別CP!D286,週次_媒体別CP!D342)</f>
        <v>864363</v>
      </c>
      <c r="E6" s="13" t="n">
        <f aca="false">SUM(週次_媒体別CP!E6,週次_媒体別CP!E62,週次_媒体別CP!E118,週次_媒体別CP!E174,週次_媒体別CP!E230,週次_媒体別CP!E286,週次_媒体別CP!E342)</f>
        <v>45867</v>
      </c>
      <c r="F6" s="13" t="n">
        <f aca="false">SUM(週次_媒体別CP!F6,週次_媒体別CP!F62,週次_媒体別CP!F118,週次_媒体別CP!F174,週次_媒体別CP!F230,週次_媒体別CP!F286,週次_媒体別CP!F342)</f>
        <v>53</v>
      </c>
      <c r="G6" s="37" t="n">
        <f aca="false">IFERROR(C6/D6*1000,"")</f>
        <v>284.749578591402</v>
      </c>
      <c r="H6" s="15" t="n">
        <f aca="false">IFERROR(E6/D6,"")</f>
        <v>0.0530645110908264</v>
      </c>
      <c r="I6" s="37" t="n">
        <f aca="false">IFERROR(C6/E6,"")</f>
        <v>5.36610199053786</v>
      </c>
      <c r="J6" s="15" t="n">
        <f aca="false">IFERROR(F6/E6,"")</f>
        <v>0.0011555148581769</v>
      </c>
      <c r="K6" s="37" t="n">
        <f aca="false">IFERROR(C6/F6,"")</f>
        <v>4643.90566037736</v>
      </c>
      <c r="L6" s="13" t="n">
        <f aca="false">SUM(週次_媒体別CP!L6,週次_媒体別CP!L62,週次_媒体別CP!L118,週次_媒体別CP!L174,週次_媒体別CP!L230,週次_媒体別CP!L286,週次_媒体別CP!L342)</f>
        <v>1</v>
      </c>
      <c r="M6" s="15" t="n">
        <f aca="false">IF(F6=0,"",IFERROR(L6/F6,""))</f>
        <v>0.0188679245283019</v>
      </c>
      <c r="N6" s="13" t="n">
        <f aca="false">SUM(週次_媒体別CP!N6,週次_媒体別CP!N62,週次_媒体別CP!N118,週次_媒体別CP!N174,週次_媒体別CP!N230,週次_媒体別CP!N286,週次_媒体別CP!N342)</f>
        <v>0</v>
      </c>
      <c r="O6" s="15" t="n">
        <f aca="false">IF(L6=0,"",IFERROR(N6/L6,""))</f>
        <v>0</v>
      </c>
      <c r="P6" s="37" t="str">
        <f aca="false">IF(N6=0,"",C6/N6)</f>
        <v/>
      </c>
      <c r="Q6" s="34" t="str">
        <f aca="false">IF(N6=0,"",IF(C6/N6&lt;=用語集!$B$22,"◎ 許容内","✗ 超過"))</f>
        <v/>
      </c>
      <c r="R6" s="13" t="n">
        <f aca="false">週次_媒体別CP!L399</f>
        <v>0</v>
      </c>
      <c r="S6" s="13" t="n">
        <f aca="false">SUM(L6,R6)</f>
        <v>1</v>
      </c>
      <c r="T6" s="13" t="n">
        <f aca="false">週次_媒体別CP!N399</f>
        <v>0</v>
      </c>
      <c r="U6" s="13" t="n">
        <f aca="false">SUM(N6,T6)</f>
        <v>0</v>
      </c>
      <c r="V6" s="15" t="n">
        <f aca="false">IF(S6=0,"",IFERROR(U6/S6,""))</f>
        <v>0</v>
      </c>
    </row>
    <row r="7" customFormat="false" ht="15" hidden="false" customHeight="false" outlineLevel="0" collapsed="false">
      <c r="A7" s="34" t="s">
        <v>61</v>
      </c>
      <c r="B7" s="35" t="s">
        <v>62</v>
      </c>
      <c r="C7" s="37" t="n">
        <f aca="false">SUM(週次_媒体別CP!C7,週次_媒体別CP!C63,週次_媒体別CP!C119,週次_媒体別CP!C175,週次_媒体別CP!C231,週次_媒体別CP!C287,週次_媒体別CP!C343)</f>
        <v>185135</v>
      </c>
      <c r="D7" s="13" t="n">
        <f aca="false">SUM(週次_媒体別CP!D7,週次_媒体別CP!D63,週次_媒体別CP!D119,週次_媒体別CP!D175,週次_媒体別CP!D231,週次_媒体別CP!D287,週次_媒体別CP!D343)</f>
        <v>1017744</v>
      </c>
      <c r="E7" s="13" t="n">
        <f aca="false">SUM(週次_媒体別CP!E7,週次_媒体別CP!E63,週次_媒体別CP!E119,週次_媒体別CP!E175,週次_媒体別CP!E231,週次_媒体別CP!E287,週次_媒体別CP!E343)</f>
        <v>36125</v>
      </c>
      <c r="F7" s="13" t="n">
        <f aca="false">SUM(週次_媒体別CP!F7,週次_媒体別CP!F63,週次_媒体別CP!F119,週次_媒体別CP!F175,週次_媒体別CP!F231,週次_媒体別CP!F287,週次_媒体別CP!F343)</f>
        <v>90</v>
      </c>
      <c r="G7" s="37" t="n">
        <f aca="false">IFERROR(C7/D7*1000,"")</f>
        <v>181.90723796947</v>
      </c>
      <c r="H7" s="15" t="n">
        <f aca="false">IFERROR(E7/D7,"")</f>
        <v>0.0354951736389505</v>
      </c>
      <c r="I7" s="37" t="n">
        <f aca="false">IFERROR(C7/E7,"")</f>
        <v>5.12484429065744</v>
      </c>
      <c r="J7" s="15" t="n">
        <f aca="false">IFERROR(F7/E7,"")</f>
        <v>0.00249134948096886</v>
      </c>
      <c r="K7" s="37" t="n">
        <f aca="false">IFERROR(C7/F7,"")</f>
        <v>2057.05555555556</v>
      </c>
      <c r="L7" s="13" t="n">
        <f aca="false">SUM(週次_媒体別CP!L7,週次_媒体別CP!L63,週次_媒体別CP!L119,週次_媒体別CP!L175,週次_媒体別CP!L231,週次_媒体別CP!L287,週次_媒体別CP!L343)</f>
        <v>2</v>
      </c>
      <c r="M7" s="15" t="n">
        <f aca="false">IF(F7=0,"",IFERROR(L7/F7,""))</f>
        <v>0.0222222222222222</v>
      </c>
      <c r="N7" s="13" t="n">
        <f aca="false">SUM(週次_媒体別CP!N7,週次_媒体別CP!N63,週次_媒体別CP!N119,週次_媒体別CP!N175,週次_媒体別CP!N231,週次_媒体別CP!N287,週次_媒体別CP!N343)</f>
        <v>0</v>
      </c>
      <c r="O7" s="15" t="n">
        <f aca="false">IF(L7=0,"",IFERROR(N7/L7,""))</f>
        <v>0</v>
      </c>
      <c r="P7" s="37" t="str">
        <f aca="false">IF(N7=0,"",C7/N7)</f>
        <v/>
      </c>
      <c r="Q7" s="34" t="str">
        <f aca="false">IF(N7=0,"",IF(C7/N7&lt;=用語集!$B$22,"◎ 許容内","✗ 超過"))</f>
        <v/>
      </c>
      <c r="R7" s="13" t="n">
        <f aca="false">週次_媒体別CP!L400</f>
        <v>0</v>
      </c>
      <c r="S7" s="13" t="n">
        <f aca="false">SUM(L7,R7)</f>
        <v>2</v>
      </c>
      <c r="T7" s="13" t="n">
        <f aca="false">週次_媒体別CP!N400</f>
        <v>0</v>
      </c>
      <c r="U7" s="13" t="n">
        <f aca="false">SUM(N7,T7)</f>
        <v>0</v>
      </c>
      <c r="V7" s="15" t="n">
        <f aca="false">IF(S7=0,"",IFERROR(U7/S7,""))</f>
        <v>0</v>
      </c>
    </row>
    <row r="8" customFormat="false" ht="15" hidden="false" customHeight="false" outlineLevel="0" collapsed="false">
      <c r="A8" s="34" t="s">
        <v>63</v>
      </c>
      <c r="B8" s="35" t="s">
        <v>64</v>
      </c>
      <c r="C8" s="37" t="n">
        <f aca="false">SUM(週次_媒体別CP!C8,週次_媒体別CP!C64,週次_媒体別CP!C120,週次_媒体別CP!C176,週次_媒体別CP!C232,週次_媒体別CP!C288,週次_媒体別CP!C344)</f>
        <v>205240</v>
      </c>
      <c r="D8" s="13" t="n">
        <f aca="false">SUM(週次_媒体別CP!D8,週次_媒体別CP!D64,週次_媒体別CP!D120,週次_媒体別CP!D176,週次_媒体別CP!D232,週次_媒体別CP!D288,週次_媒体別CP!D344)</f>
        <v>612481</v>
      </c>
      <c r="E8" s="13" t="n">
        <f aca="false">SUM(週次_媒体別CP!E8,週次_媒体別CP!E64,週次_媒体別CP!E120,週次_媒体別CP!E176,週次_媒体別CP!E232,週次_媒体別CP!E288,週次_媒体別CP!E344)</f>
        <v>25485</v>
      </c>
      <c r="F8" s="13" t="n">
        <f aca="false">SUM(週次_媒体別CP!F8,週次_媒体別CP!F64,週次_媒体別CP!F120,週次_媒体別CP!F176,週次_媒体別CP!F232,週次_媒体別CP!F288,週次_媒体別CP!F344)</f>
        <v>52</v>
      </c>
      <c r="G8" s="37" t="n">
        <f aca="false">IFERROR(C8/D8*1000,"")</f>
        <v>335.096109103793</v>
      </c>
      <c r="H8" s="15" t="n">
        <f aca="false">IFERROR(E8/D8,"")</f>
        <v>0.0416094540075529</v>
      </c>
      <c r="I8" s="37" t="n">
        <f aca="false">IFERROR(C8/E8,"")</f>
        <v>8.05336472434766</v>
      </c>
      <c r="J8" s="15" t="n">
        <f aca="false">IFERROR(F8/E8,"")</f>
        <v>0.00204041593093977</v>
      </c>
      <c r="K8" s="37" t="n">
        <f aca="false">IFERROR(C8/F8,"")</f>
        <v>3946.92307692308</v>
      </c>
      <c r="L8" s="13" t="n">
        <f aca="false">SUM(週次_媒体別CP!L8,週次_媒体別CP!L64,週次_媒体別CP!L120,週次_媒体別CP!L176,週次_媒体別CP!L232,週次_媒体別CP!L288,週次_媒体別CP!L344)</f>
        <v>2</v>
      </c>
      <c r="M8" s="15" t="n">
        <f aca="false">IF(F8=0,"",IFERROR(L8/F8,""))</f>
        <v>0.0384615384615385</v>
      </c>
      <c r="N8" s="13" t="n">
        <f aca="false">SUM(週次_媒体別CP!N8,週次_媒体別CP!N64,週次_媒体別CP!N120,週次_媒体別CP!N176,週次_媒体別CP!N232,週次_媒体別CP!N288,週次_媒体別CP!N344)</f>
        <v>0</v>
      </c>
      <c r="O8" s="15" t="n">
        <f aca="false">IF(L8=0,"",IFERROR(N8/L8,""))</f>
        <v>0</v>
      </c>
      <c r="P8" s="37" t="str">
        <f aca="false">IF(N8=0,"",C8/N8)</f>
        <v/>
      </c>
      <c r="Q8" s="34" t="str">
        <f aca="false">IF(N8=0,"",IF(C8/N8&lt;=用語集!$B$22,"◎ 許容内","✗ 超過"))</f>
        <v/>
      </c>
      <c r="R8" s="13" t="n">
        <f aca="false">週次_媒体別CP!L401</f>
        <v>0</v>
      </c>
      <c r="S8" s="13" t="n">
        <f aca="false">SUM(L8,R8)</f>
        <v>2</v>
      </c>
      <c r="T8" s="13" t="n">
        <f aca="false">週次_媒体別CP!N401</f>
        <v>0</v>
      </c>
      <c r="U8" s="13" t="n">
        <f aca="false">SUM(N8,T8)</f>
        <v>0</v>
      </c>
      <c r="V8" s="15" t="n">
        <f aca="false">IF(S8=0,"",IFERROR(U8/S8,""))</f>
        <v>0</v>
      </c>
    </row>
    <row r="9" customFormat="false" ht="15" hidden="false" customHeight="false" outlineLevel="0" collapsed="false">
      <c r="A9" s="34" t="s">
        <v>65</v>
      </c>
      <c r="B9" s="35" t="s">
        <v>66</v>
      </c>
      <c r="C9" s="37" t="n">
        <f aca="false">SUM(週次_媒体別CP!C9,週次_媒体別CP!C65,週次_媒体別CP!C121,週次_媒体別CP!C177,週次_媒体別CP!C233,週次_媒体別CP!C289,週次_媒体別CP!C345)</f>
        <v>96706</v>
      </c>
      <c r="D9" s="13" t="n">
        <f aca="false">SUM(週次_媒体別CP!D9,週次_媒体別CP!D65,週次_媒体別CP!D121,週次_媒体別CP!D177,週次_媒体別CP!D233,週次_媒体別CP!D289,週次_媒体別CP!D345)</f>
        <v>246383</v>
      </c>
      <c r="E9" s="13" t="n">
        <f aca="false">SUM(週次_媒体別CP!E9,週次_媒体別CP!E65,週次_媒体別CP!E121,週次_媒体別CP!E177,週次_媒体別CP!E233,週次_媒体別CP!E289,週次_媒体別CP!E345)</f>
        <v>8902</v>
      </c>
      <c r="F9" s="13" t="n">
        <f aca="false">SUM(週次_媒体別CP!F9,週次_媒体別CP!F65,週次_媒体別CP!F121,週次_媒体別CP!F177,週次_媒体別CP!F233,週次_媒体別CP!F289,週次_媒体別CP!F345)</f>
        <v>35</v>
      </c>
      <c r="G9" s="37" t="n">
        <f aca="false">IFERROR(C9/D9*1000,"")</f>
        <v>392.502729490265</v>
      </c>
      <c r="H9" s="15" t="n">
        <f aca="false">IFERROR(E9/D9,"")</f>
        <v>0.0361307395396598</v>
      </c>
      <c r="I9" s="37" t="n">
        <f aca="false">IFERROR(C9/E9,"")</f>
        <v>10.8634014828129</v>
      </c>
      <c r="J9" s="15" t="n">
        <f aca="false">IFERROR(F9/E9,"")</f>
        <v>0.00393170074140643</v>
      </c>
      <c r="K9" s="37" t="n">
        <f aca="false">IFERROR(C9/F9,"")</f>
        <v>2763.02857142857</v>
      </c>
      <c r="L9" s="13" t="n">
        <f aca="false">SUM(週次_媒体別CP!L9,週次_媒体別CP!L65,週次_媒体別CP!L121,週次_媒体別CP!L177,週次_媒体別CP!L233,週次_媒体別CP!L289,週次_媒体別CP!L345)</f>
        <v>1</v>
      </c>
      <c r="M9" s="15" t="n">
        <f aca="false">IF(F9=0,"",IFERROR(L9/F9,""))</f>
        <v>0.0285714285714286</v>
      </c>
      <c r="N9" s="13" t="n">
        <f aca="false">SUM(週次_媒体別CP!N9,週次_媒体別CP!N65,週次_媒体別CP!N121,週次_媒体別CP!N177,週次_媒体別CP!N233,週次_媒体別CP!N289,週次_媒体別CP!N345)</f>
        <v>0</v>
      </c>
      <c r="O9" s="15" t="n">
        <f aca="false">IF(L9=0,"",IFERROR(N9/L9,""))</f>
        <v>0</v>
      </c>
      <c r="P9" s="37" t="str">
        <f aca="false">IF(N9=0,"",C9/N9)</f>
        <v/>
      </c>
      <c r="Q9" s="34" t="str">
        <f aca="false">IF(N9=0,"",IF(C9/N9&lt;=用語集!$B$22,"◎ 許容内","✗ 超過"))</f>
        <v/>
      </c>
      <c r="R9" s="13" t="n">
        <f aca="false">週次_媒体別CP!L402</f>
        <v>0</v>
      </c>
      <c r="S9" s="13" t="n">
        <f aca="false">SUM(L9,R9)</f>
        <v>1</v>
      </c>
      <c r="T9" s="13" t="n">
        <f aca="false">週次_媒体別CP!N402</f>
        <v>0</v>
      </c>
      <c r="U9" s="13" t="n">
        <f aca="false">SUM(N9,T9)</f>
        <v>0</v>
      </c>
      <c r="V9" s="15" t="n">
        <f aca="false">IF(S9=0,"",IFERROR(U9/S9,""))</f>
        <v>0</v>
      </c>
    </row>
    <row r="10" customFormat="false" ht="15" hidden="false" customHeight="false" outlineLevel="0" collapsed="false">
      <c r="A10" s="34" t="s">
        <v>68</v>
      </c>
      <c r="B10" s="35" t="s">
        <v>69</v>
      </c>
      <c r="C10" s="37" t="n">
        <f aca="false">SUM(週次_媒体別CP!C10,週次_媒体別CP!C66,週次_媒体別CP!C122,週次_媒体別CP!C178,週次_媒体別CP!C234,週次_媒体別CP!C290,週次_媒体別CP!C346)</f>
        <v>108252</v>
      </c>
      <c r="D10" s="13" t="n">
        <f aca="false">SUM(週次_媒体別CP!D10,週次_媒体別CP!D66,週次_媒体別CP!D122,週次_媒体別CP!D178,週次_媒体別CP!D234,週次_媒体別CP!D290,週次_媒体別CP!D346)</f>
        <v>26783</v>
      </c>
      <c r="E10" s="13" t="n">
        <f aca="false">SUM(週次_媒体別CP!E10,週次_媒体別CP!E66,週次_媒体別CP!E122,週次_媒体別CP!E178,週次_媒体別CP!E234,週次_媒体別CP!E290,週次_媒体別CP!E346)</f>
        <v>887</v>
      </c>
      <c r="F10" s="13" t="n">
        <f aca="false">SUM(週次_媒体別CP!F10,週次_媒体別CP!F66,週次_媒体別CP!F122,週次_媒体別CP!F178,週次_媒体別CP!F234,週次_媒体別CP!F290,週次_媒体別CP!F346)</f>
        <v>36</v>
      </c>
      <c r="G10" s="37" t="n">
        <f aca="false">IFERROR(C10/D10*1000,"")</f>
        <v>4041.81757084718</v>
      </c>
      <c r="H10" s="15" t="n">
        <f aca="false">IFERROR(E10/D10,"")</f>
        <v>0.0331180226262928</v>
      </c>
      <c r="I10" s="37" t="n">
        <f aca="false">IFERROR(C10/E10,"")</f>
        <v>122.042841037204</v>
      </c>
      <c r="J10" s="15" t="n">
        <f aca="false">IFERROR(F10/E10,"")</f>
        <v>0.0405862457722661</v>
      </c>
      <c r="K10" s="37" t="n">
        <f aca="false">IFERROR(C10/F10,"")</f>
        <v>3007</v>
      </c>
      <c r="L10" s="13" t="n">
        <f aca="false">SUM(週次_媒体別CP!L10,週次_媒体別CP!L66,週次_媒体別CP!L122,週次_媒体別CP!L178,週次_媒体別CP!L234,週次_媒体別CP!L290,週次_媒体別CP!L346)</f>
        <v>2</v>
      </c>
      <c r="M10" s="15" t="n">
        <f aca="false">IF(F10=0,"",IFERROR(L10/F10,""))</f>
        <v>0.0555555555555556</v>
      </c>
      <c r="N10" s="13" t="n">
        <f aca="false">SUM(週次_媒体別CP!N10,週次_媒体別CP!N66,週次_媒体別CP!N122,週次_媒体別CP!N178,週次_媒体別CP!N234,週次_媒体別CP!N290,週次_媒体別CP!N346)</f>
        <v>0</v>
      </c>
      <c r="O10" s="15" t="n">
        <f aca="false">IF(L10=0,"",IFERROR(N10/L10,""))</f>
        <v>0</v>
      </c>
      <c r="P10" s="37" t="str">
        <f aca="false">IF(N10=0,"",C10/N10)</f>
        <v/>
      </c>
      <c r="Q10" s="34" t="str">
        <f aca="false">IF(N10=0,"",IF(C10/N10&lt;=用語集!$B$22,"◎ 許容内","✗ 超過"))</f>
        <v/>
      </c>
      <c r="R10" s="13" t="n">
        <f aca="false">週次_媒体別CP!L403</f>
        <v>0</v>
      </c>
      <c r="S10" s="13" t="n">
        <f aca="false">SUM(L10,R10)</f>
        <v>2</v>
      </c>
      <c r="T10" s="13" t="n">
        <f aca="false">週次_媒体別CP!N403</f>
        <v>0</v>
      </c>
      <c r="U10" s="13" t="n">
        <f aca="false">SUM(N10,T10)</f>
        <v>0</v>
      </c>
      <c r="V10" s="15" t="n">
        <f aca="false">IF(S10=0,"",IFERROR(U10/S10,""))</f>
        <v>0</v>
      </c>
    </row>
    <row r="11" customFormat="false" ht="15" hidden="false" customHeight="false" outlineLevel="0" collapsed="false">
      <c r="A11" s="34" t="s">
        <v>70</v>
      </c>
      <c r="B11" s="35" t="s">
        <v>71</v>
      </c>
      <c r="C11" s="37" t="n">
        <f aca="false">SUM(週次_媒体別CP!C11,週次_媒体別CP!C67,週次_媒体別CP!C123,週次_媒体別CP!C179,週次_媒体別CP!C235,週次_媒体別CP!C291,週次_媒体別CP!C347)</f>
        <v>105487</v>
      </c>
      <c r="D11" s="13" t="n">
        <f aca="false">SUM(週次_媒体別CP!D11,週次_媒体別CP!D67,週次_媒体別CP!D123,週次_媒体別CP!D179,週次_媒体別CP!D235,週次_媒体別CP!D291,週次_媒体別CP!D347)</f>
        <v>23573</v>
      </c>
      <c r="E11" s="13" t="n">
        <f aca="false">SUM(週次_媒体別CP!E11,週次_媒体別CP!E67,週次_媒体別CP!E123,週次_媒体別CP!E179,週次_媒体別CP!E235,週次_媒体別CP!E291,週次_媒体別CP!E347)</f>
        <v>816</v>
      </c>
      <c r="F11" s="13" t="n">
        <f aca="false">SUM(週次_媒体別CP!F11,週次_媒体別CP!F67,週次_媒体別CP!F123,週次_媒体別CP!F179,週次_媒体別CP!F235,週次_媒体別CP!F291,週次_媒体別CP!F347)</f>
        <v>31</v>
      </c>
      <c r="G11" s="37" t="n">
        <f aca="false">IFERROR(C11/D11*1000,"")</f>
        <v>4474.90773342383</v>
      </c>
      <c r="H11" s="15" t="n">
        <f aca="false">IFERROR(E11/D11,"")</f>
        <v>0.0346158740932423</v>
      </c>
      <c r="I11" s="37" t="n">
        <f aca="false">IFERROR(C11/E11,"")</f>
        <v>129.273284313726</v>
      </c>
      <c r="J11" s="15" t="n">
        <f aca="false">IFERROR(F11/E11,"")</f>
        <v>0.0379901960784314</v>
      </c>
      <c r="K11" s="37" t="n">
        <f aca="false">IFERROR(C11/F11,"")</f>
        <v>3402.8064516129</v>
      </c>
      <c r="L11" s="13" t="n">
        <f aca="false">SUM(週次_媒体別CP!L11,週次_媒体別CP!L67,週次_媒体別CP!L123,週次_媒体別CP!L179,週次_媒体別CP!L235,週次_媒体別CP!L291,週次_媒体別CP!L347)</f>
        <v>3</v>
      </c>
      <c r="M11" s="15" t="n">
        <f aca="false">IF(F11=0,"",IFERROR(L11/F11,""))</f>
        <v>0.0967741935483871</v>
      </c>
      <c r="N11" s="13" t="n">
        <f aca="false">SUM(週次_媒体別CP!N11,週次_媒体別CP!N67,週次_媒体別CP!N123,週次_媒体別CP!N179,週次_媒体別CP!N235,週次_媒体別CP!N291,週次_媒体別CP!N347)</f>
        <v>0</v>
      </c>
      <c r="O11" s="15" t="n">
        <f aca="false">IF(L11=0,"",IFERROR(N11/L11,""))</f>
        <v>0</v>
      </c>
      <c r="P11" s="37" t="str">
        <f aca="false">IF(N11=0,"",C11/N11)</f>
        <v/>
      </c>
      <c r="Q11" s="34" t="str">
        <f aca="false">IF(N11=0,"",IF(C11/N11&lt;=用語集!$B$22,"◎ 許容内","✗ 超過"))</f>
        <v/>
      </c>
      <c r="R11" s="13" t="n">
        <f aca="false">週次_媒体別CP!L404</f>
        <v>0</v>
      </c>
      <c r="S11" s="13" t="n">
        <f aca="false">SUM(L11,R11)</f>
        <v>3</v>
      </c>
      <c r="T11" s="13" t="n">
        <f aca="false">週次_媒体別CP!N404</f>
        <v>0</v>
      </c>
      <c r="U11" s="13" t="n">
        <f aca="false">SUM(N11,T11)</f>
        <v>0</v>
      </c>
      <c r="V11" s="15" t="n">
        <f aca="false">IF(S11=0,"",IFERROR(U11/S11,""))</f>
        <v>0</v>
      </c>
    </row>
    <row r="12" customFormat="false" ht="15" hidden="false" customHeight="false" outlineLevel="0" collapsed="false">
      <c r="A12" s="34" t="s">
        <v>72</v>
      </c>
      <c r="B12" s="35" t="s">
        <v>73</v>
      </c>
      <c r="C12" s="37" t="n">
        <f aca="false">SUM(週次_媒体別CP!C12,週次_媒体別CP!C68,週次_媒体別CP!C124,週次_媒体別CP!C180,週次_媒体別CP!C236,週次_媒体別CP!C292,週次_媒体別CP!C348)</f>
        <v>124469</v>
      </c>
      <c r="D12" s="13" t="n">
        <f aca="false">SUM(週次_媒体別CP!D12,週次_媒体別CP!D68,週次_媒体別CP!D124,週次_媒体別CP!D180,週次_媒体別CP!D236,週次_媒体別CP!D292,週次_媒体別CP!D348)</f>
        <v>26582</v>
      </c>
      <c r="E12" s="13" t="n">
        <f aca="false">SUM(週次_媒体別CP!E12,週次_媒体別CP!E68,週次_媒体別CP!E124,週次_媒体別CP!E180,週次_媒体別CP!E236,週次_媒体別CP!E292,週次_媒体別CP!E348)</f>
        <v>1063</v>
      </c>
      <c r="F12" s="13" t="n">
        <f aca="false">SUM(週次_媒体別CP!F12,週次_媒体別CP!F68,週次_媒体別CP!F124,週次_媒体別CP!F180,週次_媒体別CP!F236,週次_媒体別CP!F292,週次_媒体別CP!F348)</f>
        <v>54</v>
      </c>
      <c r="G12" s="37" t="n">
        <f aca="false">IFERROR(C12/D12*1000,"")</f>
        <v>4682.4542923783</v>
      </c>
      <c r="H12" s="15" t="n">
        <f aca="false">IFERROR(E12/D12,"")</f>
        <v>0.0399894665563163</v>
      </c>
      <c r="I12" s="37" t="n">
        <f aca="false">IFERROR(C12/E12,"")</f>
        <v>117.09219190969</v>
      </c>
      <c r="J12" s="15" t="n">
        <f aca="false">IFERROR(F12/E12,"")</f>
        <v>0.0507996237064911</v>
      </c>
      <c r="K12" s="37" t="n">
        <f aca="false">IFERROR(C12/F12,"")</f>
        <v>2304.98148148148</v>
      </c>
      <c r="L12" s="13" t="n">
        <f aca="false">SUM(週次_媒体別CP!L12,週次_媒体別CP!L68,週次_媒体別CP!L124,週次_媒体別CP!L180,週次_媒体別CP!L236,週次_媒体別CP!L292,週次_媒体別CP!L348)</f>
        <v>3</v>
      </c>
      <c r="M12" s="15" t="n">
        <f aca="false">IF(F12=0,"",IFERROR(L12/F12,""))</f>
        <v>0.0555555555555556</v>
      </c>
      <c r="N12" s="13" t="n">
        <f aca="false">SUM(週次_媒体別CP!N12,週次_媒体別CP!N68,週次_媒体別CP!N124,週次_媒体別CP!N180,週次_媒体別CP!N236,週次_媒体別CP!N292,週次_媒体別CP!N348)</f>
        <v>1</v>
      </c>
      <c r="O12" s="15" t="n">
        <f aca="false">IF(L12=0,"",IFERROR(N12/L12,""))</f>
        <v>0.333333333333333</v>
      </c>
      <c r="P12" s="37" t="n">
        <f aca="false">IF(N12=0,"",C12/N12)</f>
        <v>124469</v>
      </c>
      <c r="Q12" s="34" t="str">
        <f aca="false">IF(N12=0,"",IF(C12/N12&lt;=用語集!$B$22,"◎ 許容内","✗ 超過"))</f>
        <v>◎ 許容内</v>
      </c>
      <c r="R12" s="13" t="n">
        <f aca="false">週次_媒体別CP!L405</f>
        <v>0</v>
      </c>
      <c r="S12" s="13" t="n">
        <f aca="false">SUM(L12,R12)</f>
        <v>3</v>
      </c>
      <c r="T12" s="13" t="n">
        <f aca="false">週次_媒体別CP!N405</f>
        <v>0</v>
      </c>
      <c r="U12" s="13" t="n">
        <f aca="false">SUM(N12,T12)</f>
        <v>1</v>
      </c>
      <c r="V12" s="15" t="n">
        <f aca="false">IF(S12=0,"",IFERROR(U12/S12,""))</f>
        <v>0.333333333333333</v>
      </c>
    </row>
    <row r="13" customFormat="false" ht="15" hidden="false" customHeight="false" outlineLevel="0" collapsed="false">
      <c r="A13" s="34" t="s">
        <v>74</v>
      </c>
      <c r="B13" s="35" t="s">
        <v>75</v>
      </c>
      <c r="C13" s="37" t="n">
        <f aca="false">SUM(週次_媒体別CP!C13,週次_媒体別CP!C69,週次_媒体別CP!C125,週次_媒体別CP!C181,週次_媒体別CP!C237,週次_媒体別CP!C293,週次_媒体別CP!C349)</f>
        <v>210806</v>
      </c>
      <c r="D13" s="13" t="n">
        <f aca="false">SUM(週次_媒体別CP!D13,週次_媒体別CP!D69,週次_媒体別CP!D125,週次_媒体別CP!D181,週次_媒体別CP!D237,週次_媒体別CP!D293,週次_媒体別CP!D349)</f>
        <v>62430</v>
      </c>
      <c r="E13" s="13" t="n">
        <f aca="false">SUM(週次_媒体別CP!E13,週次_媒体別CP!E69,週次_媒体別CP!E125,週次_媒体別CP!E181,週次_媒体別CP!E237,週次_媒体別CP!E293,週次_媒体別CP!E349)</f>
        <v>1736</v>
      </c>
      <c r="F13" s="13" t="n">
        <f aca="false">SUM(週次_媒体別CP!F13,週次_媒体別CP!F69,週次_媒体別CP!F125,週次_媒体別CP!F181,週次_媒体別CP!F237,週次_媒体別CP!F293,週次_媒体別CP!F349)</f>
        <v>97</v>
      </c>
      <c r="G13" s="37" t="n">
        <f aca="false">IFERROR(C13/D13*1000,"")</f>
        <v>3376.67787922473</v>
      </c>
      <c r="H13" s="15" t="n">
        <f aca="false">IFERROR(E13/D13,"")</f>
        <v>0.0278071440012814</v>
      </c>
      <c r="I13" s="37" t="n">
        <f aca="false">IFERROR(C13/E13,"")</f>
        <v>121.43202764977</v>
      </c>
      <c r="J13" s="15" t="n">
        <f aca="false">IFERROR(F13/E13,"")</f>
        <v>0.0558755760368664</v>
      </c>
      <c r="K13" s="37" t="n">
        <f aca="false">IFERROR(C13/F13,"")</f>
        <v>2173.25773195876</v>
      </c>
      <c r="L13" s="13" t="n">
        <f aca="false">SUM(週次_媒体別CP!L13,週次_媒体別CP!L69,週次_媒体別CP!L125,週次_媒体別CP!L181,週次_媒体別CP!L237,週次_媒体別CP!L293,週次_媒体別CP!L349)</f>
        <v>1</v>
      </c>
      <c r="M13" s="15" t="n">
        <f aca="false">IF(F13=0,"",IFERROR(L13/F13,""))</f>
        <v>0.0103092783505155</v>
      </c>
      <c r="N13" s="13" t="n">
        <f aca="false">SUM(週次_媒体別CP!N13,週次_媒体別CP!N69,週次_媒体別CP!N125,週次_媒体別CP!N181,週次_媒体別CP!N237,週次_媒体別CP!N293,週次_媒体別CP!N349)</f>
        <v>0</v>
      </c>
      <c r="O13" s="15" t="n">
        <f aca="false">IF(L13=0,"",IFERROR(N13/L13,""))</f>
        <v>0</v>
      </c>
      <c r="P13" s="37" t="str">
        <f aca="false">IF(N13=0,"",C13/N13)</f>
        <v/>
      </c>
      <c r="Q13" s="34" t="str">
        <f aca="false">IF(N13=0,"",IF(C13/N13&lt;=用語集!$B$22,"◎ 許容内","✗ 超過"))</f>
        <v/>
      </c>
      <c r="R13" s="13" t="n">
        <f aca="false">週次_媒体別CP!L406</f>
        <v>0</v>
      </c>
      <c r="S13" s="13" t="n">
        <f aca="false">SUM(L13,R13)</f>
        <v>1</v>
      </c>
      <c r="T13" s="13" t="n">
        <f aca="false">週次_媒体別CP!N406</f>
        <v>0</v>
      </c>
      <c r="U13" s="13" t="n">
        <f aca="false">SUM(N13,T13)</f>
        <v>0</v>
      </c>
      <c r="V13" s="15" t="n">
        <f aca="false">IF(S13=0,"",IFERROR(U13/S13,""))</f>
        <v>0</v>
      </c>
    </row>
    <row r="14" customFormat="false" ht="15" hidden="false" customHeight="false" outlineLevel="0" collapsed="false">
      <c r="A14" s="34" t="s">
        <v>76</v>
      </c>
      <c r="B14" s="35" t="s">
        <v>77</v>
      </c>
      <c r="C14" s="37" t="n">
        <f aca="false">SUM(週次_媒体別CP!C14,週次_媒体別CP!C70,週次_媒体別CP!C126,週次_媒体別CP!C182,週次_媒体別CP!C238,週次_媒体別CP!C294,週次_媒体別CP!C350)</f>
        <v>288233</v>
      </c>
      <c r="D14" s="13" t="n">
        <f aca="false">SUM(週次_媒体別CP!D14,週次_媒体別CP!D70,週次_媒体別CP!D126,週次_媒体別CP!D182,週次_媒体別CP!D238,週次_媒体別CP!D294,週次_媒体別CP!D350)</f>
        <v>82142</v>
      </c>
      <c r="E14" s="13" t="n">
        <f aca="false">SUM(週次_媒体別CP!E14,週次_媒体別CP!E70,週次_媒体別CP!E126,週次_媒体別CP!E182,週次_媒体別CP!E238,週次_媒体別CP!E294,週次_媒体別CP!E350)</f>
        <v>1938</v>
      </c>
      <c r="F14" s="13" t="n">
        <f aca="false">SUM(週次_媒体別CP!F14,週次_媒体別CP!F70,週次_媒体別CP!F126,週次_媒体別CP!F182,週次_媒体別CP!F238,週次_媒体別CP!F294,週次_媒体別CP!F350)</f>
        <v>126</v>
      </c>
      <c r="G14" s="37" t="n">
        <f aca="false">IFERROR(C14/D14*1000,"")</f>
        <v>3508.96009349663</v>
      </c>
      <c r="H14" s="15" t="n">
        <f aca="false">IFERROR(E14/D14,"")</f>
        <v>0.0235932896691096</v>
      </c>
      <c r="I14" s="37" t="n">
        <f aca="false">IFERROR(C14/E14,"")</f>
        <v>148.727038183695</v>
      </c>
      <c r="J14" s="15" t="n">
        <f aca="false">IFERROR(F14/E14,"")</f>
        <v>0.065015479876161</v>
      </c>
      <c r="K14" s="37" t="n">
        <f aca="false">IFERROR(C14/F14,"")</f>
        <v>2287.56349206349</v>
      </c>
      <c r="L14" s="13" t="n">
        <f aca="false">SUM(週次_媒体別CP!L14,週次_媒体別CP!L70,週次_媒体別CP!L126,週次_媒体別CP!L182,週次_媒体別CP!L238,週次_媒体別CP!L294,週次_媒体別CP!L350)</f>
        <v>0</v>
      </c>
      <c r="M14" s="15" t="n">
        <f aca="false">IF(F14=0,"",IFERROR(L14/F14,""))</f>
        <v>0</v>
      </c>
      <c r="N14" s="13" t="n">
        <f aca="false">SUM(週次_媒体別CP!N14,週次_媒体別CP!N70,週次_媒体別CP!N126,週次_媒体別CP!N182,週次_媒体別CP!N238,週次_媒体別CP!N294,週次_媒体別CP!N350)</f>
        <v>0</v>
      </c>
      <c r="O14" s="15" t="str">
        <f aca="false">IF(L14=0,"",IFERROR(N14/L14,""))</f>
        <v/>
      </c>
      <c r="P14" s="37" t="str">
        <f aca="false">IF(N14=0,"",C14/N14)</f>
        <v/>
      </c>
      <c r="Q14" s="34" t="str">
        <f aca="false">IF(N14=0,"",IF(C14/N14&lt;=用語集!$B$22,"◎ 許容内","✗ 超過"))</f>
        <v/>
      </c>
      <c r="R14" s="13" t="n">
        <f aca="false">週次_媒体別CP!L407</f>
        <v>0</v>
      </c>
      <c r="S14" s="13" t="n">
        <f aca="false">SUM(L14,R14)</f>
        <v>0</v>
      </c>
      <c r="T14" s="13" t="n">
        <f aca="false">週次_媒体別CP!N407</f>
        <v>0</v>
      </c>
      <c r="U14" s="13" t="n">
        <f aca="false">SUM(N14,T14)</f>
        <v>0</v>
      </c>
      <c r="V14" s="15" t="str">
        <f aca="false">IF(S14=0,"",IFERROR(U14/S14,""))</f>
        <v/>
      </c>
    </row>
    <row r="15" customFormat="false" ht="15" hidden="false" customHeight="false" outlineLevel="0" collapsed="false">
      <c r="A15" s="34" t="s">
        <v>78</v>
      </c>
      <c r="B15" s="35" t="s">
        <v>79</v>
      </c>
      <c r="C15" s="37" t="n">
        <f aca="false">SUM(週次_媒体別CP!C15,週次_媒体別CP!C71,週次_媒体別CP!C127,週次_媒体別CP!C183,週次_媒体別CP!C239,週次_媒体別CP!C295,週次_媒体別CP!C351)</f>
        <v>175781</v>
      </c>
      <c r="D15" s="13" t="n">
        <f aca="false">SUM(週次_媒体別CP!D15,週次_媒体別CP!D71,週次_媒体別CP!D127,週次_媒体別CP!D183,週次_媒体別CP!D239,週次_媒体別CP!D295,週次_媒体別CP!D351)</f>
        <v>45802</v>
      </c>
      <c r="E15" s="13" t="n">
        <f aca="false">SUM(週次_媒体別CP!E15,週次_媒体別CP!E71,週次_媒体別CP!E127,週次_媒体別CP!E183,週次_媒体別CP!E239,週次_媒体別CP!E295,週次_媒体別CP!E351)</f>
        <v>1163</v>
      </c>
      <c r="F15" s="13" t="n">
        <f aca="false">SUM(週次_媒体別CP!F15,週次_媒体別CP!F71,週次_媒体別CP!F127,週次_媒体別CP!F183,週次_媒体別CP!F239,週次_媒体別CP!F295,週次_媒体別CP!F351)</f>
        <v>83</v>
      </c>
      <c r="G15" s="37" t="n">
        <f aca="false">IFERROR(C15/D15*1000,"")</f>
        <v>3837.84550892974</v>
      </c>
      <c r="H15" s="15" t="n">
        <f aca="false">IFERROR(E15/D15,"")</f>
        <v>0.0253919042836557</v>
      </c>
      <c r="I15" s="37" t="n">
        <f aca="false">IFERROR(C15/E15,"")</f>
        <v>151.14445399828</v>
      </c>
      <c r="J15" s="15" t="n">
        <f aca="false">IFERROR(F15/E15,"")</f>
        <v>0.0713671539122958</v>
      </c>
      <c r="K15" s="37" t="n">
        <f aca="false">IFERROR(C15/F15,"")</f>
        <v>2117.84337349398</v>
      </c>
      <c r="L15" s="13" t="n">
        <f aca="false">SUM(週次_媒体別CP!L15,週次_媒体別CP!L71,週次_媒体別CP!L127,週次_媒体別CP!L183,週次_媒体別CP!L239,週次_媒体別CP!L295,週次_媒体別CP!L351)</f>
        <v>0</v>
      </c>
      <c r="M15" s="15" t="n">
        <f aca="false">IF(F15=0,"",IFERROR(L15/F15,""))</f>
        <v>0</v>
      </c>
      <c r="N15" s="13" t="n">
        <f aca="false">SUM(週次_媒体別CP!N15,週次_媒体別CP!N71,週次_媒体別CP!N127,週次_媒体別CP!N183,週次_媒体別CP!N239,週次_媒体別CP!N295,週次_媒体別CP!N351)</f>
        <v>0</v>
      </c>
      <c r="O15" s="15" t="str">
        <f aca="false">IF(L15=0,"",IFERROR(N15/L15,""))</f>
        <v/>
      </c>
      <c r="P15" s="37" t="str">
        <f aca="false">IF(N15=0,"",C15/N15)</f>
        <v/>
      </c>
      <c r="Q15" s="34" t="str">
        <f aca="false">IF(N15=0,"",IF(C15/N15&lt;=用語集!$B$22,"◎ 許容内","✗ 超過"))</f>
        <v/>
      </c>
      <c r="R15" s="13" t="str">
        <f aca="false">週次_媒体別CP!L408</f>
        <v/>
      </c>
      <c r="S15" s="13" t="n">
        <f aca="false">SUM(L15,R15)</f>
        <v>0</v>
      </c>
      <c r="T15" s="13" t="str">
        <f aca="false">週次_媒体別CP!N408</f>
        <v/>
      </c>
      <c r="U15" s="13" t="n">
        <f aca="false">SUM(N15,T15)</f>
        <v>0</v>
      </c>
      <c r="V15" s="15" t="str">
        <f aca="false">IF(S15=0,"",IFERROR(U15/S15,""))</f>
        <v/>
      </c>
    </row>
    <row r="16" customFormat="false" ht="15" hidden="false" customHeight="false" outlineLevel="0" collapsed="false">
      <c r="A16" s="34" t="s">
        <v>80</v>
      </c>
      <c r="B16" s="35" t="s">
        <v>81</v>
      </c>
      <c r="C16" s="37" t="n">
        <f aca="false">SUM(週次_媒体別CP!C16,週次_媒体別CP!C72,週次_媒体別CP!C128,週次_媒体別CP!C184,週次_媒体別CP!C240,週次_媒体別CP!C296,週次_媒体別CP!C352)</f>
        <v>233161</v>
      </c>
      <c r="D16" s="13" t="n">
        <f aca="false">SUM(週次_媒体別CP!D16,週次_媒体別CP!D72,週次_媒体別CP!D128,週次_媒体別CP!D184,週次_媒体別CP!D240,週次_媒体別CP!D296,週次_媒体別CP!D352)</f>
        <v>79911</v>
      </c>
      <c r="E16" s="13" t="n">
        <f aca="false">SUM(週次_媒体別CP!E16,週次_媒体別CP!E72,週次_媒体別CP!E128,週次_媒体別CP!E184,週次_媒体別CP!E240,週次_媒体別CP!E296,週次_媒体別CP!E352)</f>
        <v>1617</v>
      </c>
      <c r="F16" s="13" t="n">
        <f aca="false">SUM(週次_媒体別CP!F16,週次_媒体別CP!F72,週次_媒体別CP!F128,週次_媒体別CP!F184,週次_媒体別CP!F240,週次_媒体別CP!F296,週次_媒体別CP!F352)</f>
        <v>81</v>
      </c>
      <c r="G16" s="37" t="n">
        <f aca="false">IFERROR(C16/D16*1000,"")</f>
        <v>2917.7585063383</v>
      </c>
      <c r="H16" s="15" t="n">
        <f aca="false">IFERROR(E16/D16,"")</f>
        <v>0.0202350114502384</v>
      </c>
      <c r="I16" s="37" t="n">
        <f aca="false">IFERROR(C16/E16,"")</f>
        <v>144.193568336425</v>
      </c>
      <c r="J16" s="15" t="n">
        <f aca="false">IFERROR(F16/E16,"")</f>
        <v>0.0500927643784787</v>
      </c>
      <c r="K16" s="37" t="n">
        <f aca="false">IFERROR(C16/F16,"")</f>
        <v>2878.53086419753</v>
      </c>
      <c r="L16" s="13" t="n">
        <f aca="false">SUM(週次_媒体別CP!L16,週次_媒体別CP!L72,週次_媒体別CP!L128,週次_媒体別CP!L184,週次_媒体別CP!L240,週次_媒体別CP!L296,週次_媒体別CP!L352)</f>
        <v>5</v>
      </c>
      <c r="M16" s="15" t="n">
        <f aca="false">IF(F16=0,"",IFERROR(L16/F16,""))</f>
        <v>0.0617283950617284</v>
      </c>
      <c r="N16" s="13" t="n">
        <f aca="false">SUM(週次_媒体別CP!N16,週次_媒体別CP!N72,週次_媒体別CP!N128,週次_媒体別CP!N184,週次_媒体別CP!N240,週次_媒体別CP!N296,週次_媒体別CP!N352)</f>
        <v>0</v>
      </c>
      <c r="O16" s="15" t="n">
        <f aca="false">IF(L16=0,"",IFERROR(N16/L16,""))</f>
        <v>0</v>
      </c>
      <c r="P16" s="37" t="str">
        <f aca="false">IF(N16=0,"",C16/N16)</f>
        <v/>
      </c>
      <c r="Q16" s="34" t="str">
        <f aca="false">IF(N16=0,"",IF(C16/N16&lt;=用語集!$B$22,"◎ 許容内","✗ 超過"))</f>
        <v/>
      </c>
      <c r="R16" s="13" t="str">
        <f aca="false">週次_媒体別CP!L409</f>
        <v/>
      </c>
      <c r="S16" s="13" t="n">
        <f aca="false">SUM(L16,R16)</f>
        <v>5</v>
      </c>
      <c r="T16" s="13" t="str">
        <f aca="false">週次_媒体別CP!N409</f>
        <v/>
      </c>
      <c r="U16" s="13" t="n">
        <f aca="false">SUM(N16,T16)</f>
        <v>0</v>
      </c>
      <c r="V16" s="15" t="n">
        <f aca="false">IF(S16=0,"",IFERROR(U16/S16,""))</f>
        <v>0</v>
      </c>
    </row>
    <row r="17" customFormat="false" ht="15" hidden="false" customHeight="false" outlineLevel="0" collapsed="false">
      <c r="A17" s="34" t="s">
        <v>82</v>
      </c>
      <c r="B17" s="35" t="s">
        <v>83</v>
      </c>
      <c r="C17" s="37" t="n">
        <f aca="false">SUM(週次_媒体別CP!C17,週次_媒体別CP!C73,週次_媒体別CP!C129,週次_媒体別CP!C185,週次_媒体別CP!C241,週次_媒体別CP!C297,週次_媒体別CP!C353)</f>
        <v>0</v>
      </c>
      <c r="D17" s="13" t="n">
        <f aca="false">SUM(週次_媒体別CP!D17,週次_媒体別CP!D73,週次_媒体別CP!D129,週次_媒体別CP!D185,週次_媒体別CP!D241,週次_媒体別CP!D297,週次_媒体別CP!D353)</f>
        <v>0</v>
      </c>
      <c r="E17" s="13" t="n">
        <f aca="false">SUM(週次_媒体別CP!E17,週次_媒体別CP!E73,週次_媒体別CP!E129,週次_媒体別CP!E185,週次_媒体別CP!E241,週次_媒体別CP!E297,週次_媒体別CP!E353)</f>
        <v>0</v>
      </c>
      <c r="F17" s="13" t="n">
        <f aca="false">SUM(週次_媒体別CP!F17,週次_媒体別CP!F73,週次_媒体別CP!F129,週次_媒体別CP!F185,週次_媒体別CP!F241,週次_媒体別CP!F297,週次_媒体別CP!F353)</f>
        <v>0</v>
      </c>
      <c r="G17" s="37" t="str">
        <f aca="false">IFERROR(C17/D17*1000,"")</f>
        <v/>
      </c>
      <c r="H17" s="15" t="str">
        <f aca="false">IFERROR(E17/D17,"")</f>
        <v/>
      </c>
      <c r="I17" s="37" t="str">
        <f aca="false">IFERROR(C17/E17,"")</f>
        <v/>
      </c>
      <c r="J17" s="15" t="str">
        <f aca="false">IFERROR(F17/E17,"")</f>
        <v/>
      </c>
      <c r="K17" s="37" t="str">
        <f aca="false">IFERROR(C17/F17,"")</f>
        <v/>
      </c>
      <c r="L17" s="13" t="n">
        <f aca="false">SUM(週次_媒体別CP!L17,週次_媒体別CP!L73,週次_媒体別CP!L129,週次_媒体別CP!L185,週次_媒体別CP!L241,週次_媒体別CP!L297,週次_媒体別CP!L353)</f>
        <v>0</v>
      </c>
      <c r="M17" s="15" t="str">
        <f aca="false">IF(F17=0,"",IFERROR(L17/F17,""))</f>
        <v/>
      </c>
      <c r="N17" s="13" t="n">
        <f aca="false">SUM(週次_媒体別CP!N17,週次_媒体別CP!N73,週次_媒体別CP!N129,週次_媒体別CP!N185,週次_媒体別CP!N241,週次_媒体別CP!N297,週次_媒体別CP!N353)</f>
        <v>0</v>
      </c>
      <c r="O17" s="15" t="str">
        <f aca="false">IF(L17=0,"",IFERROR(N17/L17,""))</f>
        <v/>
      </c>
      <c r="P17" s="37" t="str">
        <f aca="false">IF(N17=0,"",C17/N17)</f>
        <v/>
      </c>
      <c r="Q17" s="34" t="str">
        <f aca="false">IF(N17=0,"",IF(C17/N17&lt;=用語集!$B$22,"◎ 許容内","✗ 超過"))</f>
        <v/>
      </c>
      <c r="R17" s="13" t="str">
        <f aca="false">週次_媒体別CP!L410</f>
        <v/>
      </c>
      <c r="S17" s="13" t="n">
        <f aca="false">SUM(L17,R17)</f>
        <v>0</v>
      </c>
      <c r="T17" s="13" t="str">
        <f aca="false">週次_媒体別CP!N410</f>
        <v/>
      </c>
      <c r="U17" s="13" t="n">
        <f aca="false">SUM(N17,T17)</f>
        <v>0</v>
      </c>
      <c r="V17" s="15" t="str">
        <f aca="false">IF(S17=0,"",IFERROR(U17/S17,""))</f>
        <v/>
      </c>
    </row>
    <row r="18" customFormat="false" ht="15" hidden="false" customHeight="false" outlineLevel="0" collapsed="false">
      <c r="A18" s="34" t="s">
        <v>84</v>
      </c>
      <c r="B18" s="35" t="s">
        <v>85</v>
      </c>
      <c r="C18" s="37" t="n">
        <f aca="false">SUM(週次_媒体別CP!C18,週次_媒体別CP!C74,週次_媒体別CP!C130,週次_媒体別CP!C186,週次_媒体別CP!C242,週次_媒体別CP!C298,週次_媒体別CP!C354)</f>
        <v>0</v>
      </c>
      <c r="D18" s="13" t="n">
        <f aca="false">SUM(週次_媒体別CP!D18,週次_媒体別CP!D74,週次_媒体別CP!D130,週次_媒体別CP!D186,週次_媒体別CP!D242,週次_媒体別CP!D298,週次_媒体別CP!D354)</f>
        <v>0</v>
      </c>
      <c r="E18" s="13" t="n">
        <f aca="false">SUM(週次_媒体別CP!E18,週次_媒体別CP!E74,週次_媒体別CP!E130,週次_媒体別CP!E186,週次_媒体別CP!E242,週次_媒体別CP!E298,週次_媒体別CP!E354)</f>
        <v>0</v>
      </c>
      <c r="F18" s="13" t="n">
        <f aca="false">SUM(週次_媒体別CP!F18,週次_媒体別CP!F74,週次_媒体別CP!F130,週次_媒体別CP!F186,週次_媒体別CP!F242,週次_媒体別CP!F298,週次_媒体別CP!F354)</f>
        <v>0</v>
      </c>
      <c r="G18" s="37" t="str">
        <f aca="false">IFERROR(C18/D18*1000,"")</f>
        <v/>
      </c>
      <c r="H18" s="15" t="str">
        <f aca="false">IFERROR(E18/D18,"")</f>
        <v/>
      </c>
      <c r="I18" s="37" t="str">
        <f aca="false">IFERROR(C18/E18,"")</f>
        <v/>
      </c>
      <c r="J18" s="15" t="str">
        <f aca="false">IFERROR(F18/E18,"")</f>
        <v/>
      </c>
      <c r="K18" s="37" t="str">
        <f aca="false">IFERROR(C18/F18,"")</f>
        <v/>
      </c>
      <c r="L18" s="13" t="n">
        <f aca="false">SUM(週次_媒体別CP!L18,週次_媒体別CP!L74,週次_媒体別CP!L130,週次_媒体別CP!L186,週次_媒体別CP!L242,週次_媒体別CP!L298,週次_媒体別CP!L354)</f>
        <v>0</v>
      </c>
      <c r="M18" s="15" t="str">
        <f aca="false">IF(F18=0,"",IFERROR(L18/F18,""))</f>
        <v/>
      </c>
      <c r="N18" s="13" t="n">
        <f aca="false">SUM(週次_媒体別CP!N18,週次_媒体別CP!N74,週次_媒体別CP!N130,週次_媒体別CP!N186,週次_媒体別CP!N242,週次_媒体別CP!N298,週次_媒体別CP!N354)</f>
        <v>0</v>
      </c>
      <c r="O18" s="15" t="str">
        <f aca="false">IF(L18=0,"",IFERROR(N18/L18,""))</f>
        <v/>
      </c>
      <c r="P18" s="37" t="str">
        <f aca="false">IF(N18=0,"",C18/N18)</f>
        <v/>
      </c>
      <c r="Q18" s="34" t="str">
        <f aca="false">IF(N18=0,"",IF(C18/N18&lt;=用語集!$B$22,"◎ 許容内","✗ 超過"))</f>
        <v/>
      </c>
      <c r="R18" s="13" t="str">
        <f aca="false">週次_媒体別CP!L411</f>
        <v/>
      </c>
      <c r="S18" s="13" t="n">
        <f aca="false">SUM(L18,R18)</f>
        <v>0</v>
      </c>
      <c r="T18" s="13" t="str">
        <f aca="false">週次_媒体別CP!N411</f>
        <v/>
      </c>
      <c r="U18" s="13" t="n">
        <f aca="false">SUM(N18,T18)</f>
        <v>0</v>
      </c>
      <c r="V18" s="15" t="str">
        <f aca="false">IF(S18=0,"",IFERROR(U18/S18,""))</f>
        <v/>
      </c>
    </row>
    <row r="19" customFormat="false" ht="15" hidden="false" customHeight="false" outlineLevel="0" collapsed="false">
      <c r="A19" s="34" t="s">
        <v>86</v>
      </c>
      <c r="B19" s="35" t="s">
        <v>87</v>
      </c>
      <c r="C19" s="37" t="n">
        <f aca="false">SUM(週次_媒体別CP!C19,週次_媒体別CP!C75,週次_媒体別CP!C131,週次_媒体別CP!C187,週次_媒体別CP!C243,週次_媒体別CP!C299,週次_媒体別CP!C355)</f>
        <v>0</v>
      </c>
      <c r="D19" s="13" t="n">
        <f aca="false">SUM(週次_媒体別CP!D19,週次_媒体別CP!D75,週次_媒体別CP!D131,週次_媒体別CP!D187,週次_媒体別CP!D243,週次_媒体別CP!D299,週次_媒体別CP!D355)</f>
        <v>0</v>
      </c>
      <c r="E19" s="13" t="n">
        <f aca="false">SUM(週次_媒体別CP!E19,週次_媒体別CP!E75,週次_媒体別CP!E131,週次_媒体別CP!E187,週次_媒体別CP!E243,週次_媒体別CP!E299,週次_媒体別CP!E355)</f>
        <v>0</v>
      </c>
      <c r="F19" s="13" t="n">
        <f aca="false">SUM(週次_媒体別CP!F19,週次_媒体別CP!F75,週次_媒体別CP!F131,週次_媒体別CP!F187,週次_媒体別CP!F243,週次_媒体別CP!F299,週次_媒体別CP!F355)</f>
        <v>0</v>
      </c>
      <c r="G19" s="37" t="str">
        <f aca="false">IFERROR(C19/D19*1000,"")</f>
        <v/>
      </c>
      <c r="H19" s="15" t="str">
        <f aca="false">IFERROR(E19/D19,"")</f>
        <v/>
      </c>
      <c r="I19" s="37" t="str">
        <f aca="false">IFERROR(C19/E19,"")</f>
        <v/>
      </c>
      <c r="J19" s="15" t="str">
        <f aca="false">IFERROR(F19/E19,"")</f>
        <v/>
      </c>
      <c r="K19" s="37" t="str">
        <f aca="false">IFERROR(C19/F19,"")</f>
        <v/>
      </c>
      <c r="L19" s="13" t="n">
        <f aca="false">SUM(週次_媒体別CP!L19,週次_媒体別CP!L75,週次_媒体別CP!L131,週次_媒体別CP!L187,週次_媒体別CP!L243,週次_媒体別CP!L299,週次_媒体別CP!L355)</f>
        <v>0</v>
      </c>
      <c r="M19" s="15" t="str">
        <f aca="false">IF(F19=0,"",IFERROR(L19/F19,""))</f>
        <v/>
      </c>
      <c r="N19" s="13" t="n">
        <f aca="false">SUM(週次_媒体別CP!N19,週次_媒体別CP!N75,週次_媒体別CP!N131,週次_媒体別CP!N187,週次_媒体別CP!N243,週次_媒体別CP!N299,週次_媒体別CP!N355)</f>
        <v>0</v>
      </c>
      <c r="O19" s="15" t="str">
        <f aca="false">IF(L19=0,"",IFERROR(N19/L19,""))</f>
        <v/>
      </c>
      <c r="P19" s="37" t="str">
        <f aca="false">IF(N19=0,"",C19/N19)</f>
        <v/>
      </c>
      <c r="Q19" s="34" t="str">
        <f aca="false">IF(N19=0,"",IF(C19/N19&lt;=用語集!$B$22,"◎ 許容内","✗ 超過"))</f>
        <v/>
      </c>
      <c r="R19" s="13" t="str">
        <f aca="false">週次_媒体別CP!L412</f>
        <v/>
      </c>
      <c r="S19" s="13" t="n">
        <f aca="false">SUM(L19,R19)</f>
        <v>0</v>
      </c>
      <c r="T19" s="13" t="str">
        <f aca="false">週次_媒体別CP!N412</f>
        <v/>
      </c>
      <c r="U19" s="13" t="n">
        <f aca="false">SUM(N19,T19)</f>
        <v>0</v>
      </c>
      <c r="V19" s="15" t="str">
        <f aca="false">IF(S19=0,"",IFERROR(U19/S19,""))</f>
        <v/>
      </c>
    </row>
    <row r="20" customFormat="false" ht="15" hidden="false" customHeight="false" outlineLevel="0" collapsed="false">
      <c r="A20" s="34" t="s">
        <v>88</v>
      </c>
      <c r="B20" s="35" t="s">
        <v>89</v>
      </c>
      <c r="C20" s="37" t="n">
        <f aca="false">SUM(週次_媒体別CP!C20,週次_媒体別CP!C76,週次_媒体別CP!C132,週次_媒体別CP!C188,週次_媒体別CP!C244,週次_媒体別CP!C300,週次_媒体別CP!C356)</f>
        <v>0</v>
      </c>
      <c r="D20" s="13" t="n">
        <f aca="false">SUM(週次_媒体別CP!D20,週次_媒体別CP!D76,週次_媒体別CP!D132,週次_媒体別CP!D188,週次_媒体別CP!D244,週次_媒体別CP!D300,週次_媒体別CP!D356)</f>
        <v>0</v>
      </c>
      <c r="E20" s="13" t="n">
        <f aca="false">SUM(週次_媒体別CP!E20,週次_媒体別CP!E76,週次_媒体別CP!E132,週次_媒体別CP!E188,週次_媒体別CP!E244,週次_媒体別CP!E300,週次_媒体別CP!E356)</f>
        <v>0</v>
      </c>
      <c r="F20" s="13" t="n">
        <f aca="false">SUM(週次_媒体別CP!F20,週次_媒体別CP!F76,週次_媒体別CP!F132,週次_媒体別CP!F188,週次_媒体別CP!F244,週次_媒体別CP!F300,週次_媒体別CP!F356)</f>
        <v>0</v>
      </c>
      <c r="G20" s="37" t="str">
        <f aca="false">IFERROR(C20/D20*1000,"")</f>
        <v/>
      </c>
      <c r="H20" s="15" t="str">
        <f aca="false">IFERROR(E20/D20,"")</f>
        <v/>
      </c>
      <c r="I20" s="37" t="str">
        <f aca="false">IFERROR(C20/E20,"")</f>
        <v/>
      </c>
      <c r="J20" s="15" t="str">
        <f aca="false">IFERROR(F20/E20,"")</f>
        <v/>
      </c>
      <c r="K20" s="37" t="str">
        <f aca="false">IFERROR(C20/F20,"")</f>
        <v/>
      </c>
      <c r="L20" s="13" t="n">
        <f aca="false">SUM(週次_媒体別CP!L20,週次_媒体別CP!L76,週次_媒体別CP!L132,週次_媒体別CP!L188,週次_媒体別CP!L244,週次_媒体別CP!L300,週次_媒体別CP!L356)</f>
        <v>0</v>
      </c>
      <c r="M20" s="15" t="str">
        <f aca="false">IF(F20=0,"",IFERROR(L20/F20,""))</f>
        <v/>
      </c>
      <c r="N20" s="13" t="n">
        <f aca="false">SUM(週次_媒体別CP!N20,週次_媒体別CP!N76,週次_媒体別CP!N132,週次_媒体別CP!N188,週次_媒体別CP!N244,週次_媒体別CP!N300,週次_媒体別CP!N356)</f>
        <v>0</v>
      </c>
      <c r="O20" s="15" t="str">
        <f aca="false">IF(L20=0,"",IFERROR(N20/L20,""))</f>
        <v/>
      </c>
      <c r="P20" s="37" t="str">
        <f aca="false">IF(N20=0,"",C20/N20)</f>
        <v/>
      </c>
      <c r="Q20" s="34" t="str">
        <f aca="false">IF(N20=0,"",IF(C20/N20&lt;=用語集!$B$22,"◎ 許容内","✗ 超過"))</f>
        <v/>
      </c>
      <c r="R20" s="13" t="str">
        <f aca="false">週次_媒体別CP!L413</f>
        <v/>
      </c>
      <c r="S20" s="13" t="n">
        <f aca="false">SUM(L20,R20)</f>
        <v>0</v>
      </c>
      <c r="T20" s="13" t="str">
        <f aca="false">週次_媒体別CP!N413</f>
        <v/>
      </c>
      <c r="U20" s="13" t="n">
        <f aca="false">SUM(N20,T20)</f>
        <v>0</v>
      </c>
      <c r="V20" s="15" t="str">
        <f aca="false">IF(S20=0,"",IFERROR(U20/S20,""))</f>
        <v/>
      </c>
    </row>
    <row r="21" customFormat="false" ht="15" hidden="false" customHeight="false" outlineLevel="0" collapsed="false">
      <c r="A21" s="34" t="s">
        <v>90</v>
      </c>
      <c r="B21" s="35" t="s">
        <v>91</v>
      </c>
      <c r="C21" s="37" t="n">
        <f aca="false">SUM(週次_媒体別CP!C21,週次_媒体別CP!C77,週次_媒体別CP!C133,週次_媒体別CP!C189,週次_媒体別CP!C245,週次_媒体別CP!C301,週次_媒体別CP!C357)</f>
        <v>0</v>
      </c>
      <c r="D21" s="13" t="n">
        <f aca="false">SUM(週次_媒体別CP!D21,週次_媒体別CP!D77,週次_媒体別CP!D133,週次_媒体別CP!D189,週次_媒体別CP!D245,週次_媒体別CP!D301,週次_媒体別CP!D357)</f>
        <v>0</v>
      </c>
      <c r="E21" s="13" t="n">
        <f aca="false">SUM(週次_媒体別CP!E21,週次_媒体別CP!E77,週次_媒体別CP!E133,週次_媒体別CP!E189,週次_媒体別CP!E245,週次_媒体別CP!E301,週次_媒体別CP!E357)</f>
        <v>0</v>
      </c>
      <c r="F21" s="13" t="n">
        <f aca="false">SUM(週次_媒体別CP!F21,週次_媒体別CP!F77,週次_媒体別CP!F133,週次_媒体別CP!F189,週次_媒体別CP!F245,週次_媒体別CP!F301,週次_媒体別CP!F357)</f>
        <v>0</v>
      </c>
      <c r="G21" s="37" t="str">
        <f aca="false">IFERROR(C21/D21*1000,"")</f>
        <v/>
      </c>
      <c r="H21" s="15" t="str">
        <f aca="false">IFERROR(E21/D21,"")</f>
        <v/>
      </c>
      <c r="I21" s="37" t="str">
        <f aca="false">IFERROR(C21/E21,"")</f>
        <v/>
      </c>
      <c r="J21" s="15" t="str">
        <f aca="false">IFERROR(F21/E21,"")</f>
        <v/>
      </c>
      <c r="K21" s="37" t="str">
        <f aca="false">IFERROR(C21/F21,"")</f>
        <v/>
      </c>
      <c r="L21" s="13" t="n">
        <f aca="false">SUM(週次_媒体別CP!L21,週次_媒体別CP!L77,週次_媒体別CP!L133,週次_媒体別CP!L189,週次_媒体別CP!L245,週次_媒体別CP!L301,週次_媒体別CP!L357)</f>
        <v>0</v>
      </c>
      <c r="M21" s="15" t="str">
        <f aca="false">IF(F21=0,"",IFERROR(L21/F21,""))</f>
        <v/>
      </c>
      <c r="N21" s="13" t="n">
        <f aca="false">SUM(週次_媒体別CP!N21,週次_媒体別CP!N77,週次_媒体別CP!N133,週次_媒体別CP!N189,週次_媒体別CP!N245,週次_媒体別CP!N301,週次_媒体別CP!N357)</f>
        <v>0</v>
      </c>
      <c r="O21" s="15" t="str">
        <f aca="false">IF(L21=0,"",IFERROR(N21/L21,""))</f>
        <v/>
      </c>
      <c r="P21" s="37" t="str">
        <f aca="false">IF(N21=0,"",C21/N21)</f>
        <v/>
      </c>
      <c r="Q21" s="34" t="str">
        <f aca="false">IF(N21=0,"",IF(C21/N21&lt;=用語集!$B$22,"◎ 許容内","✗ 超過"))</f>
        <v/>
      </c>
      <c r="R21" s="13" t="str">
        <f aca="false">週次_媒体別CP!L414</f>
        <v/>
      </c>
      <c r="S21" s="13" t="n">
        <f aca="false">SUM(L21,R21)</f>
        <v>0</v>
      </c>
      <c r="T21" s="13" t="str">
        <f aca="false">週次_媒体別CP!N414</f>
        <v/>
      </c>
      <c r="U21" s="13" t="n">
        <f aca="false">SUM(N21,T21)</f>
        <v>0</v>
      </c>
      <c r="V21" s="15" t="str">
        <f aca="false">IF(S21=0,"",IFERROR(U21/S21,""))</f>
        <v/>
      </c>
    </row>
    <row r="22" customFormat="false" ht="15" hidden="false" customHeight="false" outlineLevel="0" collapsed="false">
      <c r="A22" s="34" t="s">
        <v>92</v>
      </c>
      <c r="B22" s="35" t="s">
        <v>93</v>
      </c>
      <c r="C22" s="37" t="n">
        <f aca="false">SUM(週次_媒体別CP!C22,週次_媒体別CP!C78,週次_媒体別CP!C134,週次_媒体別CP!C190,週次_媒体別CP!C246,週次_媒体別CP!C302,週次_媒体別CP!C358)</f>
        <v>0</v>
      </c>
      <c r="D22" s="13" t="n">
        <f aca="false">SUM(週次_媒体別CP!D22,週次_媒体別CP!D78,週次_媒体別CP!D134,週次_媒体別CP!D190,週次_媒体別CP!D246,週次_媒体別CP!D302,週次_媒体別CP!D358)</f>
        <v>0</v>
      </c>
      <c r="E22" s="13" t="n">
        <f aca="false">SUM(週次_媒体別CP!E22,週次_媒体別CP!E78,週次_媒体別CP!E134,週次_媒体別CP!E190,週次_媒体別CP!E246,週次_媒体別CP!E302,週次_媒体別CP!E358)</f>
        <v>0</v>
      </c>
      <c r="F22" s="13" t="n">
        <f aca="false">SUM(週次_媒体別CP!F22,週次_媒体別CP!F78,週次_媒体別CP!F134,週次_媒体別CP!F190,週次_媒体別CP!F246,週次_媒体別CP!F302,週次_媒体別CP!F358)</f>
        <v>0</v>
      </c>
      <c r="G22" s="37" t="str">
        <f aca="false">IFERROR(C22/D22*1000,"")</f>
        <v/>
      </c>
      <c r="H22" s="15" t="str">
        <f aca="false">IFERROR(E22/D22,"")</f>
        <v/>
      </c>
      <c r="I22" s="37" t="str">
        <f aca="false">IFERROR(C22/E22,"")</f>
        <v/>
      </c>
      <c r="J22" s="15" t="str">
        <f aca="false">IFERROR(F22/E22,"")</f>
        <v/>
      </c>
      <c r="K22" s="37" t="str">
        <f aca="false">IFERROR(C22/F22,"")</f>
        <v/>
      </c>
      <c r="L22" s="13" t="n">
        <f aca="false">SUM(週次_媒体別CP!L22,週次_媒体別CP!L78,週次_媒体別CP!L134,週次_媒体別CP!L190,週次_媒体別CP!L246,週次_媒体別CP!L302,週次_媒体別CP!L358)</f>
        <v>0</v>
      </c>
      <c r="M22" s="15" t="str">
        <f aca="false">IF(F22=0,"",IFERROR(L22/F22,""))</f>
        <v/>
      </c>
      <c r="N22" s="13" t="n">
        <f aca="false">SUM(週次_媒体別CP!N22,週次_媒体別CP!N78,週次_媒体別CP!N134,週次_媒体別CP!N190,週次_媒体別CP!N246,週次_媒体別CP!N302,週次_媒体別CP!N358)</f>
        <v>0</v>
      </c>
      <c r="O22" s="15" t="str">
        <f aca="false">IF(L22=0,"",IFERROR(N22/L22,""))</f>
        <v/>
      </c>
      <c r="P22" s="37" t="str">
        <f aca="false">IF(N22=0,"",C22/N22)</f>
        <v/>
      </c>
      <c r="Q22" s="34" t="str">
        <f aca="false">IF(N22=0,"",IF(C22/N22&lt;=用語集!$B$22,"◎ 許容内","✗ 超過"))</f>
        <v/>
      </c>
      <c r="R22" s="13" t="str">
        <f aca="false">週次_媒体別CP!L415</f>
        <v/>
      </c>
      <c r="S22" s="13" t="n">
        <f aca="false">SUM(L22,R22)</f>
        <v>0</v>
      </c>
      <c r="T22" s="13" t="str">
        <f aca="false">週次_媒体別CP!N415</f>
        <v/>
      </c>
      <c r="U22" s="13" t="n">
        <f aca="false">SUM(N22,T22)</f>
        <v>0</v>
      </c>
      <c r="V22" s="15" t="str">
        <f aca="false">IF(S22=0,"",IFERROR(U22/S22,""))</f>
        <v/>
      </c>
    </row>
    <row r="23" customFormat="false" ht="15" hidden="false" customHeight="false" outlineLevel="0" collapsed="false">
      <c r="A23" s="34" t="s">
        <v>94</v>
      </c>
      <c r="B23" s="35" t="s">
        <v>95</v>
      </c>
      <c r="C23" s="37" t="n">
        <f aca="false">SUM(週次_媒体別CP!C23,週次_媒体別CP!C79,週次_媒体別CP!C135,週次_媒体別CP!C191,週次_媒体別CP!C247,週次_媒体別CP!C303,週次_媒体別CP!C359)</f>
        <v>0</v>
      </c>
      <c r="D23" s="13" t="n">
        <f aca="false">SUM(週次_媒体別CP!D23,週次_媒体別CP!D79,週次_媒体別CP!D135,週次_媒体別CP!D191,週次_媒体別CP!D247,週次_媒体別CP!D303,週次_媒体別CP!D359)</f>
        <v>0</v>
      </c>
      <c r="E23" s="13" t="n">
        <f aca="false">SUM(週次_媒体別CP!E23,週次_媒体別CP!E79,週次_媒体別CP!E135,週次_媒体別CP!E191,週次_媒体別CP!E247,週次_媒体別CP!E303,週次_媒体別CP!E359)</f>
        <v>0</v>
      </c>
      <c r="F23" s="13" t="n">
        <f aca="false">SUM(週次_媒体別CP!F23,週次_媒体別CP!F79,週次_媒体別CP!F135,週次_媒体別CP!F191,週次_媒体別CP!F247,週次_媒体別CP!F303,週次_媒体別CP!F359)</f>
        <v>0</v>
      </c>
      <c r="G23" s="37" t="str">
        <f aca="false">IFERROR(C23/D23*1000,"")</f>
        <v/>
      </c>
      <c r="H23" s="15" t="str">
        <f aca="false">IFERROR(E23/D23,"")</f>
        <v/>
      </c>
      <c r="I23" s="37" t="str">
        <f aca="false">IFERROR(C23/E23,"")</f>
        <v/>
      </c>
      <c r="J23" s="15" t="str">
        <f aca="false">IFERROR(F23/E23,"")</f>
        <v/>
      </c>
      <c r="K23" s="37" t="str">
        <f aca="false">IFERROR(C23/F23,"")</f>
        <v/>
      </c>
      <c r="L23" s="13" t="n">
        <f aca="false">SUM(週次_媒体別CP!L23,週次_媒体別CP!L79,週次_媒体別CP!L135,週次_媒体別CP!L191,週次_媒体別CP!L247,週次_媒体別CP!L303,週次_媒体別CP!L359)</f>
        <v>0</v>
      </c>
      <c r="M23" s="15" t="str">
        <f aca="false">IF(F23=0,"",IFERROR(L23/F23,""))</f>
        <v/>
      </c>
      <c r="N23" s="13" t="n">
        <f aca="false">SUM(週次_媒体別CP!N23,週次_媒体別CP!N79,週次_媒体別CP!N135,週次_媒体別CP!N191,週次_媒体別CP!N247,週次_媒体別CP!N303,週次_媒体別CP!N359)</f>
        <v>0</v>
      </c>
      <c r="O23" s="15" t="str">
        <f aca="false">IF(L23=0,"",IFERROR(N23/L23,""))</f>
        <v/>
      </c>
      <c r="P23" s="37" t="str">
        <f aca="false">IF(N23=0,"",C23/N23)</f>
        <v/>
      </c>
      <c r="Q23" s="34" t="str">
        <f aca="false">IF(N23=0,"",IF(C23/N23&lt;=用語集!$B$22,"◎ 許容内","✗ 超過"))</f>
        <v/>
      </c>
      <c r="R23" s="13" t="str">
        <f aca="false">週次_媒体別CP!L416</f>
        <v/>
      </c>
      <c r="S23" s="13" t="n">
        <f aca="false">SUM(L23,R23)</f>
        <v>0</v>
      </c>
      <c r="T23" s="13" t="str">
        <f aca="false">週次_媒体別CP!N416</f>
        <v/>
      </c>
      <c r="U23" s="13" t="n">
        <f aca="false">SUM(N23,T23)</f>
        <v>0</v>
      </c>
      <c r="V23" s="15" t="str">
        <f aca="false">IF(S23=0,"",IFERROR(U23/S23,""))</f>
        <v/>
      </c>
    </row>
    <row r="24" customFormat="false" ht="15" hidden="false" customHeight="false" outlineLevel="0" collapsed="false">
      <c r="A24" s="34" t="s">
        <v>96</v>
      </c>
      <c r="B24" s="35" t="s">
        <v>97</v>
      </c>
      <c r="C24" s="37" t="n">
        <f aca="false">SUM(週次_媒体別CP!C24,週次_媒体別CP!C80,週次_媒体別CP!C136,週次_媒体別CP!C192,週次_媒体別CP!C248,週次_媒体別CP!C304,週次_媒体別CP!C360)</f>
        <v>0</v>
      </c>
      <c r="D24" s="13" t="n">
        <f aca="false">SUM(週次_媒体別CP!D24,週次_媒体別CP!D80,週次_媒体別CP!D136,週次_媒体別CP!D192,週次_媒体別CP!D248,週次_媒体別CP!D304,週次_媒体別CP!D360)</f>
        <v>0</v>
      </c>
      <c r="E24" s="13" t="n">
        <f aca="false">SUM(週次_媒体別CP!E24,週次_媒体別CP!E80,週次_媒体別CP!E136,週次_媒体別CP!E192,週次_媒体別CP!E248,週次_媒体別CP!E304,週次_媒体別CP!E360)</f>
        <v>0</v>
      </c>
      <c r="F24" s="13" t="n">
        <f aca="false">SUM(週次_媒体別CP!F24,週次_媒体別CP!F80,週次_媒体別CP!F136,週次_媒体別CP!F192,週次_媒体別CP!F248,週次_媒体別CP!F304,週次_媒体別CP!F360)</f>
        <v>0</v>
      </c>
      <c r="G24" s="37" t="str">
        <f aca="false">IFERROR(C24/D24*1000,"")</f>
        <v/>
      </c>
      <c r="H24" s="15" t="str">
        <f aca="false">IFERROR(E24/D24,"")</f>
        <v/>
      </c>
      <c r="I24" s="37" t="str">
        <f aca="false">IFERROR(C24/E24,"")</f>
        <v/>
      </c>
      <c r="J24" s="15" t="str">
        <f aca="false">IFERROR(F24/E24,"")</f>
        <v/>
      </c>
      <c r="K24" s="37" t="str">
        <f aca="false">IFERROR(C24/F24,"")</f>
        <v/>
      </c>
      <c r="L24" s="13" t="n">
        <f aca="false">SUM(週次_媒体別CP!L24,週次_媒体別CP!L80,週次_媒体別CP!L136,週次_媒体別CP!L192,週次_媒体別CP!L248,週次_媒体別CP!L304,週次_媒体別CP!L360)</f>
        <v>0</v>
      </c>
      <c r="M24" s="15" t="str">
        <f aca="false">IF(F24=0,"",IFERROR(L24/F24,""))</f>
        <v/>
      </c>
      <c r="N24" s="13" t="n">
        <f aca="false">SUM(週次_媒体別CP!N24,週次_媒体別CP!N80,週次_媒体別CP!N136,週次_媒体別CP!N192,週次_媒体別CP!N248,週次_媒体別CP!N304,週次_媒体別CP!N360)</f>
        <v>0</v>
      </c>
      <c r="O24" s="15" t="str">
        <f aca="false">IF(L24=0,"",IFERROR(N24/L24,""))</f>
        <v/>
      </c>
      <c r="P24" s="37" t="str">
        <f aca="false">IF(N24=0,"",C24/N24)</f>
        <v/>
      </c>
      <c r="Q24" s="34" t="str">
        <f aca="false">IF(N24=0,"",IF(C24/N24&lt;=用語集!$B$22,"◎ 許容内","✗ 超過"))</f>
        <v/>
      </c>
      <c r="R24" s="13" t="str">
        <f aca="false">週次_媒体別CP!L417</f>
        <v/>
      </c>
      <c r="S24" s="13" t="n">
        <f aca="false">SUM(L24,R24)</f>
        <v>0</v>
      </c>
      <c r="T24" s="13" t="str">
        <f aca="false">週次_媒体別CP!N417</f>
        <v/>
      </c>
      <c r="U24" s="13" t="n">
        <f aca="false">SUM(N24,T24)</f>
        <v>0</v>
      </c>
      <c r="V24" s="15" t="str">
        <f aca="false">IF(S24=0,"",IFERROR(U24/S24,""))</f>
        <v/>
      </c>
    </row>
    <row r="25" customFormat="false" ht="15" hidden="false" customHeight="false" outlineLevel="0" collapsed="false">
      <c r="A25" s="34" t="s">
        <v>98</v>
      </c>
      <c r="B25" s="35" t="s">
        <v>99</v>
      </c>
      <c r="C25" s="37" t="n">
        <f aca="false">SUM(週次_媒体別CP!C25,週次_媒体別CP!C81,週次_媒体別CP!C137,週次_媒体別CP!C193,週次_媒体別CP!C249,週次_媒体別CP!C305,週次_媒体別CP!C361)</f>
        <v>0</v>
      </c>
      <c r="D25" s="13" t="n">
        <f aca="false">SUM(週次_媒体別CP!D25,週次_媒体別CP!D81,週次_媒体別CP!D137,週次_媒体別CP!D193,週次_媒体別CP!D249,週次_媒体別CP!D305,週次_媒体別CP!D361)</f>
        <v>0</v>
      </c>
      <c r="E25" s="13" t="n">
        <f aca="false">SUM(週次_媒体別CP!E25,週次_媒体別CP!E81,週次_媒体別CP!E137,週次_媒体別CP!E193,週次_媒体別CP!E249,週次_媒体別CP!E305,週次_媒体別CP!E361)</f>
        <v>0</v>
      </c>
      <c r="F25" s="13" t="n">
        <f aca="false">SUM(週次_媒体別CP!F25,週次_媒体別CP!F81,週次_媒体別CP!F137,週次_媒体別CP!F193,週次_媒体別CP!F249,週次_媒体別CP!F305,週次_媒体別CP!F361)</f>
        <v>0</v>
      </c>
      <c r="G25" s="37" t="str">
        <f aca="false">IFERROR(C25/D25*1000,"")</f>
        <v/>
      </c>
      <c r="H25" s="15" t="str">
        <f aca="false">IFERROR(E25/D25,"")</f>
        <v/>
      </c>
      <c r="I25" s="37" t="str">
        <f aca="false">IFERROR(C25/E25,"")</f>
        <v/>
      </c>
      <c r="J25" s="15" t="str">
        <f aca="false">IFERROR(F25/E25,"")</f>
        <v/>
      </c>
      <c r="K25" s="37" t="str">
        <f aca="false">IFERROR(C25/F25,"")</f>
        <v/>
      </c>
      <c r="L25" s="13" t="n">
        <f aca="false">SUM(週次_媒体別CP!L25,週次_媒体別CP!L81,週次_媒体別CP!L137,週次_媒体別CP!L193,週次_媒体別CP!L249,週次_媒体別CP!L305,週次_媒体別CP!L361)</f>
        <v>0</v>
      </c>
      <c r="M25" s="15" t="str">
        <f aca="false">IF(F25=0,"",IFERROR(L25/F25,""))</f>
        <v/>
      </c>
      <c r="N25" s="13" t="n">
        <f aca="false">SUM(週次_媒体別CP!N25,週次_媒体別CP!N81,週次_媒体別CP!N137,週次_媒体別CP!N193,週次_媒体別CP!N249,週次_媒体別CP!N305,週次_媒体別CP!N361)</f>
        <v>0</v>
      </c>
      <c r="O25" s="15" t="str">
        <f aca="false">IF(L25=0,"",IFERROR(N25/L25,""))</f>
        <v/>
      </c>
      <c r="P25" s="37" t="str">
        <f aca="false">IF(N25=0,"",C25/N25)</f>
        <v/>
      </c>
      <c r="Q25" s="34" t="str">
        <f aca="false">IF(N25=0,"",IF(C25/N25&lt;=用語集!$B$22,"◎ 許容内","✗ 超過"))</f>
        <v/>
      </c>
      <c r="R25" s="13" t="str">
        <f aca="false">週次_媒体別CP!L418</f>
        <v/>
      </c>
      <c r="S25" s="13" t="n">
        <f aca="false">SUM(L25,R25)</f>
        <v>0</v>
      </c>
      <c r="T25" s="13" t="str">
        <f aca="false">週次_媒体別CP!N418</f>
        <v/>
      </c>
      <c r="U25" s="13" t="n">
        <f aca="false">SUM(N25,T25)</f>
        <v>0</v>
      </c>
      <c r="V25" s="15" t="str">
        <f aca="false">IF(S25=0,"",IFERROR(U25/S25,""))</f>
        <v/>
      </c>
    </row>
    <row r="26" customFormat="false" ht="15" hidden="false" customHeight="false" outlineLevel="0" collapsed="false">
      <c r="A26" s="34" t="s">
        <v>100</v>
      </c>
      <c r="B26" s="35" t="s">
        <v>101</v>
      </c>
      <c r="C26" s="37" t="n">
        <f aca="false">SUM(週次_媒体別CP!C26,週次_媒体別CP!C82,週次_媒体別CP!C138,週次_媒体別CP!C194,週次_媒体別CP!C250,週次_媒体別CP!C306,週次_媒体別CP!C362)</f>
        <v>0</v>
      </c>
      <c r="D26" s="13" t="n">
        <f aca="false">SUM(週次_媒体別CP!D26,週次_媒体別CP!D82,週次_媒体別CP!D138,週次_媒体別CP!D194,週次_媒体別CP!D250,週次_媒体別CP!D306,週次_媒体別CP!D362)</f>
        <v>0</v>
      </c>
      <c r="E26" s="13" t="n">
        <f aca="false">SUM(週次_媒体別CP!E26,週次_媒体別CP!E82,週次_媒体別CP!E138,週次_媒体別CP!E194,週次_媒体別CP!E250,週次_媒体別CP!E306,週次_媒体別CP!E362)</f>
        <v>0</v>
      </c>
      <c r="F26" s="13" t="n">
        <f aca="false">SUM(週次_媒体別CP!F26,週次_媒体別CP!F82,週次_媒体別CP!F138,週次_媒体別CP!F194,週次_媒体別CP!F250,週次_媒体別CP!F306,週次_媒体別CP!F362)</f>
        <v>0</v>
      </c>
      <c r="G26" s="37" t="str">
        <f aca="false">IFERROR(C26/D26*1000,"")</f>
        <v/>
      </c>
      <c r="H26" s="15" t="str">
        <f aca="false">IFERROR(E26/D26,"")</f>
        <v/>
      </c>
      <c r="I26" s="37" t="str">
        <f aca="false">IFERROR(C26/E26,"")</f>
        <v/>
      </c>
      <c r="J26" s="15" t="str">
        <f aca="false">IFERROR(F26/E26,"")</f>
        <v/>
      </c>
      <c r="K26" s="37" t="str">
        <f aca="false">IFERROR(C26/F26,"")</f>
        <v/>
      </c>
      <c r="L26" s="13" t="n">
        <f aca="false">SUM(週次_媒体別CP!L26,週次_媒体別CP!L82,週次_媒体別CP!L138,週次_媒体別CP!L194,週次_媒体別CP!L250,週次_媒体別CP!L306,週次_媒体別CP!L362)</f>
        <v>0</v>
      </c>
      <c r="M26" s="15" t="str">
        <f aca="false">IF(F26=0,"",IFERROR(L26/F26,""))</f>
        <v/>
      </c>
      <c r="N26" s="13" t="n">
        <f aca="false">SUM(週次_媒体別CP!N26,週次_媒体別CP!N82,週次_媒体別CP!N138,週次_媒体別CP!N194,週次_媒体別CP!N250,週次_媒体別CP!N306,週次_媒体別CP!N362)</f>
        <v>0</v>
      </c>
      <c r="O26" s="15" t="str">
        <f aca="false">IF(L26=0,"",IFERROR(N26/L26,""))</f>
        <v/>
      </c>
      <c r="P26" s="37" t="str">
        <f aca="false">IF(N26=0,"",C26/N26)</f>
        <v/>
      </c>
      <c r="Q26" s="34" t="str">
        <f aca="false">IF(N26=0,"",IF(C26/N26&lt;=用語集!$B$22,"◎ 許容内","✗ 超過"))</f>
        <v/>
      </c>
      <c r="R26" s="13" t="str">
        <f aca="false">週次_媒体別CP!L419</f>
        <v/>
      </c>
      <c r="S26" s="13" t="n">
        <f aca="false">SUM(L26,R26)</f>
        <v>0</v>
      </c>
      <c r="T26" s="13" t="str">
        <f aca="false">週次_媒体別CP!N419</f>
        <v/>
      </c>
      <c r="U26" s="13" t="n">
        <f aca="false">SUM(N26,T26)</f>
        <v>0</v>
      </c>
      <c r="V26" s="15" t="str">
        <f aca="false">IF(S26=0,"",IFERROR(U26/S26,""))</f>
        <v/>
      </c>
    </row>
    <row r="27" customFormat="false" ht="15" hidden="false" customHeight="false" outlineLevel="0" collapsed="false">
      <c r="A27" s="34" t="s">
        <v>102</v>
      </c>
      <c r="B27" s="35" t="s">
        <v>103</v>
      </c>
      <c r="C27" s="37" t="n">
        <f aca="false">SUM(週次_媒体別CP!C27,週次_媒体別CP!C83,週次_媒体別CP!C139,週次_媒体別CP!C195,週次_媒体別CP!C251,週次_媒体別CP!C307,週次_媒体別CP!C363)</f>
        <v>0</v>
      </c>
      <c r="D27" s="13" t="n">
        <f aca="false">SUM(週次_媒体別CP!D27,週次_媒体別CP!D83,週次_媒体別CP!D139,週次_媒体別CP!D195,週次_媒体別CP!D251,週次_媒体別CP!D307,週次_媒体別CP!D363)</f>
        <v>0</v>
      </c>
      <c r="E27" s="13" t="n">
        <f aca="false">SUM(週次_媒体別CP!E27,週次_媒体別CP!E83,週次_媒体別CP!E139,週次_媒体別CP!E195,週次_媒体別CP!E251,週次_媒体別CP!E307,週次_媒体別CP!E363)</f>
        <v>0</v>
      </c>
      <c r="F27" s="13" t="n">
        <f aca="false">SUM(週次_媒体別CP!F27,週次_媒体別CP!F83,週次_媒体別CP!F139,週次_媒体別CP!F195,週次_媒体別CP!F251,週次_媒体別CP!F307,週次_媒体別CP!F363)</f>
        <v>0</v>
      </c>
      <c r="G27" s="37" t="str">
        <f aca="false">IFERROR(C27/D27*1000,"")</f>
        <v/>
      </c>
      <c r="H27" s="15" t="str">
        <f aca="false">IFERROR(E27/D27,"")</f>
        <v/>
      </c>
      <c r="I27" s="37" t="str">
        <f aca="false">IFERROR(C27/E27,"")</f>
        <v/>
      </c>
      <c r="J27" s="15" t="str">
        <f aca="false">IFERROR(F27/E27,"")</f>
        <v/>
      </c>
      <c r="K27" s="37" t="str">
        <f aca="false">IFERROR(C27/F27,"")</f>
        <v/>
      </c>
      <c r="L27" s="13" t="n">
        <f aca="false">SUM(週次_媒体別CP!L27,週次_媒体別CP!L83,週次_媒体別CP!L139,週次_媒体別CP!L195,週次_媒体別CP!L251,週次_媒体別CP!L307,週次_媒体別CP!L363)</f>
        <v>0</v>
      </c>
      <c r="M27" s="15" t="str">
        <f aca="false">IF(F27=0,"",IFERROR(L27/F27,""))</f>
        <v/>
      </c>
      <c r="N27" s="13" t="n">
        <f aca="false">SUM(週次_媒体別CP!N27,週次_媒体別CP!N83,週次_媒体別CP!N139,週次_媒体別CP!N195,週次_媒体別CP!N251,週次_媒体別CP!N307,週次_媒体別CP!N363)</f>
        <v>0</v>
      </c>
      <c r="O27" s="15" t="str">
        <f aca="false">IF(L27=0,"",IFERROR(N27/L27,""))</f>
        <v/>
      </c>
      <c r="P27" s="37" t="str">
        <f aca="false">IF(N27=0,"",C27/N27)</f>
        <v/>
      </c>
      <c r="Q27" s="34" t="str">
        <f aca="false">IF(N27=0,"",IF(C27/N27&lt;=用語集!$B$22,"◎ 許容内","✗ 超過"))</f>
        <v/>
      </c>
      <c r="R27" s="13" t="str">
        <f aca="false">週次_媒体別CP!L420</f>
        <v/>
      </c>
      <c r="S27" s="13" t="n">
        <f aca="false">SUM(L27,R27)</f>
        <v>0</v>
      </c>
      <c r="T27" s="13" t="str">
        <f aca="false">週次_媒体別CP!N420</f>
        <v/>
      </c>
      <c r="U27" s="13" t="n">
        <f aca="false">SUM(N27,T27)</f>
        <v>0</v>
      </c>
      <c r="V27" s="15" t="str">
        <f aca="false">IF(S27=0,"",IFERROR(U27/S27,""))</f>
        <v/>
      </c>
    </row>
    <row r="28" customFormat="false" ht="15" hidden="false" customHeight="false" outlineLevel="0" collapsed="false">
      <c r="A28" s="34" t="s">
        <v>104</v>
      </c>
      <c r="B28" s="35" t="s">
        <v>105</v>
      </c>
      <c r="C28" s="37" t="n">
        <f aca="false">SUM(週次_媒体別CP!C28,週次_媒体別CP!C84,週次_媒体別CP!C140,週次_媒体別CP!C196,週次_媒体別CP!C252,週次_媒体別CP!C308,週次_媒体別CP!C364)</f>
        <v>0</v>
      </c>
      <c r="D28" s="13" t="n">
        <f aca="false">SUM(週次_媒体別CP!D28,週次_媒体別CP!D84,週次_媒体別CP!D140,週次_媒体別CP!D196,週次_媒体別CP!D252,週次_媒体別CP!D308,週次_媒体別CP!D364)</f>
        <v>0</v>
      </c>
      <c r="E28" s="13" t="n">
        <f aca="false">SUM(週次_媒体別CP!E28,週次_媒体別CP!E84,週次_媒体別CP!E140,週次_媒体別CP!E196,週次_媒体別CP!E252,週次_媒体別CP!E308,週次_媒体別CP!E364)</f>
        <v>0</v>
      </c>
      <c r="F28" s="13" t="n">
        <f aca="false">SUM(週次_媒体別CP!F28,週次_媒体別CP!F84,週次_媒体別CP!F140,週次_媒体別CP!F196,週次_媒体別CP!F252,週次_媒体別CP!F308,週次_媒体別CP!F364)</f>
        <v>0</v>
      </c>
      <c r="G28" s="37" t="str">
        <f aca="false">IFERROR(C28/D28*1000,"")</f>
        <v/>
      </c>
      <c r="H28" s="15" t="str">
        <f aca="false">IFERROR(E28/D28,"")</f>
        <v/>
      </c>
      <c r="I28" s="37" t="str">
        <f aca="false">IFERROR(C28/E28,"")</f>
        <v/>
      </c>
      <c r="J28" s="15" t="str">
        <f aca="false">IFERROR(F28/E28,"")</f>
        <v/>
      </c>
      <c r="K28" s="37" t="str">
        <f aca="false">IFERROR(C28/F28,"")</f>
        <v/>
      </c>
      <c r="L28" s="13" t="n">
        <f aca="false">SUM(週次_媒体別CP!L28,週次_媒体別CP!L84,週次_媒体別CP!L140,週次_媒体別CP!L196,週次_媒体別CP!L252,週次_媒体別CP!L308,週次_媒体別CP!L364)</f>
        <v>0</v>
      </c>
      <c r="M28" s="15" t="str">
        <f aca="false">IF(F28=0,"",IFERROR(L28/F28,""))</f>
        <v/>
      </c>
      <c r="N28" s="13" t="n">
        <f aca="false">SUM(週次_媒体別CP!N28,週次_媒体別CP!N84,週次_媒体別CP!N140,週次_媒体別CP!N196,週次_媒体別CP!N252,週次_媒体別CP!N308,週次_媒体別CP!N364)</f>
        <v>0</v>
      </c>
      <c r="O28" s="15" t="str">
        <f aca="false">IF(L28=0,"",IFERROR(N28/L28,""))</f>
        <v/>
      </c>
      <c r="P28" s="37" t="str">
        <f aca="false">IF(N28=0,"",C28/N28)</f>
        <v/>
      </c>
      <c r="Q28" s="34" t="str">
        <f aca="false">IF(N28=0,"",IF(C28/N28&lt;=用語集!$B$22,"◎ 許容内","✗ 超過"))</f>
        <v/>
      </c>
      <c r="R28" s="13" t="str">
        <f aca="false">週次_媒体別CP!L421</f>
        <v/>
      </c>
      <c r="S28" s="13" t="n">
        <f aca="false">SUM(L28,R28)</f>
        <v>0</v>
      </c>
      <c r="T28" s="13" t="str">
        <f aca="false">週次_媒体別CP!N421</f>
        <v/>
      </c>
      <c r="U28" s="13" t="n">
        <f aca="false">SUM(N28,T28)</f>
        <v>0</v>
      </c>
      <c r="V28" s="15" t="str">
        <f aca="false">IF(S28=0,"",IFERROR(U28/S28,""))</f>
        <v/>
      </c>
    </row>
    <row r="29" customFormat="false" ht="15" hidden="false" customHeight="false" outlineLevel="0" collapsed="false">
      <c r="A29" s="34" t="s">
        <v>106</v>
      </c>
      <c r="B29" s="35" t="s">
        <v>107</v>
      </c>
      <c r="C29" s="37" t="n">
        <f aca="false">SUM(週次_媒体別CP!C29,週次_媒体別CP!C85,週次_媒体別CP!C141,週次_媒体別CP!C197,週次_媒体別CP!C253,週次_媒体別CP!C309,週次_媒体別CP!C365)</f>
        <v>0</v>
      </c>
      <c r="D29" s="13" t="n">
        <f aca="false">SUM(週次_媒体別CP!D29,週次_媒体別CP!D85,週次_媒体別CP!D141,週次_媒体別CP!D197,週次_媒体別CP!D253,週次_媒体別CP!D309,週次_媒体別CP!D365)</f>
        <v>0</v>
      </c>
      <c r="E29" s="13" t="n">
        <f aca="false">SUM(週次_媒体別CP!E29,週次_媒体別CP!E85,週次_媒体別CP!E141,週次_媒体別CP!E197,週次_媒体別CP!E253,週次_媒体別CP!E309,週次_媒体別CP!E365)</f>
        <v>0</v>
      </c>
      <c r="F29" s="13" t="n">
        <f aca="false">SUM(週次_媒体別CP!F29,週次_媒体別CP!F85,週次_媒体別CP!F141,週次_媒体別CP!F197,週次_媒体別CP!F253,週次_媒体別CP!F309,週次_媒体別CP!F365)</f>
        <v>0</v>
      </c>
      <c r="G29" s="37" t="str">
        <f aca="false">IFERROR(C29/D29*1000,"")</f>
        <v/>
      </c>
      <c r="H29" s="15" t="str">
        <f aca="false">IFERROR(E29/D29,"")</f>
        <v/>
      </c>
      <c r="I29" s="37" t="str">
        <f aca="false">IFERROR(C29/E29,"")</f>
        <v/>
      </c>
      <c r="J29" s="15" t="str">
        <f aca="false">IFERROR(F29/E29,"")</f>
        <v/>
      </c>
      <c r="K29" s="37" t="str">
        <f aca="false">IFERROR(C29/F29,"")</f>
        <v/>
      </c>
      <c r="L29" s="13" t="n">
        <f aca="false">SUM(週次_媒体別CP!L29,週次_媒体別CP!L85,週次_媒体別CP!L141,週次_媒体別CP!L197,週次_媒体別CP!L253,週次_媒体別CP!L309,週次_媒体別CP!L365)</f>
        <v>0</v>
      </c>
      <c r="M29" s="15" t="str">
        <f aca="false">IF(F29=0,"",IFERROR(L29/F29,""))</f>
        <v/>
      </c>
      <c r="N29" s="13" t="n">
        <f aca="false">SUM(週次_媒体別CP!N29,週次_媒体別CP!N85,週次_媒体別CP!N141,週次_媒体別CP!N197,週次_媒体別CP!N253,週次_媒体別CP!N309,週次_媒体別CP!N365)</f>
        <v>0</v>
      </c>
      <c r="O29" s="15" t="str">
        <f aca="false">IF(L29=0,"",IFERROR(N29/L29,""))</f>
        <v/>
      </c>
      <c r="P29" s="37" t="str">
        <f aca="false">IF(N29=0,"",C29/N29)</f>
        <v/>
      </c>
      <c r="Q29" s="34" t="str">
        <f aca="false">IF(N29=0,"",IF(C29/N29&lt;=用語集!$B$22,"◎ 許容内","✗ 超過"))</f>
        <v/>
      </c>
      <c r="R29" s="13" t="str">
        <f aca="false">週次_媒体別CP!L422</f>
        <v/>
      </c>
      <c r="S29" s="13" t="n">
        <f aca="false">SUM(L29,R29)</f>
        <v>0</v>
      </c>
      <c r="T29" s="13" t="str">
        <f aca="false">週次_媒体別CP!N422</f>
        <v/>
      </c>
      <c r="U29" s="13" t="n">
        <f aca="false">SUM(N29,T29)</f>
        <v>0</v>
      </c>
      <c r="V29" s="15" t="str">
        <f aca="false">IF(S29=0,"",IFERROR(U29/S29,""))</f>
        <v/>
      </c>
    </row>
    <row r="30" customFormat="false" ht="15" hidden="false" customHeight="false" outlineLevel="0" collapsed="false">
      <c r="A30" s="34" t="s">
        <v>108</v>
      </c>
      <c r="B30" s="35" t="s">
        <v>109</v>
      </c>
      <c r="C30" s="37" t="n">
        <f aca="false">SUM(週次_媒体別CP!C30,週次_媒体別CP!C86,週次_媒体別CP!C142,週次_媒体別CP!C198,週次_媒体別CP!C254,週次_媒体別CP!C310,週次_媒体別CP!C366)</f>
        <v>0</v>
      </c>
      <c r="D30" s="13" t="n">
        <f aca="false">SUM(週次_媒体別CP!D30,週次_媒体別CP!D86,週次_媒体別CP!D142,週次_媒体別CP!D198,週次_媒体別CP!D254,週次_媒体別CP!D310,週次_媒体別CP!D366)</f>
        <v>0</v>
      </c>
      <c r="E30" s="13" t="n">
        <f aca="false">SUM(週次_媒体別CP!E30,週次_媒体別CP!E86,週次_媒体別CP!E142,週次_媒体別CP!E198,週次_媒体別CP!E254,週次_媒体別CP!E310,週次_媒体別CP!E366)</f>
        <v>0</v>
      </c>
      <c r="F30" s="13" t="n">
        <f aca="false">SUM(週次_媒体別CP!F30,週次_媒体別CP!F86,週次_媒体別CP!F142,週次_媒体別CP!F198,週次_媒体別CP!F254,週次_媒体別CP!F310,週次_媒体別CP!F366)</f>
        <v>0</v>
      </c>
      <c r="G30" s="37" t="str">
        <f aca="false">IFERROR(C30/D30*1000,"")</f>
        <v/>
      </c>
      <c r="H30" s="15" t="str">
        <f aca="false">IFERROR(E30/D30,"")</f>
        <v/>
      </c>
      <c r="I30" s="37" t="str">
        <f aca="false">IFERROR(C30/E30,"")</f>
        <v/>
      </c>
      <c r="J30" s="15" t="str">
        <f aca="false">IFERROR(F30/E30,"")</f>
        <v/>
      </c>
      <c r="K30" s="37" t="str">
        <f aca="false">IFERROR(C30/F30,"")</f>
        <v/>
      </c>
      <c r="L30" s="13" t="n">
        <f aca="false">SUM(週次_媒体別CP!L30,週次_媒体別CP!L86,週次_媒体別CP!L142,週次_媒体別CP!L198,週次_媒体別CP!L254,週次_媒体別CP!L310,週次_媒体別CP!L366)</f>
        <v>0</v>
      </c>
      <c r="M30" s="15" t="str">
        <f aca="false">IF(F30=0,"",IFERROR(L30/F30,""))</f>
        <v/>
      </c>
      <c r="N30" s="13" t="n">
        <f aca="false">SUM(週次_媒体別CP!N30,週次_媒体別CP!N86,週次_媒体別CP!N142,週次_媒体別CP!N198,週次_媒体別CP!N254,週次_媒体別CP!N310,週次_媒体別CP!N366)</f>
        <v>0</v>
      </c>
      <c r="O30" s="15" t="str">
        <f aca="false">IF(L30=0,"",IFERROR(N30/L30,""))</f>
        <v/>
      </c>
      <c r="P30" s="37" t="str">
        <f aca="false">IF(N30=0,"",C30/N30)</f>
        <v/>
      </c>
      <c r="Q30" s="34" t="str">
        <f aca="false">IF(N30=0,"",IF(C30/N30&lt;=用語集!$B$22,"◎ 許容内","✗ 超過"))</f>
        <v/>
      </c>
      <c r="R30" s="13" t="str">
        <f aca="false">週次_媒体別CP!L423</f>
        <v/>
      </c>
      <c r="S30" s="13" t="n">
        <f aca="false">SUM(L30,R30)</f>
        <v>0</v>
      </c>
      <c r="T30" s="13" t="str">
        <f aca="false">週次_媒体別CP!N423</f>
        <v/>
      </c>
      <c r="U30" s="13" t="n">
        <f aca="false">SUM(N30,T30)</f>
        <v>0</v>
      </c>
      <c r="V30" s="15" t="str">
        <f aca="false">IF(S30=0,"",IFERROR(U30/S30,""))</f>
        <v/>
      </c>
    </row>
    <row r="31" customFormat="false" ht="15" hidden="false" customHeight="false" outlineLevel="0" collapsed="false">
      <c r="A31" s="34" t="s">
        <v>110</v>
      </c>
      <c r="B31" s="35" t="s">
        <v>111</v>
      </c>
      <c r="C31" s="37" t="n">
        <f aca="false">SUM(週次_媒体別CP!C31,週次_媒体別CP!C87,週次_媒体別CP!C143,週次_媒体別CP!C199,週次_媒体別CP!C255,週次_媒体別CP!C311,週次_媒体別CP!C367)</f>
        <v>0</v>
      </c>
      <c r="D31" s="13" t="n">
        <f aca="false">SUM(週次_媒体別CP!D31,週次_媒体別CP!D87,週次_媒体別CP!D143,週次_媒体別CP!D199,週次_媒体別CP!D255,週次_媒体別CP!D311,週次_媒体別CP!D367)</f>
        <v>0</v>
      </c>
      <c r="E31" s="13" t="n">
        <f aca="false">SUM(週次_媒体別CP!E31,週次_媒体別CP!E87,週次_媒体別CP!E143,週次_媒体別CP!E199,週次_媒体別CP!E255,週次_媒体別CP!E311,週次_媒体別CP!E367)</f>
        <v>0</v>
      </c>
      <c r="F31" s="13" t="n">
        <f aca="false">SUM(週次_媒体別CP!F31,週次_媒体別CP!F87,週次_媒体別CP!F143,週次_媒体別CP!F199,週次_媒体別CP!F255,週次_媒体別CP!F311,週次_媒体別CP!F367)</f>
        <v>0</v>
      </c>
      <c r="G31" s="37" t="str">
        <f aca="false">IFERROR(C31/D31*1000,"")</f>
        <v/>
      </c>
      <c r="H31" s="15" t="str">
        <f aca="false">IFERROR(E31/D31,"")</f>
        <v/>
      </c>
      <c r="I31" s="37" t="str">
        <f aca="false">IFERROR(C31/E31,"")</f>
        <v/>
      </c>
      <c r="J31" s="15" t="str">
        <f aca="false">IFERROR(F31/E31,"")</f>
        <v/>
      </c>
      <c r="K31" s="37" t="str">
        <f aca="false">IFERROR(C31/F31,"")</f>
        <v/>
      </c>
      <c r="L31" s="13" t="n">
        <f aca="false">SUM(週次_媒体別CP!L31,週次_媒体別CP!L87,週次_媒体別CP!L143,週次_媒体別CP!L199,週次_媒体別CP!L255,週次_媒体別CP!L311,週次_媒体別CP!L367)</f>
        <v>0</v>
      </c>
      <c r="M31" s="15" t="str">
        <f aca="false">IF(F31=0,"",IFERROR(L31/F31,""))</f>
        <v/>
      </c>
      <c r="N31" s="13" t="n">
        <f aca="false">SUM(週次_媒体別CP!N31,週次_媒体別CP!N87,週次_媒体別CP!N143,週次_媒体別CP!N199,週次_媒体別CP!N255,週次_媒体別CP!N311,週次_媒体別CP!N367)</f>
        <v>0</v>
      </c>
      <c r="O31" s="15" t="str">
        <f aca="false">IF(L31=0,"",IFERROR(N31/L31,""))</f>
        <v/>
      </c>
      <c r="P31" s="37" t="str">
        <f aca="false">IF(N31=0,"",C31/N31)</f>
        <v/>
      </c>
      <c r="Q31" s="34" t="str">
        <f aca="false">IF(N31=0,"",IF(C31/N31&lt;=用語集!$B$22,"◎ 許容内","✗ 超過"))</f>
        <v/>
      </c>
      <c r="R31" s="13" t="str">
        <f aca="false">週次_媒体別CP!L424</f>
        <v/>
      </c>
      <c r="S31" s="13" t="n">
        <f aca="false">SUM(L31,R31)</f>
        <v>0</v>
      </c>
      <c r="T31" s="13" t="str">
        <f aca="false">週次_媒体別CP!N424</f>
        <v/>
      </c>
      <c r="U31" s="13" t="n">
        <f aca="false">SUM(N31,T31)</f>
        <v>0</v>
      </c>
      <c r="V31" s="15" t="str">
        <f aca="false">IF(S31=0,"",IFERROR(U31/S31,""))</f>
        <v/>
      </c>
    </row>
    <row r="32" customFormat="false" ht="15" hidden="false" customHeight="false" outlineLevel="0" collapsed="false">
      <c r="A32" s="34" t="s">
        <v>112</v>
      </c>
      <c r="B32" s="35" t="s">
        <v>113</v>
      </c>
      <c r="C32" s="37" t="n">
        <f aca="false">SUM(週次_媒体別CP!C32,週次_媒体別CP!C88,週次_媒体別CP!C144,週次_媒体別CP!C200,週次_媒体別CP!C256,週次_媒体別CP!C312,週次_媒体別CP!C368)</f>
        <v>0</v>
      </c>
      <c r="D32" s="13" t="n">
        <f aca="false">SUM(週次_媒体別CP!D32,週次_媒体別CP!D88,週次_媒体別CP!D144,週次_媒体別CP!D200,週次_媒体別CP!D256,週次_媒体別CP!D312,週次_媒体別CP!D368)</f>
        <v>0</v>
      </c>
      <c r="E32" s="13" t="n">
        <f aca="false">SUM(週次_媒体別CP!E32,週次_媒体別CP!E88,週次_媒体別CP!E144,週次_媒体別CP!E200,週次_媒体別CP!E256,週次_媒体別CP!E312,週次_媒体別CP!E368)</f>
        <v>0</v>
      </c>
      <c r="F32" s="13" t="n">
        <f aca="false">SUM(週次_媒体別CP!F32,週次_媒体別CP!F88,週次_媒体別CP!F144,週次_媒体別CP!F200,週次_媒体別CP!F256,週次_媒体別CP!F312,週次_媒体別CP!F368)</f>
        <v>0</v>
      </c>
      <c r="G32" s="37" t="str">
        <f aca="false">IFERROR(C32/D32*1000,"")</f>
        <v/>
      </c>
      <c r="H32" s="15" t="str">
        <f aca="false">IFERROR(E32/D32,"")</f>
        <v/>
      </c>
      <c r="I32" s="37" t="str">
        <f aca="false">IFERROR(C32/E32,"")</f>
        <v/>
      </c>
      <c r="J32" s="15" t="str">
        <f aca="false">IFERROR(F32/E32,"")</f>
        <v/>
      </c>
      <c r="K32" s="37" t="str">
        <f aca="false">IFERROR(C32/F32,"")</f>
        <v/>
      </c>
      <c r="L32" s="13" t="n">
        <f aca="false">SUM(週次_媒体別CP!L32,週次_媒体別CP!L88,週次_媒体別CP!L144,週次_媒体別CP!L200,週次_媒体別CP!L256,週次_媒体別CP!L312,週次_媒体別CP!L368)</f>
        <v>0</v>
      </c>
      <c r="M32" s="15" t="str">
        <f aca="false">IF(F32=0,"",IFERROR(L32/F32,""))</f>
        <v/>
      </c>
      <c r="N32" s="13" t="n">
        <f aca="false">SUM(週次_媒体別CP!N32,週次_媒体別CP!N88,週次_媒体別CP!N144,週次_媒体別CP!N200,週次_媒体別CP!N256,週次_媒体別CP!N312,週次_媒体別CP!N368)</f>
        <v>0</v>
      </c>
      <c r="O32" s="15" t="str">
        <f aca="false">IF(L32=0,"",IFERROR(N32/L32,""))</f>
        <v/>
      </c>
      <c r="P32" s="37" t="str">
        <f aca="false">IF(N32=0,"",C32/N32)</f>
        <v/>
      </c>
      <c r="Q32" s="34" t="str">
        <f aca="false">IF(N32=0,"",IF(C32/N32&lt;=用語集!$B$22,"◎ 許容内","✗ 超過"))</f>
        <v/>
      </c>
      <c r="R32" s="13" t="str">
        <f aca="false">週次_媒体別CP!L425</f>
        <v/>
      </c>
      <c r="S32" s="13" t="n">
        <f aca="false">SUM(L32,R32)</f>
        <v>0</v>
      </c>
      <c r="T32" s="13" t="str">
        <f aca="false">週次_媒体別CP!N425</f>
        <v/>
      </c>
      <c r="U32" s="13" t="n">
        <f aca="false">SUM(N32,T32)</f>
        <v>0</v>
      </c>
      <c r="V32" s="15" t="str">
        <f aca="false">IF(S32=0,"",IFERROR(U32/S32,""))</f>
        <v/>
      </c>
    </row>
    <row r="33" customFormat="false" ht="15" hidden="false" customHeight="false" outlineLevel="0" collapsed="false">
      <c r="A33" s="34" t="s">
        <v>114</v>
      </c>
      <c r="B33" s="35" t="s">
        <v>115</v>
      </c>
      <c r="C33" s="37" t="n">
        <f aca="false">SUM(週次_媒体別CP!C33,週次_媒体別CP!C89,週次_媒体別CP!C145,週次_媒体別CP!C201,週次_媒体別CP!C257,週次_媒体別CP!C313,週次_媒体別CP!C369)</f>
        <v>0</v>
      </c>
      <c r="D33" s="13" t="n">
        <f aca="false">SUM(週次_媒体別CP!D33,週次_媒体別CP!D89,週次_媒体別CP!D145,週次_媒体別CP!D201,週次_媒体別CP!D257,週次_媒体別CP!D313,週次_媒体別CP!D369)</f>
        <v>0</v>
      </c>
      <c r="E33" s="13" t="n">
        <f aca="false">SUM(週次_媒体別CP!E33,週次_媒体別CP!E89,週次_媒体別CP!E145,週次_媒体別CP!E201,週次_媒体別CP!E257,週次_媒体別CP!E313,週次_媒体別CP!E369)</f>
        <v>0</v>
      </c>
      <c r="F33" s="13" t="n">
        <f aca="false">SUM(週次_媒体別CP!F33,週次_媒体別CP!F89,週次_媒体別CP!F145,週次_媒体別CP!F201,週次_媒体別CP!F257,週次_媒体別CP!F313,週次_媒体別CP!F369)</f>
        <v>0</v>
      </c>
      <c r="G33" s="37" t="str">
        <f aca="false">IFERROR(C33/D33*1000,"")</f>
        <v/>
      </c>
      <c r="H33" s="15" t="str">
        <f aca="false">IFERROR(E33/D33,"")</f>
        <v/>
      </c>
      <c r="I33" s="37" t="str">
        <f aca="false">IFERROR(C33/E33,"")</f>
        <v/>
      </c>
      <c r="J33" s="15" t="str">
        <f aca="false">IFERROR(F33/E33,"")</f>
        <v/>
      </c>
      <c r="K33" s="37" t="str">
        <f aca="false">IFERROR(C33/F33,"")</f>
        <v/>
      </c>
      <c r="L33" s="13" t="n">
        <f aca="false">SUM(週次_媒体別CP!L33,週次_媒体別CP!L89,週次_媒体別CP!L145,週次_媒体別CP!L201,週次_媒体別CP!L257,週次_媒体別CP!L313,週次_媒体別CP!L369)</f>
        <v>0</v>
      </c>
      <c r="M33" s="15" t="str">
        <f aca="false">IF(F33=0,"",IFERROR(L33/F33,""))</f>
        <v/>
      </c>
      <c r="N33" s="13" t="n">
        <f aca="false">SUM(週次_媒体別CP!N33,週次_媒体別CP!N89,週次_媒体別CP!N145,週次_媒体別CP!N201,週次_媒体別CP!N257,週次_媒体別CP!N313,週次_媒体別CP!N369)</f>
        <v>0</v>
      </c>
      <c r="O33" s="15" t="str">
        <f aca="false">IF(L33=0,"",IFERROR(N33/L33,""))</f>
        <v/>
      </c>
      <c r="P33" s="37" t="str">
        <f aca="false">IF(N33=0,"",C33/N33)</f>
        <v/>
      </c>
      <c r="Q33" s="34" t="str">
        <f aca="false">IF(N33=0,"",IF(C33/N33&lt;=用語集!$B$22,"◎ 許容内","✗ 超過"))</f>
        <v/>
      </c>
      <c r="R33" s="13" t="str">
        <f aca="false">週次_媒体別CP!L426</f>
        <v/>
      </c>
      <c r="S33" s="13" t="n">
        <f aca="false">SUM(L33,R33)</f>
        <v>0</v>
      </c>
      <c r="T33" s="13" t="str">
        <f aca="false">週次_媒体別CP!N426</f>
        <v/>
      </c>
      <c r="U33" s="13" t="n">
        <f aca="false">SUM(N33,T33)</f>
        <v>0</v>
      </c>
      <c r="V33" s="15" t="str">
        <f aca="false">IF(S33=0,"",IFERROR(U33/S33,""))</f>
        <v/>
      </c>
    </row>
    <row r="34" customFormat="false" ht="15" hidden="false" customHeight="false" outlineLevel="0" collapsed="false">
      <c r="A34" s="34" t="s">
        <v>116</v>
      </c>
      <c r="B34" s="35" t="s">
        <v>117</v>
      </c>
      <c r="C34" s="37" t="n">
        <f aca="false">SUM(週次_媒体別CP!C34,週次_媒体別CP!C90,週次_媒体別CP!C146,週次_媒体別CP!C202,週次_媒体別CP!C258,週次_媒体別CP!C314,週次_媒体別CP!C370)</f>
        <v>0</v>
      </c>
      <c r="D34" s="13" t="n">
        <f aca="false">SUM(週次_媒体別CP!D34,週次_媒体別CP!D90,週次_媒体別CP!D146,週次_媒体別CP!D202,週次_媒体別CP!D258,週次_媒体別CP!D314,週次_媒体別CP!D370)</f>
        <v>0</v>
      </c>
      <c r="E34" s="13" t="n">
        <f aca="false">SUM(週次_媒体別CP!E34,週次_媒体別CP!E90,週次_媒体別CP!E146,週次_媒体別CP!E202,週次_媒体別CP!E258,週次_媒体別CP!E314,週次_媒体別CP!E370)</f>
        <v>0</v>
      </c>
      <c r="F34" s="13" t="n">
        <f aca="false">SUM(週次_媒体別CP!F34,週次_媒体別CP!F90,週次_媒体別CP!F146,週次_媒体別CP!F202,週次_媒体別CP!F258,週次_媒体別CP!F314,週次_媒体別CP!F370)</f>
        <v>0</v>
      </c>
      <c r="G34" s="37" t="str">
        <f aca="false">IFERROR(C34/D34*1000,"")</f>
        <v/>
      </c>
      <c r="H34" s="15" t="str">
        <f aca="false">IFERROR(E34/D34,"")</f>
        <v/>
      </c>
      <c r="I34" s="37" t="str">
        <f aca="false">IFERROR(C34/E34,"")</f>
        <v/>
      </c>
      <c r="J34" s="15" t="str">
        <f aca="false">IFERROR(F34/E34,"")</f>
        <v/>
      </c>
      <c r="K34" s="37" t="str">
        <f aca="false">IFERROR(C34/F34,"")</f>
        <v/>
      </c>
      <c r="L34" s="13" t="n">
        <f aca="false">SUM(週次_媒体別CP!L34,週次_媒体別CP!L90,週次_媒体別CP!L146,週次_媒体別CP!L202,週次_媒体別CP!L258,週次_媒体別CP!L314,週次_媒体別CP!L370)</f>
        <v>0</v>
      </c>
      <c r="M34" s="15" t="str">
        <f aca="false">IF(F34=0,"",IFERROR(L34/F34,""))</f>
        <v/>
      </c>
      <c r="N34" s="13" t="n">
        <f aca="false">SUM(週次_媒体別CP!N34,週次_媒体別CP!N90,週次_媒体別CP!N146,週次_媒体別CP!N202,週次_媒体別CP!N258,週次_媒体別CP!N314,週次_媒体別CP!N370)</f>
        <v>0</v>
      </c>
      <c r="O34" s="15" t="str">
        <f aca="false">IF(L34=0,"",IFERROR(N34/L34,""))</f>
        <v/>
      </c>
      <c r="P34" s="37" t="str">
        <f aca="false">IF(N34=0,"",C34/N34)</f>
        <v/>
      </c>
      <c r="Q34" s="34" t="str">
        <f aca="false">IF(N34=0,"",IF(C34/N34&lt;=用語集!$B$22,"◎ 許容内","✗ 超過"))</f>
        <v/>
      </c>
      <c r="R34" s="13" t="str">
        <f aca="false">週次_媒体別CP!L427</f>
        <v/>
      </c>
      <c r="S34" s="13" t="n">
        <f aca="false">SUM(L34,R34)</f>
        <v>0</v>
      </c>
      <c r="T34" s="13" t="str">
        <f aca="false">週次_媒体別CP!N427</f>
        <v/>
      </c>
      <c r="U34" s="13" t="n">
        <f aca="false">SUM(N34,T34)</f>
        <v>0</v>
      </c>
      <c r="V34" s="15" t="str">
        <f aca="false">IF(S34=0,"",IFERROR(U34/S34,""))</f>
        <v/>
      </c>
    </row>
    <row r="35" customFormat="false" ht="15" hidden="false" customHeight="false" outlineLevel="0" collapsed="false">
      <c r="A35" s="34" t="s">
        <v>118</v>
      </c>
      <c r="B35" s="35" t="s">
        <v>119</v>
      </c>
      <c r="C35" s="37" t="n">
        <f aca="false">SUM(週次_媒体別CP!C35,週次_媒体別CP!C91,週次_媒体別CP!C147,週次_媒体別CP!C203,週次_媒体別CP!C259,週次_媒体別CP!C315,週次_媒体別CP!C371)</f>
        <v>0</v>
      </c>
      <c r="D35" s="13" t="n">
        <f aca="false">SUM(週次_媒体別CP!D35,週次_媒体別CP!D91,週次_媒体別CP!D147,週次_媒体別CP!D203,週次_媒体別CP!D259,週次_媒体別CP!D315,週次_媒体別CP!D371)</f>
        <v>0</v>
      </c>
      <c r="E35" s="13" t="n">
        <f aca="false">SUM(週次_媒体別CP!E35,週次_媒体別CP!E91,週次_媒体別CP!E147,週次_媒体別CP!E203,週次_媒体別CP!E259,週次_媒体別CP!E315,週次_媒体別CP!E371)</f>
        <v>0</v>
      </c>
      <c r="F35" s="13" t="n">
        <f aca="false">SUM(週次_媒体別CP!F35,週次_媒体別CP!F91,週次_媒体別CP!F147,週次_媒体別CP!F203,週次_媒体別CP!F259,週次_媒体別CP!F315,週次_媒体別CP!F371)</f>
        <v>0</v>
      </c>
      <c r="G35" s="37" t="str">
        <f aca="false">IFERROR(C35/D35*1000,"")</f>
        <v/>
      </c>
      <c r="H35" s="15" t="str">
        <f aca="false">IFERROR(E35/D35,"")</f>
        <v/>
      </c>
      <c r="I35" s="37" t="str">
        <f aca="false">IFERROR(C35/E35,"")</f>
        <v/>
      </c>
      <c r="J35" s="15" t="str">
        <f aca="false">IFERROR(F35/E35,"")</f>
        <v/>
      </c>
      <c r="K35" s="37" t="str">
        <f aca="false">IFERROR(C35/F35,"")</f>
        <v/>
      </c>
      <c r="L35" s="13" t="n">
        <f aca="false">SUM(週次_媒体別CP!L35,週次_媒体別CP!L91,週次_媒体別CP!L147,週次_媒体別CP!L203,週次_媒体別CP!L259,週次_媒体別CP!L315,週次_媒体別CP!L371)</f>
        <v>0</v>
      </c>
      <c r="M35" s="15" t="str">
        <f aca="false">IF(F35=0,"",IFERROR(L35/F35,""))</f>
        <v/>
      </c>
      <c r="N35" s="13" t="n">
        <f aca="false">SUM(週次_媒体別CP!N35,週次_媒体別CP!N91,週次_媒体別CP!N147,週次_媒体別CP!N203,週次_媒体別CP!N259,週次_媒体別CP!N315,週次_媒体別CP!N371)</f>
        <v>0</v>
      </c>
      <c r="O35" s="15" t="str">
        <f aca="false">IF(L35=0,"",IFERROR(N35/L35,""))</f>
        <v/>
      </c>
      <c r="P35" s="37" t="str">
        <f aca="false">IF(N35=0,"",C35/N35)</f>
        <v/>
      </c>
      <c r="Q35" s="34" t="str">
        <f aca="false">IF(N35=0,"",IF(C35/N35&lt;=用語集!$B$22,"◎ 許容内","✗ 超過"))</f>
        <v/>
      </c>
      <c r="R35" s="13" t="str">
        <f aca="false">週次_媒体別CP!L428</f>
        <v/>
      </c>
      <c r="S35" s="13" t="n">
        <f aca="false">SUM(L35,R35)</f>
        <v>0</v>
      </c>
      <c r="T35" s="13" t="str">
        <f aca="false">週次_媒体別CP!N428</f>
        <v/>
      </c>
      <c r="U35" s="13" t="n">
        <f aca="false">SUM(N35,T35)</f>
        <v>0</v>
      </c>
      <c r="V35" s="15" t="str">
        <f aca="false">IF(S35=0,"",IFERROR(U35/S35,""))</f>
        <v/>
      </c>
    </row>
    <row r="36" customFormat="false" ht="15" hidden="false" customHeight="false" outlineLevel="0" collapsed="false">
      <c r="A36" s="34" t="s">
        <v>120</v>
      </c>
      <c r="B36" s="35" t="s">
        <v>121</v>
      </c>
      <c r="C36" s="37" t="n">
        <f aca="false">SUM(週次_媒体別CP!C36,週次_媒体別CP!C92,週次_媒体別CP!C148,週次_媒体別CP!C204,週次_媒体別CP!C260,週次_媒体別CP!C316,週次_媒体別CP!C372)</f>
        <v>0</v>
      </c>
      <c r="D36" s="13" t="n">
        <f aca="false">SUM(週次_媒体別CP!D36,週次_媒体別CP!D92,週次_媒体別CP!D148,週次_媒体別CP!D204,週次_媒体別CP!D260,週次_媒体別CP!D316,週次_媒体別CP!D372)</f>
        <v>0</v>
      </c>
      <c r="E36" s="13" t="n">
        <f aca="false">SUM(週次_媒体別CP!E36,週次_媒体別CP!E92,週次_媒体別CP!E148,週次_媒体別CP!E204,週次_媒体別CP!E260,週次_媒体別CP!E316,週次_媒体別CP!E372)</f>
        <v>0</v>
      </c>
      <c r="F36" s="13" t="n">
        <f aca="false">SUM(週次_媒体別CP!F36,週次_媒体別CP!F92,週次_媒体別CP!F148,週次_媒体別CP!F204,週次_媒体別CP!F260,週次_媒体別CP!F316,週次_媒体別CP!F372)</f>
        <v>0</v>
      </c>
      <c r="G36" s="37" t="str">
        <f aca="false">IFERROR(C36/D36*1000,"")</f>
        <v/>
      </c>
      <c r="H36" s="15" t="str">
        <f aca="false">IFERROR(E36/D36,"")</f>
        <v/>
      </c>
      <c r="I36" s="37" t="str">
        <f aca="false">IFERROR(C36/E36,"")</f>
        <v/>
      </c>
      <c r="J36" s="15" t="str">
        <f aca="false">IFERROR(F36/E36,"")</f>
        <v/>
      </c>
      <c r="K36" s="37" t="str">
        <f aca="false">IFERROR(C36/F36,"")</f>
        <v/>
      </c>
      <c r="L36" s="13" t="n">
        <f aca="false">SUM(週次_媒体別CP!L36,週次_媒体別CP!L92,週次_媒体別CP!L148,週次_媒体別CP!L204,週次_媒体別CP!L260,週次_媒体別CP!L316,週次_媒体別CP!L372)</f>
        <v>0</v>
      </c>
      <c r="M36" s="15" t="str">
        <f aca="false">IF(F36=0,"",IFERROR(L36/F36,""))</f>
        <v/>
      </c>
      <c r="N36" s="13" t="n">
        <f aca="false">SUM(週次_媒体別CP!N36,週次_媒体別CP!N92,週次_媒体別CP!N148,週次_媒体別CP!N204,週次_媒体別CP!N260,週次_媒体別CP!N316,週次_媒体別CP!N372)</f>
        <v>0</v>
      </c>
      <c r="O36" s="15" t="str">
        <f aca="false">IF(L36=0,"",IFERROR(N36/L36,""))</f>
        <v/>
      </c>
      <c r="P36" s="37" t="str">
        <f aca="false">IF(N36=0,"",C36/N36)</f>
        <v/>
      </c>
      <c r="Q36" s="34" t="str">
        <f aca="false">IF(N36=0,"",IF(C36/N36&lt;=用語集!$B$22,"◎ 許容内","✗ 超過"))</f>
        <v/>
      </c>
      <c r="R36" s="13" t="str">
        <f aca="false">週次_媒体別CP!L429</f>
        <v/>
      </c>
      <c r="S36" s="13" t="n">
        <f aca="false">SUM(L36,R36)</f>
        <v>0</v>
      </c>
      <c r="T36" s="13" t="str">
        <f aca="false">週次_媒体別CP!N429</f>
        <v/>
      </c>
      <c r="U36" s="13" t="n">
        <f aca="false">SUM(N36,T36)</f>
        <v>0</v>
      </c>
      <c r="V36" s="15" t="str">
        <f aca="false">IF(S36=0,"",IFERROR(U36/S36,""))</f>
        <v/>
      </c>
    </row>
    <row r="37" customFormat="false" ht="15" hidden="false" customHeight="false" outlineLevel="0" collapsed="false">
      <c r="A37" s="34" t="s">
        <v>122</v>
      </c>
      <c r="B37" s="35" t="s">
        <v>123</v>
      </c>
      <c r="C37" s="37" t="n">
        <f aca="false">SUM(週次_媒体別CP!C37,週次_媒体別CP!C93,週次_媒体別CP!C149,週次_媒体別CP!C205,週次_媒体別CP!C261,週次_媒体別CP!C317,週次_媒体別CP!C373)</f>
        <v>0</v>
      </c>
      <c r="D37" s="13" t="n">
        <f aca="false">SUM(週次_媒体別CP!D37,週次_媒体別CP!D93,週次_媒体別CP!D149,週次_媒体別CP!D205,週次_媒体別CP!D261,週次_媒体別CP!D317,週次_媒体別CP!D373)</f>
        <v>0</v>
      </c>
      <c r="E37" s="13" t="n">
        <f aca="false">SUM(週次_媒体別CP!E37,週次_媒体別CP!E93,週次_媒体別CP!E149,週次_媒体別CP!E205,週次_媒体別CP!E261,週次_媒体別CP!E317,週次_媒体別CP!E373)</f>
        <v>0</v>
      </c>
      <c r="F37" s="13" t="n">
        <f aca="false">SUM(週次_媒体別CP!F37,週次_媒体別CP!F93,週次_媒体別CP!F149,週次_媒体別CP!F205,週次_媒体別CP!F261,週次_媒体別CP!F317,週次_媒体別CP!F373)</f>
        <v>0</v>
      </c>
      <c r="G37" s="37" t="str">
        <f aca="false">IFERROR(C37/D37*1000,"")</f>
        <v/>
      </c>
      <c r="H37" s="15" t="str">
        <f aca="false">IFERROR(E37/D37,"")</f>
        <v/>
      </c>
      <c r="I37" s="37" t="str">
        <f aca="false">IFERROR(C37/E37,"")</f>
        <v/>
      </c>
      <c r="J37" s="15" t="str">
        <f aca="false">IFERROR(F37/E37,"")</f>
        <v/>
      </c>
      <c r="K37" s="37" t="str">
        <f aca="false">IFERROR(C37/F37,"")</f>
        <v/>
      </c>
      <c r="L37" s="13" t="n">
        <f aca="false">SUM(週次_媒体別CP!L37,週次_媒体別CP!L93,週次_媒体別CP!L149,週次_媒体別CP!L205,週次_媒体別CP!L261,週次_媒体別CP!L317,週次_媒体別CP!L373)</f>
        <v>0</v>
      </c>
      <c r="M37" s="15" t="str">
        <f aca="false">IF(F37=0,"",IFERROR(L37/F37,""))</f>
        <v/>
      </c>
      <c r="N37" s="13" t="n">
        <f aca="false">SUM(週次_媒体別CP!N37,週次_媒体別CP!N93,週次_媒体別CP!N149,週次_媒体別CP!N205,週次_媒体別CP!N261,週次_媒体別CP!N317,週次_媒体別CP!N373)</f>
        <v>0</v>
      </c>
      <c r="O37" s="15" t="str">
        <f aca="false">IF(L37=0,"",IFERROR(N37/L37,""))</f>
        <v/>
      </c>
      <c r="P37" s="37" t="str">
        <f aca="false">IF(N37=0,"",C37/N37)</f>
        <v/>
      </c>
      <c r="Q37" s="34" t="str">
        <f aca="false">IF(N37=0,"",IF(C37/N37&lt;=用語集!$B$22,"◎ 許容内","✗ 超過"))</f>
        <v/>
      </c>
      <c r="R37" s="13" t="str">
        <f aca="false">週次_媒体別CP!L430</f>
        <v/>
      </c>
      <c r="S37" s="13" t="n">
        <f aca="false">SUM(L37,R37)</f>
        <v>0</v>
      </c>
      <c r="T37" s="13" t="str">
        <f aca="false">週次_媒体別CP!N430</f>
        <v/>
      </c>
      <c r="U37" s="13" t="n">
        <f aca="false">SUM(N37,T37)</f>
        <v>0</v>
      </c>
      <c r="V37" s="15" t="str">
        <f aca="false">IF(S37=0,"",IFERROR(U37/S37,""))</f>
        <v/>
      </c>
    </row>
    <row r="38" customFormat="false" ht="15" hidden="false" customHeight="false" outlineLevel="0" collapsed="false">
      <c r="A38" s="34" t="s">
        <v>124</v>
      </c>
      <c r="B38" s="35" t="s">
        <v>125</v>
      </c>
      <c r="C38" s="37" t="n">
        <f aca="false">SUM(週次_媒体別CP!C38,週次_媒体別CP!C94,週次_媒体別CP!C150,週次_媒体別CP!C206,週次_媒体別CP!C262,週次_媒体別CP!C318,週次_媒体別CP!C374)</f>
        <v>0</v>
      </c>
      <c r="D38" s="13" t="n">
        <f aca="false">SUM(週次_媒体別CP!D38,週次_媒体別CP!D94,週次_媒体別CP!D150,週次_媒体別CP!D206,週次_媒体別CP!D262,週次_媒体別CP!D318,週次_媒体別CP!D374)</f>
        <v>0</v>
      </c>
      <c r="E38" s="13" t="n">
        <f aca="false">SUM(週次_媒体別CP!E38,週次_媒体別CP!E94,週次_媒体別CP!E150,週次_媒体別CP!E206,週次_媒体別CP!E262,週次_媒体別CP!E318,週次_媒体別CP!E374)</f>
        <v>0</v>
      </c>
      <c r="F38" s="13" t="n">
        <f aca="false">SUM(週次_媒体別CP!F38,週次_媒体別CP!F94,週次_媒体別CP!F150,週次_媒体別CP!F206,週次_媒体別CP!F262,週次_媒体別CP!F318,週次_媒体別CP!F374)</f>
        <v>0</v>
      </c>
      <c r="G38" s="37" t="str">
        <f aca="false">IFERROR(C38/D38*1000,"")</f>
        <v/>
      </c>
      <c r="H38" s="15" t="str">
        <f aca="false">IFERROR(E38/D38,"")</f>
        <v/>
      </c>
      <c r="I38" s="37" t="str">
        <f aca="false">IFERROR(C38/E38,"")</f>
        <v/>
      </c>
      <c r="J38" s="15" t="str">
        <f aca="false">IFERROR(F38/E38,"")</f>
        <v/>
      </c>
      <c r="K38" s="37" t="str">
        <f aca="false">IFERROR(C38/F38,"")</f>
        <v/>
      </c>
      <c r="L38" s="13" t="n">
        <f aca="false">SUM(週次_媒体別CP!L38,週次_媒体別CP!L94,週次_媒体別CP!L150,週次_媒体別CP!L206,週次_媒体別CP!L262,週次_媒体別CP!L318,週次_媒体別CP!L374)</f>
        <v>0</v>
      </c>
      <c r="M38" s="15" t="str">
        <f aca="false">IF(F38=0,"",IFERROR(L38/F38,""))</f>
        <v/>
      </c>
      <c r="N38" s="13" t="n">
        <f aca="false">SUM(週次_媒体別CP!N38,週次_媒体別CP!N94,週次_媒体別CP!N150,週次_媒体別CP!N206,週次_媒体別CP!N262,週次_媒体別CP!N318,週次_媒体別CP!N374)</f>
        <v>0</v>
      </c>
      <c r="O38" s="15" t="str">
        <f aca="false">IF(L38=0,"",IFERROR(N38/L38,""))</f>
        <v/>
      </c>
      <c r="P38" s="37" t="str">
        <f aca="false">IF(N38=0,"",C38/N38)</f>
        <v/>
      </c>
      <c r="Q38" s="34" t="str">
        <f aca="false">IF(N38=0,"",IF(C38/N38&lt;=用語集!$B$22,"◎ 許容内","✗ 超過"))</f>
        <v/>
      </c>
      <c r="R38" s="13" t="str">
        <f aca="false">週次_媒体別CP!L431</f>
        <v/>
      </c>
      <c r="S38" s="13" t="n">
        <f aca="false">SUM(L38,R38)</f>
        <v>0</v>
      </c>
      <c r="T38" s="13" t="str">
        <f aca="false">週次_媒体別CP!N431</f>
        <v/>
      </c>
      <c r="U38" s="13" t="n">
        <f aca="false">SUM(N38,T38)</f>
        <v>0</v>
      </c>
      <c r="V38" s="15" t="str">
        <f aca="false">IF(S38=0,"",IFERROR(U38/S38,""))</f>
        <v/>
      </c>
    </row>
    <row r="39" customFormat="false" ht="15" hidden="false" customHeight="false" outlineLevel="0" collapsed="false">
      <c r="A39" s="34" t="s">
        <v>126</v>
      </c>
      <c r="B39" s="35" t="s">
        <v>127</v>
      </c>
      <c r="C39" s="37" t="n">
        <f aca="false">SUM(週次_媒体別CP!C39,週次_媒体別CP!C95,週次_媒体別CP!C151,週次_媒体別CP!C207,週次_媒体別CP!C263,週次_媒体別CP!C319,週次_媒体別CP!C375)</f>
        <v>0</v>
      </c>
      <c r="D39" s="13" t="n">
        <f aca="false">SUM(週次_媒体別CP!D39,週次_媒体別CP!D95,週次_媒体別CP!D151,週次_媒体別CP!D207,週次_媒体別CP!D263,週次_媒体別CP!D319,週次_媒体別CP!D375)</f>
        <v>0</v>
      </c>
      <c r="E39" s="13" t="n">
        <f aca="false">SUM(週次_媒体別CP!E39,週次_媒体別CP!E95,週次_媒体別CP!E151,週次_媒体別CP!E207,週次_媒体別CP!E263,週次_媒体別CP!E319,週次_媒体別CP!E375)</f>
        <v>0</v>
      </c>
      <c r="F39" s="13" t="n">
        <f aca="false">SUM(週次_媒体別CP!F39,週次_媒体別CP!F95,週次_媒体別CP!F151,週次_媒体別CP!F207,週次_媒体別CP!F263,週次_媒体別CP!F319,週次_媒体別CP!F375)</f>
        <v>0</v>
      </c>
      <c r="G39" s="37" t="str">
        <f aca="false">IFERROR(C39/D39*1000,"")</f>
        <v/>
      </c>
      <c r="H39" s="15" t="str">
        <f aca="false">IFERROR(E39/D39,"")</f>
        <v/>
      </c>
      <c r="I39" s="37" t="str">
        <f aca="false">IFERROR(C39/E39,"")</f>
        <v/>
      </c>
      <c r="J39" s="15" t="str">
        <f aca="false">IFERROR(F39/E39,"")</f>
        <v/>
      </c>
      <c r="K39" s="37" t="str">
        <f aca="false">IFERROR(C39/F39,"")</f>
        <v/>
      </c>
      <c r="L39" s="13" t="n">
        <f aca="false">SUM(週次_媒体別CP!L39,週次_媒体別CP!L95,週次_媒体別CP!L151,週次_媒体別CP!L207,週次_媒体別CP!L263,週次_媒体別CP!L319,週次_媒体別CP!L375)</f>
        <v>0</v>
      </c>
      <c r="M39" s="15" t="str">
        <f aca="false">IF(F39=0,"",IFERROR(L39/F39,""))</f>
        <v/>
      </c>
      <c r="N39" s="13" t="n">
        <f aca="false">SUM(週次_媒体別CP!N39,週次_媒体別CP!N95,週次_媒体別CP!N151,週次_媒体別CP!N207,週次_媒体別CP!N263,週次_媒体別CP!N319,週次_媒体別CP!N375)</f>
        <v>0</v>
      </c>
      <c r="O39" s="15" t="str">
        <f aca="false">IF(L39=0,"",IFERROR(N39/L39,""))</f>
        <v/>
      </c>
      <c r="P39" s="37" t="str">
        <f aca="false">IF(N39=0,"",C39/N39)</f>
        <v/>
      </c>
      <c r="Q39" s="34" t="str">
        <f aca="false">IF(N39=0,"",IF(C39/N39&lt;=用語集!$B$22,"◎ 許容内","✗ 超過"))</f>
        <v/>
      </c>
      <c r="R39" s="13" t="str">
        <f aca="false">週次_媒体別CP!L432</f>
        <v/>
      </c>
      <c r="S39" s="13" t="n">
        <f aca="false">SUM(L39,R39)</f>
        <v>0</v>
      </c>
      <c r="T39" s="13" t="str">
        <f aca="false">週次_媒体別CP!N432</f>
        <v/>
      </c>
      <c r="U39" s="13" t="n">
        <f aca="false">SUM(N39,T39)</f>
        <v>0</v>
      </c>
      <c r="V39" s="15" t="str">
        <f aca="false">IF(S39=0,"",IFERROR(U39/S39,""))</f>
        <v/>
      </c>
    </row>
    <row r="40" customFormat="false" ht="15" hidden="false" customHeight="false" outlineLevel="0" collapsed="false">
      <c r="A40" s="34" t="s">
        <v>128</v>
      </c>
      <c r="B40" s="35" t="s">
        <v>129</v>
      </c>
      <c r="C40" s="37" t="n">
        <f aca="false">SUM(週次_媒体別CP!C40,週次_媒体別CP!C96,週次_媒体別CP!C152,週次_媒体別CP!C208,週次_媒体別CP!C264,週次_媒体別CP!C320,週次_媒体別CP!C376)</f>
        <v>0</v>
      </c>
      <c r="D40" s="13" t="n">
        <f aca="false">SUM(週次_媒体別CP!D40,週次_媒体別CP!D96,週次_媒体別CP!D152,週次_媒体別CP!D208,週次_媒体別CP!D264,週次_媒体別CP!D320,週次_媒体別CP!D376)</f>
        <v>0</v>
      </c>
      <c r="E40" s="13" t="n">
        <f aca="false">SUM(週次_媒体別CP!E40,週次_媒体別CP!E96,週次_媒体別CP!E152,週次_媒体別CP!E208,週次_媒体別CP!E264,週次_媒体別CP!E320,週次_媒体別CP!E376)</f>
        <v>0</v>
      </c>
      <c r="F40" s="13" t="n">
        <f aca="false">SUM(週次_媒体別CP!F40,週次_媒体別CP!F96,週次_媒体別CP!F152,週次_媒体別CP!F208,週次_媒体別CP!F264,週次_媒体別CP!F320,週次_媒体別CP!F376)</f>
        <v>0</v>
      </c>
      <c r="G40" s="37" t="str">
        <f aca="false">IFERROR(C40/D40*1000,"")</f>
        <v/>
      </c>
      <c r="H40" s="15" t="str">
        <f aca="false">IFERROR(E40/D40,"")</f>
        <v/>
      </c>
      <c r="I40" s="37" t="str">
        <f aca="false">IFERROR(C40/E40,"")</f>
        <v/>
      </c>
      <c r="J40" s="15" t="str">
        <f aca="false">IFERROR(F40/E40,"")</f>
        <v/>
      </c>
      <c r="K40" s="37" t="str">
        <f aca="false">IFERROR(C40/F40,"")</f>
        <v/>
      </c>
      <c r="L40" s="13" t="n">
        <f aca="false">SUM(週次_媒体別CP!L40,週次_媒体別CP!L96,週次_媒体別CP!L152,週次_媒体別CP!L208,週次_媒体別CP!L264,週次_媒体別CP!L320,週次_媒体別CP!L376)</f>
        <v>0</v>
      </c>
      <c r="M40" s="15" t="str">
        <f aca="false">IF(F40=0,"",IFERROR(L40/F40,""))</f>
        <v/>
      </c>
      <c r="N40" s="13" t="n">
        <f aca="false">SUM(週次_媒体別CP!N40,週次_媒体別CP!N96,週次_媒体別CP!N152,週次_媒体別CP!N208,週次_媒体別CP!N264,週次_媒体別CP!N320,週次_媒体別CP!N376)</f>
        <v>0</v>
      </c>
      <c r="O40" s="15" t="str">
        <f aca="false">IF(L40=0,"",IFERROR(N40/L40,""))</f>
        <v/>
      </c>
      <c r="P40" s="37" t="str">
        <f aca="false">IF(N40=0,"",C40/N40)</f>
        <v/>
      </c>
      <c r="Q40" s="34" t="str">
        <f aca="false">IF(N40=0,"",IF(C40/N40&lt;=用語集!$B$22,"◎ 許容内","✗ 超過"))</f>
        <v/>
      </c>
      <c r="R40" s="13" t="str">
        <f aca="false">週次_媒体別CP!L433</f>
        <v/>
      </c>
      <c r="S40" s="13" t="n">
        <f aca="false">SUM(L40,R40)</f>
        <v>0</v>
      </c>
      <c r="T40" s="13" t="str">
        <f aca="false">週次_媒体別CP!N433</f>
        <v/>
      </c>
      <c r="U40" s="13" t="n">
        <f aca="false">SUM(N40,T40)</f>
        <v>0</v>
      </c>
      <c r="V40" s="15" t="str">
        <f aca="false">IF(S40=0,"",IFERROR(U40/S40,""))</f>
        <v/>
      </c>
    </row>
    <row r="41" customFormat="false" ht="15" hidden="false" customHeight="false" outlineLevel="0" collapsed="false">
      <c r="A41" s="34" t="s">
        <v>130</v>
      </c>
      <c r="B41" s="35" t="s">
        <v>131</v>
      </c>
      <c r="C41" s="37" t="n">
        <f aca="false">SUM(週次_媒体別CP!C41,週次_媒体別CP!C97,週次_媒体別CP!C153,週次_媒体別CP!C209,週次_媒体別CP!C265,週次_媒体別CP!C321,週次_媒体別CP!C377)</f>
        <v>0</v>
      </c>
      <c r="D41" s="13" t="n">
        <f aca="false">SUM(週次_媒体別CP!D41,週次_媒体別CP!D97,週次_媒体別CP!D153,週次_媒体別CP!D209,週次_媒体別CP!D265,週次_媒体別CP!D321,週次_媒体別CP!D377)</f>
        <v>0</v>
      </c>
      <c r="E41" s="13" t="n">
        <f aca="false">SUM(週次_媒体別CP!E41,週次_媒体別CP!E97,週次_媒体別CP!E153,週次_媒体別CP!E209,週次_媒体別CP!E265,週次_媒体別CP!E321,週次_媒体別CP!E377)</f>
        <v>0</v>
      </c>
      <c r="F41" s="13" t="n">
        <f aca="false">SUM(週次_媒体別CP!F41,週次_媒体別CP!F97,週次_媒体別CP!F153,週次_媒体別CP!F209,週次_媒体別CP!F265,週次_媒体別CP!F321,週次_媒体別CP!F377)</f>
        <v>0</v>
      </c>
      <c r="G41" s="37" t="str">
        <f aca="false">IFERROR(C41/D41*1000,"")</f>
        <v/>
      </c>
      <c r="H41" s="15" t="str">
        <f aca="false">IFERROR(E41/D41,"")</f>
        <v/>
      </c>
      <c r="I41" s="37" t="str">
        <f aca="false">IFERROR(C41/E41,"")</f>
        <v/>
      </c>
      <c r="J41" s="15" t="str">
        <f aca="false">IFERROR(F41/E41,"")</f>
        <v/>
      </c>
      <c r="K41" s="37" t="str">
        <f aca="false">IFERROR(C41/F41,"")</f>
        <v/>
      </c>
      <c r="L41" s="13" t="n">
        <f aca="false">SUM(週次_媒体別CP!L41,週次_媒体別CP!L97,週次_媒体別CP!L153,週次_媒体別CP!L209,週次_媒体別CP!L265,週次_媒体別CP!L321,週次_媒体別CP!L377)</f>
        <v>0</v>
      </c>
      <c r="M41" s="15" t="str">
        <f aca="false">IF(F41=0,"",IFERROR(L41/F41,""))</f>
        <v/>
      </c>
      <c r="N41" s="13" t="n">
        <f aca="false">SUM(週次_媒体別CP!N41,週次_媒体別CP!N97,週次_媒体別CP!N153,週次_媒体別CP!N209,週次_媒体別CP!N265,週次_媒体別CP!N321,週次_媒体別CP!N377)</f>
        <v>0</v>
      </c>
      <c r="O41" s="15" t="str">
        <f aca="false">IF(L41=0,"",IFERROR(N41/L41,""))</f>
        <v/>
      </c>
      <c r="P41" s="37" t="str">
        <f aca="false">IF(N41=0,"",C41/N41)</f>
        <v/>
      </c>
      <c r="Q41" s="34" t="str">
        <f aca="false">IF(N41=0,"",IF(C41/N41&lt;=用語集!$B$22,"◎ 許容内","✗ 超過"))</f>
        <v/>
      </c>
      <c r="R41" s="13" t="str">
        <f aca="false">週次_媒体別CP!L434</f>
        <v/>
      </c>
      <c r="S41" s="13" t="n">
        <f aca="false">SUM(L41,R41)</f>
        <v>0</v>
      </c>
      <c r="T41" s="13" t="str">
        <f aca="false">週次_媒体別CP!N434</f>
        <v/>
      </c>
      <c r="U41" s="13" t="n">
        <f aca="false">SUM(N41,T41)</f>
        <v>0</v>
      </c>
      <c r="V41" s="15" t="str">
        <f aca="false">IF(S41=0,"",IFERROR(U41/S41,""))</f>
        <v/>
      </c>
    </row>
    <row r="42" customFormat="false" ht="15" hidden="false" customHeight="false" outlineLevel="0" collapsed="false">
      <c r="A42" s="34" t="s">
        <v>132</v>
      </c>
      <c r="B42" s="35" t="s">
        <v>133</v>
      </c>
      <c r="C42" s="37" t="n">
        <f aca="false">SUM(週次_媒体別CP!C42,週次_媒体別CP!C98,週次_媒体別CP!C154,週次_媒体別CP!C210,週次_媒体別CP!C266,週次_媒体別CP!C322,週次_媒体別CP!C378)</f>
        <v>0</v>
      </c>
      <c r="D42" s="13" t="n">
        <f aca="false">SUM(週次_媒体別CP!D42,週次_媒体別CP!D98,週次_媒体別CP!D154,週次_媒体別CP!D210,週次_媒体別CP!D266,週次_媒体別CP!D322,週次_媒体別CP!D378)</f>
        <v>0</v>
      </c>
      <c r="E42" s="13" t="n">
        <f aca="false">SUM(週次_媒体別CP!E42,週次_媒体別CP!E98,週次_媒体別CP!E154,週次_媒体別CP!E210,週次_媒体別CP!E266,週次_媒体別CP!E322,週次_媒体別CP!E378)</f>
        <v>0</v>
      </c>
      <c r="F42" s="13" t="n">
        <f aca="false">SUM(週次_媒体別CP!F42,週次_媒体別CP!F98,週次_媒体別CP!F154,週次_媒体別CP!F210,週次_媒体別CP!F266,週次_媒体別CP!F322,週次_媒体別CP!F378)</f>
        <v>0</v>
      </c>
      <c r="G42" s="37" t="str">
        <f aca="false">IFERROR(C42/D42*1000,"")</f>
        <v/>
      </c>
      <c r="H42" s="15" t="str">
        <f aca="false">IFERROR(E42/D42,"")</f>
        <v/>
      </c>
      <c r="I42" s="37" t="str">
        <f aca="false">IFERROR(C42/E42,"")</f>
        <v/>
      </c>
      <c r="J42" s="15" t="str">
        <f aca="false">IFERROR(F42/E42,"")</f>
        <v/>
      </c>
      <c r="K42" s="37" t="str">
        <f aca="false">IFERROR(C42/F42,"")</f>
        <v/>
      </c>
      <c r="L42" s="13" t="n">
        <f aca="false">SUM(週次_媒体別CP!L42,週次_媒体別CP!L98,週次_媒体別CP!L154,週次_媒体別CP!L210,週次_媒体別CP!L266,週次_媒体別CP!L322,週次_媒体別CP!L378)</f>
        <v>0</v>
      </c>
      <c r="M42" s="15" t="str">
        <f aca="false">IF(F42=0,"",IFERROR(L42/F42,""))</f>
        <v/>
      </c>
      <c r="N42" s="13" t="n">
        <f aca="false">SUM(週次_媒体別CP!N42,週次_媒体別CP!N98,週次_媒体別CP!N154,週次_媒体別CP!N210,週次_媒体別CP!N266,週次_媒体別CP!N322,週次_媒体別CP!N378)</f>
        <v>0</v>
      </c>
      <c r="O42" s="15" t="str">
        <f aca="false">IF(L42=0,"",IFERROR(N42/L42,""))</f>
        <v/>
      </c>
      <c r="P42" s="37" t="str">
        <f aca="false">IF(N42=0,"",C42/N42)</f>
        <v/>
      </c>
      <c r="Q42" s="34" t="str">
        <f aca="false">IF(N42=0,"",IF(C42/N42&lt;=用語集!$B$22,"◎ 許容内","✗ 超過"))</f>
        <v/>
      </c>
      <c r="R42" s="13" t="str">
        <f aca="false">週次_媒体別CP!L435</f>
        <v/>
      </c>
      <c r="S42" s="13" t="n">
        <f aca="false">SUM(L42,R42)</f>
        <v>0</v>
      </c>
      <c r="T42" s="13" t="str">
        <f aca="false">週次_媒体別CP!N435</f>
        <v/>
      </c>
      <c r="U42" s="13" t="n">
        <f aca="false">SUM(N42,T42)</f>
        <v>0</v>
      </c>
      <c r="V42" s="15" t="str">
        <f aca="false">IF(S42=0,"",IFERROR(U42/S42,""))</f>
        <v/>
      </c>
    </row>
    <row r="43" customFormat="false" ht="15" hidden="false" customHeight="false" outlineLevel="0" collapsed="false">
      <c r="A43" s="34" t="s">
        <v>134</v>
      </c>
      <c r="B43" s="35" t="s">
        <v>135</v>
      </c>
      <c r="C43" s="37" t="n">
        <f aca="false">SUM(週次_媒体別CP!C43,週次_媒体別CP!C99,週次_媒体別CP!C155,週次_媒体別CP!C211,週次_媒体別CP!C267,週次_媒体別CP!C323,週次_媒体別CP!C379)</f>
        <v>0</v>
      </c>
      <c r="D43" s="13" t="n">
        <f aca="false">SUM(週次_媒体別CP!D43,週次_媒体別CP!D99,週次_媒体別CP!D155,週次_媒体別CP!D211,週次_媒体別CP!D267,週次_媒体別CP!D323,週次_媒体別CP!D379)</f>
        <v>0</v>
      </c>
      <c r="E43" s="13" t="n">
        <f aca="false">SUM(週次_媒体別CP!E43,週次_媒体別CP!E99,週次_媒体別CP!E155,週次_媒体別CP!E211,週次_媒体別CP!E267,週次_媒体別CP!E323,週次_媒体別CP!E379)</f>
        <v>0</v>
      </c>
      <c r="F43" s="13" t="n">
        <f aca="false">SUM(週次_媒体別CP!F43,週次_媒体別CP!F99,週次_媒体別CP!F155,週次_媒体別CP!F211,週次_媒体別CP!F267,週次_媒体別CP!F323,週次_媒体別CP!F379)</f>
        <v>0</v>
      </c>
      <c r="G43" s="37" t="str">
        <f aca="false">IFERROR(C43/D43*1000,"")</f>
        <v/>
      </c>
      <c r="H43" s="15" t="str">
        <f aca="false">IFERROR(E43/D43,"")</f>
        <v/>
      </c>
      <c r="I43" s="37" t="str">
        <f aca="false">IFERROR(C43/E43,"")</f>
        <v/>
      </c>
      <c r="J43" s="15" t="str">
        <f aca="false">IFERROR(F43/E43,"")</f>
        <v/>
      </c>
      <c r="K43" s="37" t="str">
        <f aca="false">IFERROR(C43/F43,"")</f>
        <v/>
      </c>
      <c r="L43" s="13" t="n">
        <f aca="false">SUM(週次_媒体別CP!L43,週次_媒体別CP!L99,週次_媒体別CP!L155,週次_媒体別CP!L211,週次_媒体別CP!L267,週次_媒体別CP!L323,週次_媒体別CP!L379)</f>
        <v>0</v>
      </c>
      <c r="M43" s="15" t="str">
        <f aca="false">IF(F43=0,"",IFERROR(L43/F43,""))</f>
        <v/>
      </c>
      <c r="N43" s="13" t="n">
        <f aca="false">SUM(週次_媒体別CP!N43,週次_媒体別CP!N99,週次_媒体別CP!N155,週次_媒体別CP!N211,週次_媒体別CP!N267,週次_媒体別CP!N323,週次_媒体別CP!N379)</f>
        <v>0</v>
      </c>
      <c r="O43" s="15" t="str">
        <f aca="false">IF(L43=0,"",IFERROR(N43/L43,""))</f>
        <v/>
      </c>
      <c r="P43" s="37" t="str">
        <f aca="false">IF(N43=0,"",C43/N43)</f>
        <v/>
      </c>
      <c r="Q43" s="34" t="str">
        <f aca="false">IF(N43=0,"",IF(C43/N43&lt;=用語集!$B$22,"◎ 許容内","✗ 超過"))</f>
        <v/>
      </c>
      <c r="R43" s="13" t="str">
        <f aca="false">週次_媒体別CP!L436</f>
        <v/>
      </c>
      <c r="S43" s="13" t="n">
        <f aca="false">SUM(L43,R43)</f>
        <v>0</v>
      </c>
      <c r="T43" s="13" t="str">
        <f aca="false">週次_媒体別CP!N436</f>
        <v/>
      </c>
      <c r="U43" s="13" t="n">
        <f aca="false">SUM(N43,T43)</f>
        <v>0</v>
      </c>
      <c r="V43" s="15" t="str">
        <f aca="false">IF(S43=0,"",IFERROR(U43/S43,""))</f>
        <v/>
      </c>
    </row>
    <row r="44" customFormat="false" ht="15" hidden="false" customHeight="false" outlineLevel="0" collapsed="false">
      <c r="A44" s="34" t="s">
        <v>136</v>
      </c>
      <c r="B44" s="35" t="s">
        <v>137</v>
      </c>
      <c r="C44" s="37" t="n">
        <f aca="false">SUM(週次_媒体別CP!C44,週次_媒体別CP!C100,週次_媒体別CP!C156,週次_媒体別CP!C212,週次_媒体別CP!C268,週次_媒体別CP!C324,週次_媒体別CP!C380)</f>
        <v>0</v>
      </c>
      <c r="D44" s="13" t="n">
        <f aca="false">SUM(週次_媒体別CP!D44,週次_媒体別CP!D100,週次_媒体別CP!D156,週次_媒体別CP!D212,週次_媒体別CP!D268,週次_媒体別CP!D324,週次_媒体別CP!D380)</f>
        <v>0</v>
      </c>
      <c r="E44" s="13" t="n">
        <f aca="false">SUM(週次_媒体別CP!E44,週次_媒体別CP!E100,週次_媒体別CP!E156,週次_媒体別CP!E212,週次_媒体別CP!E268,週次_媒体別CP!E324,週次_媒体別CP!E380)</f>
        <v>0</v>
      </c>
      <c r="F44" s="13" t="n">
        <f aca="false">SUM(週次_媒体別CP!F44,週次_媒体別CP!F100,週次_媒体別CP!F156,週次_媒体別CP!F212,週次_媒体別CP!F268,週次_媒体別CP!F324,週次_媒体別CP!F380)</f>
        <v>0</v>
      </c>
      <c r="G44" s="37" t="str">
        <f aca="false">IFERROR(C44/D44*1000,"")</f>
        <v/>
      </c>
      <c r="H44" s="15" t="str">
        <f aca="false">IFERROR(E44/D44,"")</f>
        <v/>
      </c>
      <c r="I44" s="37" t="str">
        <f aca="false">IFERROR(C44/E44,"")</f>
        <v/>
      </c>
      <c r="J44" s="15" t="str">
        <f aca="false">IFERROR(F44/E44,"")</f>
        <v/>
      </c>
      <c r="K44" s="37" t="str">
        <f aca="false">IFERROR(C44/F44,"")</f>
        <v/>
      </c>
      <c r="L44" s="13" t="n">
        <f aca="false">SUM(週次_媒体別CP!L44,週次_媒体別CP!L100,週次_媒体別CP!L156,週次_媒体別CP!L212,週次_媒体別CP!L268,週次_媒体別CP!L324,週次_媒体別CP!L380)</f>
        <v>0</v>
      </c>
      <c r="M44" s="15" t="str">
        <f aca="false">IF(F44=0,"",IFERROR(L44/F44,""))</f>
        <v/>
      </c>
      <c r="N44" s="13" t="n">
        <f aca="false">SUM(週次_媒体別CP!N44,週次_媒体別CP!N100,週次_媒体別CP!N156,週次_媒体別CP!N212,週次_媒体別CP!N268,週次_媒体別CP!N324,週次_媒体別CP!N380)</f>
        <v>0</v>
      </c>
      <c r="O44" s="15" t="str">
        <f aca="false">IF(L44=0,"",IFERROR(N44/L44,""))</f>
        <v/>
      </c>
      <c r="P44" s="37" t="str">
        <f aca="false">IF(N44=0,"",C44/N44)</f>
        <v/>
      </c>
      <c r="Q44" s="34" t="str">
        <f aca="false">IF(N44=0,"",IF(C44/N44&lt;=用語集!$B$22,"◎ 許容内","✗ 超過"))</f>
        <v/>
      </c>
      <c r="R44" s="13" t="str">
        <f aca="false">週次_媒体別CP!L437</f>
        <v/>
      </c>
      <c r="S44" s="13" t="n">
        <f aca="false">SUM(L44,R44)</f>
        <v>0</v>
      </c>
      <c r="T44" s="13" t="str">
        <f aca="false">週次_媒体別CP!N437</f>
        <v/>
      </c>
      <c r="U44" s="13" t="n">
        <f aca="false">SUM(N44,T44)</f>
        <v>0</v>
      </c>
      <c r="V44" s="15" t="str">
        <f aca="false">IF(S44=0,"",IFERROR(U44/S44,""))</f>
        <v/>
      </c>
    </row>
    <row r="45" customFormat="false" ht="15" hidden="false" customHeight="false" outlineLevel="0" collapsed="false">
      <c r="A45" s="34" t="s">
        <v>138</v>
      </c>
      <c r="B45" s="35" t="s">
        <v>139</v>
      </c>
      <c r="C45" s="37" t="n">
        <f aca="false">SUM(週次_媒体別CP!C45,週次_媒体別CP!C101,週次_媒体別CP!C157,週次_媒体別CP!C213,週次_媒体別CP!C269,週次_媒体別CP!C325,週次_媒体別CP!C381)</f>
        <v>0</v>
      </c>
      <c r="D45" s="13" t="n">
        <f aca="false">SUM(週次_媒体別CP!D45,週次_媒体別CP!D101,週次_媒体別CP!D157,週次_媒体別CP!D213,週次_媒体別CP!D269,週次_媒体別CP!D325,週次_媒体別CP!D381)</f>
        <v>0</v>
      </c>
      <c r="E45" s="13" t="n">
        <f aca="false">SUM(週次_媒体別CP!E45,週次_媒体別CP!E101,週次_媒体別CP!E157,週次_媒体別CP!E213,週次_媒体別CP!E269,週次_媒体別CP!E325,週次_媒体別CP!E381)</f>
        <v>0</v>
      </c>
      <c r="F45" s="13" t="n">
        <f aca="false">SUM(週次_媒体別CP!F45,週次_媒体別CP!F101,週次_媒体別CP!F157,週次_媒体別CP!F213,週次_媒体別CP!F269,週次_媒体別CP!F325,週次_媒体別CP!F381)</f>
        <v>0</v>
      </c>
      <c r="G45" s="37" t="str">
        <f aca="false">IFERROR(C45/D45*1000,"")</f>
        <v/>
      </c>
      <c r="H45" s="15" t="str">
        <f aca="false">IFERROR(E45/D45,"")</f>
        <v/>
      </c>
      <c r="I45" s="37" t="str">
        <f aca="false">IFERROR(C45/E45,"")</f>
        <v/>
      </c>
      <c r="J45" s="15" t="str">
        <f aca="false">IFERROR(F45/E45,"")</f>
        <v/>
      </c>
      <c r="K45" s="37" t="str">
        <f aca="false">IFERROR(C45/F45,"")</f>
        <v/>
      </c>
      <c r="L45" s="13" t="n">
        <f aca="false">SUM(週次_媒体別CP!L45,週次_媒体別CP!L101,週次_媒体別CP!L157,週次_媒体別CP!L213,週次_媒体別CP!L269,週次_媒体別CP!L325,週次_媒体別CP!L381)</f>
        <v>0</v>
      </c>
      <c r="M45" s="15" t="str">
        <f aca="false">IF(F45=0,"",IFERROR(L45/F45,""))</f>
        <v/>
      </c>
      <c r="N45" s="13" t="n">
        <f aca="false">SUM(週次_媒体別CP!N45,週次_媒体別CP!N101,週次_媒体別CP!N157,週次_媒体別CP!N213,週次_媒体別CP!N269,週次_媒体別CP!N325,週次_媒体別CP!N381)</f>
        <v>0</v>
      </c>
      <c r="O45" s="15" t="str">
        <f aca="false">IF(L45=0,"",IFERROR(N45/L45,""))</f>
        <v/>
      </c>
      <c r="P45" s="37" t="str">
        <f aca="false">IF(N45=0,"",C45/N45)</f>
        <v/>
      </c>
      <c r="Q45" s="34" t="str">
        <f aca="false">IF(N45=0,"",IF(C45/N45&lt;=用語集!$B$22,"◎ 許容内","✗ 超過"))</f>
        <v/>
      </c>
      <c r="R45" s="13" t="str">
        <f aca="false">週次_媒体別CP!L438</f>
        <v/>
      </c>
      <c r="S45" s="13" t="n">
        <f aca="false">SUM(L45,R45)</f>
        <v>0</v>
      </c>
      <c r="T45" s="13" t="str">
        <f aca="false">週次_媒体別CP!N438</f>
        <v/>
      </c>
      <c r="U45" s="13" t="n">
        <f aca="false">SUM(N45,T45)</f>
        <v>0</v>
      </c>
      <c r="V45" s="15" t="str">
        <f aca="false">IF(S45=0,"",IFERROR(U45/S45,""))</f>
        <v/>
      </c>
    </row>
    <row r="46" customFormat="false" ht="15" hidden="false" customHeight="false" outlineLevel="0" collapsed="false">
      <c r="A46" s="34" t="s">
        <v>140</v>
      </c>
      <c r="B46" s="35" t="s">
        <v>141</v>
      </c>
      <c r="C46" s="37" t="n">
        <f aca="false">SUM(週次_媒体別CP!C46,週次_媒体別CP!C102,週次_媒体別CP!C158,週次_媒体別CP!C214,週次_媒体別CP!C270,週次_媒体別CP!C326,週次_媒体別CP!C382)</f>
        <v>0</v>
      </c>
      <c r="D46" s="13" t="n">
        <f aca="false">SUM(週次_媒体別CP!D46,週次_媒体別CP!D102,週次_媒体別CP!D158,週次_媒体別CP!D214,週次_媒体別CP!D270,週次_媒体別CP!D326,週次_媒体別CP!D382)</f>
        <v>0</v>
      </c>
      <c r="E46" s="13" t="n">
        <f aca="false">SUM(週次_媒体別CP!E46,週次_媒体別CP!E102,週次_媒体別CP!E158,週次_媒体別CP!E214,週次_媒体別CP!E270,週次_媒体別CP!E326,週次_媒体別CP!E382)</f>
        <v>0</v>
      </c>
      <c r="F46" s="13" t="n">
        <f aca="false">SUM(週次_媒体別CP!F46,週次_媒体別CP!F102,週次_媒体別CP!F158,週次_媒体別CP!F214,週次_媒体別CP!F270,週次_媒体別CP!F326,週次_媒体別CP!F382)</f>
        <v>0</v>
      </c>
      <c r="G46" s="37" t="str">
        <f aca="false">IFERROR(C46/D46*1000,"")</f>
        <v/>
      </c>
      <c r="H46" s="15" t="str">
        <f aca="false">IFERROR(E46/D46,"")</f>
        <v/>
      </c>
      <c r="I46" s="37" t="str">
        <f aca="false">IFERROR(C46/E46,"")</f>
        <v/>
      </c>
      <c r="J46" s="15" t="str">
        <f aca="false">IFERROR(F46/E46,"")</f>
        <v/>
      </c>
      <c r="K46" s="37" t="str">
        <f aca="false">IFERROR(C46/F46,"")</f>
        <v/>
      </c>
      <c r="L46" s="13" t="n">
        <f aca="false">SUM(週次_媒体別CP!L46,週次_媒体別CP!L102,週次_媒体別CP!L158,週次_媒体別CP!L214,週次_媒体別CP!L270,週次_媒体別CP!L326,週次_媒体別CP!L382)</f>
        <v>0</v>
      </c>
      <c r="M46" s="15" t="str">
        <f aca="false">IF(F46=0,"",IFERROR(L46/F46,""))</f>
        <v/>
      </c>
      <c r="N46" s="13" t="n">
        <f aca="false">SUM(週次_媒体別CP!N46,週次_媒体別CP!N102,週次_媒体別CP!N158,週次_媒体別CP!N214,週次_媒体別CP!N270,週次_媒体別CP!N326,週次_媒体別CP!N382)</f>
        <v>0</v>
      </c>
      <c r="O46" s="15" t="str">
        <f aca="false">IF(L46=0,"",IFERROR(N46/L46,""))</f>
        <v/>
      </c>
      <c r="P46" s="37" t="str">
        <f aca="false">IF(N46=0,"",C46/N46)</f>
        <v/>
      </c>
      <c r="Q46" s="34" t="str">
        <f aca="false">IF(N46=0,"",IF(C46/N46&lt;=用語集!$B$22,"◎ 許容内","✗ 超過"))</f>
        <v/>
      </c>
      <c r="R46" s="13" t="str">
        <f aca="false">週次_媒体別CP!L439</f>
        <v/>
      </c>
      <c r="S46" s="13" t="n">
        <f aca="false">SUM(L46,R46)</f>
        <v>0</v>
      </c>
      <c r="T46" s="13" t="str">
        <f aca="false">週次_媒体別CP!N439</f>
        <v/>
      </c>
      <c r="U46" s="13" t="n">
        <f aca="false">SUM(N46,T46)</f>
        <v>0</v>
      </c>
      <c r="V46" s="15" t="str">
        <f aca="false">IF(S46=0,"",IFERROR(U46/S46,""))</f>
        <v/>
      </c>
    </row>
    <row r="47" customFormat="false" ht="15" hidden="false" customHeight="false" outlineLevel="0" collapsed="false">
      <c r="A47" s="34" t="s">
        <v>142</v>
      </c>
      <c r="B47" s="35" t="s">
        <v>143</v>
      </c>
      <c r="C47" s="37" t="n">
        <f aca="false">SUM(週次_媒体別CP!C47,週次_媒体別CP!C103,週次_媒体別CP!C159,週次_媒体別CP!C215,週次_媒体別CP!C271,週次_媒体別CP!C327,週次_媒体別CP!C383)</f>
        <v>0</v>
      </c>
      <c r="D47" s="13" t="n">
        <f aca="false">SUM(週次_媒体別CP!D47,週次_媒体別CP!D103,週次_媒体別CP!D159,週次_媒体別CP!D215,週次_媒体別CP!D271,週次_媒体別CP!D327,週次_媒体別CP!D383)</f>
        <v>0</v>
      </c>
      <c r="E47" s="13" t="n">
        <f aca="false">SUM(週次_媒体別CP!E47,週次_媒体別CP!E103,週次_媒体別CP!E159,週次_媒体別CP!E215,週次_媒体別CP!E271,週次_媒体別CP!E327,週次_媒体別CP!E383)</f>
        <v>0</v>
      </c>
      <c r="F47" s="13" t="n">
        <f aca="false">SUM(週次_媒体別CP!F47,週次_媒体別CP!F103,週次_媒体別CP!F159,週次_媒体別CP!F215,週次_媒体別CP!F271,週次_媒体別CP!F327,週次_媒体別CP!F383)</f>
        <v>0</v>
      </c>
      <c r="G47" s="37" t="str">
        <f aca="false">IFERROR(C47/D47*1000,"")</f>
        <v/>
      </c>
      <c r="H47" s="15" t="str">
        <f aca="false">IFERROR(E47/D47,"")</f>
        <v/>
      </c>
      <c r="I47" s="37" t="str">
        <f aca="false">IFERROR(C47/E47,"")</f>
        <v/>
      </c>
      <c r="J47" s="15" t="str">
        <f aca="false">IFERROR(F47/E47,"")</f>
        <v/>
      </c>
      <c r="K47" s="37" t="str">
        <f aca="false">IFERROR(C47/F47,"")</f>
        <v/>
      </c>
      <c r="L47" s="13" t="n">
        <f aca="false">SUM(週次_媒体別CP!L47,週次_媒体別CP!L103,週次_媒体別CP!L159,週次_媒体別CP!L215,週次_媒体別CP!L271,週次_媒体別CP!L327,週次_媒体別CP!L383)</f>
        <v>0</v>
      </c>
      <c r="M47" s="15" t="str">
        <f aca="false">IF(F47=0,"",IFERROR(L47/F47,""))</f>
        <v/>
      </c>
      <c r="N47" s="13" t="n">
        <f aca="false">SUM(週次_媒体別CP!N47,週次_媒体別CP!N103,週次_媒体別CP!N159,週次_媒体別CP!N215,週次_媒体別CP!N271,週次_媒体別CP!N327,週次_媒体別CP!N383)</f>
        <v>0</v>
      </c>
      <c r="O47" s="15" t="str">
        <f aca="false">IF(L47=0,"",IFERROR(N47/L47,""))</f>
        <v/>
      </c>
      <c r="P47" s="37" t="str">
        <f aca="false">IF(N47=0,"",C47/N47)</f>
        <v/>
      </c>
      <c r="Q47" s="34" t="str">
        <f aca="false">IF(N47=0,"",IF(C47/N47&lt;=用語集!$B$22,"◎ 許容内","✗ 超過"))</f>
        <v/>
      </c>
      <c r="R47" s="13" t="str">
        <f aca="false">週次_媒体別CP!L440</f>
        <v/>
      </c>
      <c r="S47" s="13" t="n">
        <f aca="false">SUM(L47,R47)</f>
        <v>0</v>
      </c>
      <c r="T47" s="13" t="str">
        <f aca="false">週次_媒体別CP!N440</f>
        <v/>
      </c>
      <c r="U47" s="13" t="n">
        <f aca="false">SUM(N47,T47)</f>
        <v>0</v>
      </c>
      <c r="V47" s="15" t="str">
        <f aca="false">IF(S47=0,"",IFERROR(U47/S47,""))</f>
        <v/>
      </c>
    </row>
    <row r="48" customFormat="false" ht="15" hidden="false" customHeight="false" outlineLevel="0" collapsed="false">
      <c r="A48" s="34" t="s">
        <v>144</v>
      </c>
      <c r="B48" s="35" t="s">
        <v>145</v>
      </c>
      <c r="C48" s="37" t="n">
        <f aca="false">SUM(週次_媒体別CP!C48,週次_媒体別CP!C104,週次_媒体別CP!C160,週次_媒体別CP!C216,週次_媒体別CP!C272,週次_媒体別CP!C328,週次_媒体別CP!C384)</f>
        <v>0</v>
      </c>
      <c r="D48" s="13" t="n">
        <f aca="false">SUM(週次_媒体別CP!D48,週次_媒体別CP!D104,週次_媒体別CP!D160,週次_媒体別CP!D216,週次_媒体別CP!D272,週次_媒体別CP!D328,週次_媒体別CP!D384)</f>
        <v>0</v>
      </c>
      <c r="E48" s="13" t="n">
        <f aca="false">SUM(週次_媒体別CP!E48,週次_媒体別CP!E104,週次_媒体別CP!E160,週次_媒体別CP!E216,週次_媒体別CP!E272,週次_媒体別CP!E328,週次_媒体別CP!E384)</f>
        <v>0</v>
      </c>
      <c r="F48" s="13" t="n">
        <f aca="false">SUM(週次_媒体別CP!F48,週次_媒体別CP!F104,週次_媒体別CP!F160,週次_媒体別CP!F216,週次_媒体別CP!F272,週次_媒体別CP!F328,週次_媒体別CP!F384)</f>
        <v>0</v>
      </c>
      <c r="G48" s="37" t="str">
        <f aca="false">IFERROR(C48/D48*1000,"")</f>
        <v/>
      </c>
      <c r="H48" s="15" t="str">
        <f aca="false">IFERROR(E48/D48,"")</f>
        <v/>
      </c>
      <c r="I48" s="37" t="str">
        <f aca="false">IFERROR(C48/E48,"")</f>
        <v/>
      </c>
      <c r="J48" s="15" t="str">
        <f aca="false">IFERROR(F48/E48,"")</f>
        <v/>
      </c>
      <c r="K48" s="37" t="str">
        <f aca="false">IFERROR(C48/F48,"")</f>
        <v/>
      </c>
      <c r="L48" s="13" t="n">
        <f aca="false">SUM(週次_媒体別CP!L48,週次_媒体別CP!L104,週次_媒体別CP!L160,週次_媒体別CP!L216,週次_媒体別CP!L272,週次_媒体別CP!L328,週次_媒体別CP!L384)</f>
        <v>0</v>
      </c>
      <c r="M48" s="15" t="str">
        <f aca="false">IF(F48=0,"",IFERROR(L48/F48,""))</f>
        <v/>
      </c>
      <c r="N48" s="13" t="n">
        <f aca="false">SUM(週次_媒体別CP!N48,週次_媒体別CP!N104,週次_媒体別CP!N160,週次_媒体別CP!N216,週次_媒体別CP!N272,週次_媒体別CP!N328,週次_媒体別CP!N384)</f>
        <v>0</v>
      </c>
      <c r="O48" s="15" t="str">
        <f aca="false">IF(L48=0,"",IFERROR(N48/L48,""))</f>
        <v/>
      </c>
      <c r="P48" s="37" t="str">
        <f aca="false">IF(N48=0,"",C48/N48)</f>
        <v/>
      </c>
      <c r="Q48" s="34" t="str">
        <f aca="false">IF(N48=0,"",IF(C48/N48&lt;=用語集!$B$22,"◎ 許容内","✗ 超過"))</f>
        <v/>
      </c>
      <c r="R48" s="13" t="str">
        <f aca="false">週次_媒体別CP!L441</f>
        <v/>
      </c>
      <c r="S48" s="13" t="n">
        <f aca="false">SUM(L48,R48)</f>
        <v>0</v>
      </c>
      <c r="T48" s="13" t="str">
        <f aca="false">週次_媒体別CP!N441</f>
        <v/>
      </c>
      <c r="U48" s="13" t="n">
        <f aca="false">SUM(N48,T48)</f>
        <v>0</v>
      </c>
      <c r="V48" s="15" t="str">
        <f aca="false">IF(S48=0,"",IFERROR(U48/S48,""))</f>
        <v/>
      </c>
    </row>
    <row r="49" customFormat="false" ht="15" hidden="false" customHeight="false" outlineLevel="0" collapsed="false">
      <c r="A49" s="34" t="s">
        <v>146</v>
      </c>
      <c r="B49" s="35" t="s">
        <v>147</v>
      </c>
      <c r="C49" s="37" t="n">
        <f aca="false">SUM(週次_媒体別CP!C49,週次_媒体別CP!C105,週次_媒体別CP!C161,週次_媒体別CP!C217,週次_媒体別CP!C273,週次_媒体別CP!C329,週次_媒体別CP!C385)</f>
        <v>0</v>
      </c>
      <c r="D49" s="13" t="n">
        <f aca="false">SUM(週次_媒体別CP!D49,週次_媒体別CP!D105,週次_媒体別CP!D161,週次_媒体別CP!D217,週次_媒体別CP!D273,週次_媒体別CP!D329,週次_媒体別CP!D385)</f>
        <v>0</v>
      </c>
      <c r="E49" s="13" t="n">
        <f aca="false">SUM(週次_媒体別CP!E49,週次_媒体別CP!E105,週次_媒体別CP!E161,週次_媒体別CP!E217,週次_媒体別CP!E273,週次_媒体別CP!E329,週次_媒体別CP!E385)</f>
        <v>0</v>
      </c>
      <c r="F49" s="13" t="n">
        <f aca="false">SUM(週次_媒体別CP!F49,週次_媒体別CP!F105,週次_媒体別CP!F161,週次_媒体別CP!F217,週次_媒体別CP!F273,週次_媒体別CP!F329,週次_媒体別CP!F385)</f>
        <v>0</v>
      </c>
      <c r="G49" s="37" t="str">
        <f aca="false">IFERROR(C49/D49*1000,"")</f>
        <v/>
      </c>
      <c r="H49" s="15" t="str">
        <f aca="false">IFERROR(E49/D49,"")</f>
        <v/>
      </c>
      <c r="I49" s="37" t="str">
        <f aca="false">IFERROR(C49/E49,"")</f>
        <v/>
      </c>
      <c r="J49" s="15" t="str">
        <f aca="false">IFERROR(F49/E49,"")</f>
        <v/>
      </c>
      <c r="K49" s="37" t="str">
        <f aca="false">IFERROR(C49/F49,"")</f>
        <v/>
      </c>
      <c r="L49" s="13" t="n">
        <f aca="false">SUM(週次_媒体別CP!L49,週次_媒体別CP!L105,週次_媒体別CP!L161,週次_媒体別CP!L217,週次_媒体別CP!L273,週次_媒体別CP!L329,週次_媒体別CP!L385)</f>
        <v>0</v>
      </c>
      <c r="M49" s="15" t="str">
        <f aca="false">IF(F49=0,"",IFERROR(L49/F49,""))</f>
        <v/>
      </c>
      <c r="N49" s="13" t="n">
        <f aca="false">SUM(週次_媒体別CP!N49,週次_媒体別CP!N105,週次_媒体別CP!N161,週次_媒体別CP!N217,週次_媒体別CP!N273,週次_媒体別CP!N329,週次_媒体別CP!N385)</f>
        <v>0</v>
      </c>
      <c r="O49" s="15" t="str">
        <f aca="false">IF(L49=0,"",IFERROR(N49/L49,""))</f>
        <v/>
      </c>
      <c r="P49" s="37" t="str">
        <f aca="false">IF(N49=0,"",C49/N49)</f>
        <v/>
      </c>
      <c r="Q49" s="34" t="str">
        <f aca="false">IF(N49=0,"",IF(C49/N49&lt;=用語集!$B$22,"◎ 許容内","✗ 超過"))</f>
        <v/>
      </c>
      <c r="R49" s="13" t="str">
        <f aca="false">週次_媒体別CP!L442</f>
        <v/>
      </c>
      <c r="S49" s="13" t="n">
        <f aca="false">SUM(L49,R49)</f>
        <v>0</v>
      </c>
      <c r="T49" s="13" t="str">
        <f aca="false">週次_媒体別CP!N442</f>
        <v/>
      </c>
      <c r="U49" s="13" t="n">
        <f aca="false">SUM(N49,T49)</f>
        <v>0</v>
      </c>
      <c r="V49" s="15" t="str">
        <f aca="false">IF(S49=0,"",IFERROR(U49/S49,""))</f>
        <v/>
      </c>
    </row>
    <row r="50" customFormat="false" ht="15" hidden="false" customHeight="false" outlineLevel="0" collapsed="false">
      <c r="A50" s="34" t="s">
        <v>148</v>
      </c>
      <c r="B50" s="35" t="s">
        <v>149</v>
      </c>
      <c r="C50" s="37" t="n">
        <f aca="false">SUM(週次_媒体別CP!C50,週次_媒体別CP!C106,週次_媒体別CP!C162,週次_媒体別CP!C218,週次_媒体別CP!C274,週次_媒体別CP!C330,週次_媒体別CP!C386)</f>
        <v>0</v>
      </c>
      <c r="D50" s="13" t="n">
        <f aca="false">SUM(週次_媒体別CP!D50,週次_媒体別CP!D106,週次_媒体別CP!D162,週次_媒体別CP!D218,週次_媒体別CP!D274,週次_媒体別CP!D330,週次_媒体別CP!D386)</f>
        <v>0</v>
      </c>
      <c r="E50" s="13" t="n">
        <f aca="false">SUM(週次_媒体別CP!E50,週次_媒体別CP!E106,週次_媒体別CP!E162,週次_媒体別CP!E218,週次_媒体別CP!E274,週次_媒体別CP!E330,週次_媒体別CP!E386)</f>
        <v>0</v>
      </c>
      <c r="F50" s="13" t="n">
        <f aca="false">SUM(週次_媒体別CP!F50,週次_媒体別CP!F106,週次_媒体別CP!F162,週次_媒体別CP!F218,週次_媒体別CP!F274,週次_媒体別CP!F330,週次_媒体別CP!F386)</f>
        <v>0</v>
      </c>
      <c r="G50" s="37" t="str">
        <f aca="false">IFERROR(C50/D50*1000,"")</f>
        <v/>
      </c>
      <c r="H50" s="15" t="str">
        <f aca="false">IFERROR(E50/D50,"")</f>
        <v/>
      </c>
      <c r="I50" s="37" t="str">
        <f aca="false">IFERROR(C50/E50,"")</f>
        <v/>
      </c>
      <c r="J50" s="15" t="str">
        <f aca="false">IFERROR(F50/E50,"")</f>
        <v/>
      </c>
      <c r="K50" s="37" t="str">
        <f aca="false">IFERROR(C50/F50,"")</f>
        <v/>
      </c>
      <c r="L50" s="13" t="n">
        <f aca="false">SUM(週次_媒体別CP!L50,週次_媒体別CP!L106,週次_媒体別CP!L162,週次_媒体別CP!L218,週次_媒体別CP!L274,週次_媒体別CP!L330,週次_媒体別CP!L386)</f>
        <v>0</v>
      </c>
      <c r="M50" s="15" t="str">
        <f aca="false">IF(F50=0,"",IFERROR(L50/F50,""))</f>
        <v/>
      </c>
      <c r="N50" s="13" t="n">
        <f aca="false">SUM(週次_媒体別CP!N50,週次_媒体別CP!N106,週次_媒体別CP!N162,週次_媒体別CP!N218,週次_媒体別CP!N274,週次_媒体別CP!N330,週次_媒体別CP!N386)</f>
        <v>0</v>
      </c>
      <c r="O50" s="15" t="str">
        <f aca="false">IF(L50=0,"",IFERROR(N50/L50,""))</f>
        <v/>
      </c>
      <c r="P50" s="37" t="str">
        <f aca="false">IF(N50=0,"",C50/N50)</f>
        <v/>
      </c>
      <c r="Q50" s="34" t="str">
        <f aca="false">IF(N50=0,"",IF(C50/N50&lt;=用語集!$B$22,"◎ 許容内","✗ 超過"))</f>
        <v/>
      </c>
      <c r="R50" s="13" t="str">
        <f aca="false">週次_媒体別CP!L443</f>
        <v/>
      </c>
      <c r="S50" s="13" t="n">
        <f aca="false">SUM(L50,R50)</f>
        <v>0</v>
      </c>
      <c r="T50" s="13" t="str">
        <f aca="false">週次_媒体別CP!N443</f>
        <v/>
      </c>
      <c r="U50" s="13" t="n">
        <f aca="false">SUM(N50,T50)</f>
        <v>0</v>
      </c>
      <c r="V50" s="15" t="str">
        <f aca="false">IF(S50=0,"",IFERROR(U50/S50,""))</f>
        <v/>
      </c>
    </row>
    <row r="51" customFormat="false" ht="15" hidden="false" customHeight="false" outlineLevel="0" collapsed="false">
      <c r="A51" s="34" t="s">
        <v>150</v>
      </c>
      <c r="B51" s="35" t="s">
        <v>151</v>
      </c>
      <c r="C51" s="37" t="n">
        <f aca="false">SUM(週次_媒体別CP!C51,週次_媒体別CP!C107,週次_媒体別CP!C163,週次_媒体別CP!C219,週次_媒体別CP!C275,週次_媒体別CP!C331,週次_媒体別CP!C387)</f>
        <v>0</v>
      </c>
      <c r="D51" s="13" t="n">
        <f aca="false">SUM(週次_媒体別CP!D51,週次_媒体別CP!D107,週次_媒体別CP!D163,週次_媒体別CP!D219,週次_媒体別CP!D275,週次_媒体別CP!D331,週次_媒体別CP!D387)</f>
        <v>0</v>
      </c>
      <c r="E51" s="13" t="n">
        <f aca="false">SUM(週次_媒体別CP!E51,週次_媒体別CP!E107,週次_媒体別CP!E163,週次_媒体別CP!E219,週次_媒体別CP!E275,週次_媒体別CP!E331,週次_媒体別CP!E387)</f>
        <v>0</v>
      </c>
      <c r="F51" s="13" t="n">
        <f aca="false">SUM(週次_媒体別CP!F51,週次_媒体別CP!F107,週次_媒体別CP!F163,週次_媒体別CP!F219,週次_媒体別CP!F275,週次_媒体別CP!F331,週次_媒体別CP!F387)</f>
        <v>0</v>
      </c>
      <c r="G51" s="37" t="str">
        <f aca="false">IFERROR(C51/D51*1000,"")</f>
        <v/>
      </c>
      <c r="H51" s="15" t="str">
        <f aca="false">IFERROR(E51/D51,"")</f>
        <v/>
      </c>
      <c r="I51" s="37" t="str">
        <f aca="false">IFERROR(C51/E51,"")</f>
        <v/>
      </c>
      <c r="J51" s="15" t="str">
        <f aca="false">IFERROR(F51/E51,"")</f>
        <v/>
      </c>
      <c r="K51" s="37" t="str">
        <f aca="false">IFERROR(C51/F51,"")</f>
        <v/>
      </c>
      <c r="L51" s="13" t="n">
        <f aca="false">SUM(週次_媒体別CP!L51,週次_媒体別CP!L107,週次_媒体別CP!L163,週次_媒体別CP!L219,週次_媒体別CP!L275,週次_媒体別CP!L331,週次_媒体別CP!L387)</f>
        <v>0</v>
      </c>
      <c r="M51" s="15" t="str">
        <f aca="false">IF(F51=0,"",IFERROR(L51/F51,""))</f>
        <v/>
      </c>
      <c r="N51" s="13" t="n">
        <f aca="false">SUM(週次_媒体別CP!N51,週次_媒体別CP!N107,週次_媒体別CP!N163,週次_媒体別CP!N219,週次_媒体別CP!N275,週次_媒体別CP!N331,週次_媒体別CP!N387)</f>
        <v>0</v>
      </c>
      <c r="O51" s="15" t="str">
        <f aca="false">IF(L51=0,"",IFERROR(N51/L51,""))</f>
        <v/>
      </c>
      <c r="P51" s="37" t="str">
        <f aca="false">IF(N51=0,"",C51/N51)</f>
        <v/>
      </c>
      <c r="Q51" s="34" t="str">
        <f aca="false">IF(N51=0,"",IF(C51/N51&lt;=用語集!$B$22,"◎ 許容内","✗ 超過"))</f>
        <v/>
      </c>
      <c r="R51" s="13" t="str">
        <f aca="false">週次_媒体別CP!L444</f>
        <v/>
      </c>
      <c r="S51" s="13" t="n">
        <f aca="false">SUM(L51,R51)</f>
        <v>0</v>
      </c>
      <c r="T51" s="13" t="str">
        <f aca="false">週次_媒体別CP!N444</f>
        <v/>
      </c>
      <c r="U51" s="13" t="n">
        <f aca="false">SUM(N51,T51)</f>
        <v>0</v>
      </c>
      <c r="V51" s="15" t="str">
        <f aca="false">IF(S51=0,"",IFERROR(U51/S51,""))</f>
        <v/>
      </c>
    </row>
    <row r="52" customFormat="false" ht="15" hidden="false" customHeight="false" outlineLevel="0" collapsed="false">
      <c r="A52" s="34" t="s">
        <v>152</v>
      </c>
      <c r="B52" s="35" t="s">
        <v>153</v>
      </c>
      <c r="C52" s="37" t="n">
        <f aca="false">SUM(週次_媒体別CP!C52,週次_媒体別CP!C108,週次_媒体別CP!C164,週次_媒体別CP!C220,週次_媒体別CP!C276,週次_媒体別CP!C332,週次_媒体別CP!C388)</f>
        <v>0</v>
      </c>
      <c r="D52" s="13" t="n">
        <f aca="false">SUM(週次_媒体別CP!D52,週次_媒体別CP!D108,週次_媒体別CP!D164,週次_媒体別CP!D220,週次_媒体別CP!D276,週次_媒体別CP!D332,週次_媒体別CP!D388)</f>
        <v>0</v>
      </c>
      <c r="E52" s="13" t="n">
        <f aca="false">SUM(週次_媒体別CP!E52,週次_媒体別CP!E108,週次_媒体別CP!E164,週次_媒体別CP!E220,週次_媒体別CP!E276,週次_媒体別CP!E332,週次_媒体別CP!E388)</f>
        <v>0</v>
      </c>
      <c r="F52" s="13" t="n">
        <f aca="false">SUM(週次_媒体別CP!F52,週次_媒体別CP!F108,週次_媒体別CP!F164,週次_媒体別CP!F220,週次_媒体別CP!F276,週次_媒体別CP!F332,週次_媒体別CP!F388)</f>
        <v>0</v>
      </c>
      <c r="G52" s="37" t="str">
        <f aca="false">IFERROR(C52/D52*1000,"")</f>
        <v/>
      </c>
      <c r="H52" s="15" t="str">
        <f aca="false">IFERROR(E52/D52,"")</f>
        <v/>
      </c>
      <c r="I52" s="37" t="str">
        <f aca="false">IFERROR(C52/E52,"")</f>
        <v/>
      </c>
      <c r="J52" s="15" t="str">
        <f aca="false">IFERROR(F52/E52,"")</f>
        <v/>
      </c>
      <c r="K52" s="37" t="str">
        <f aca="false">IFERROR(C52/F52,"")</f>
        <v/>
      </c>
      <c r="L52" s="13" t="n">
        <f aca="false">SUM(週次_媒体別CP!L52,週次_媒体別CP!L108,週次_媒体別CP!L164,週次_媒体別CP!L220,週次_媒体別CP!L276,週次_媒体別CP!L332,週次_媒体別CP!L388)</f>
        <v>0</v>
      </c>
      <c r="M52" s="15" t="str">
        <f aca="false">IF(F52=0,"",IFERROR(L52/F52,""))</f>
        <v/>
      </c>
      <c r="N52" s="13" t="n">
        <f aca="false">SUM(週次_媒体別CP!N52,週次_媒体別CP!N108,週次_媒体別CP!N164,週次_媒体別CP!N220,週次_媒体別CP!N276,週次_媒体別CP!N332,週次_媒体別CP!N388)</f>
        <v>0</v>
      </c>
      <c r="O52" s="15" t="str">
        <f aca="false">IF(L52=0,"",IFERROR(N52/L52,""))</f>
        <v/>
      </c>
      <c r="P52" s="37" t="str">
        <f aca="false">IF(N52=0,"",C52/N52)</f>
        <v/>
      </c>
      <c r="Q52" s="34" t="str">
        <f aca="false">IF(N52=0,"",IF(C52/N52&lt;=用語集!$B$22,"◎ 許容内","✗ 超過"))</f>
        <v/>
      </c>
      <c r="R52" s="13" t="str">
        <f aca="false">週次_媒体別CP!L445</f>
        <v/>
      </c>
      <c r="S52" s="13" t="n">
        <f aca="false">SUM(L52,R52)</f>
        <v>0</v>
      </c>
      <c r="T52" s="13" t="str">
        <f aca="false">週次_媒体別CP!N445</f>
        <v/>
      </c>
      <c r="U52" s="13" t="n">
        <f aca="false">SUM(N52,T52)</f>
        <v>0</v>
      </c>
      <c r="V52" s="15" t="str">
        <f aca="false">IF(S52=0,"",IFERROR(U52/S52,""))</f>
        <v/>
      </c>
    </row>
    <row r="53" customFormat="false" ht="15" hidden="false" customHeight="false" outlineLevel="0" collapsed="false">
      <c r="A53" s="34" t="s">
        <v>154</v>
      </c>
      <c r="B53" s="35" t="s">
        <v>155</v>
      </c>
      <c r="C53" s="37" t="n">
        <f aca="false">SUM(週次_媒体別CP!C53,週次_媒体別CP!C109,週次_媒体別CP!C165,週次_媒体別CP!C221,週次_媒体別CP!C277,週次_媒体別CP!C333,週次_媒体別CP!C389)</f>
        <v>0</v>
      </c>
      <c r="D53" s="13" t="n">
        <f aca="false">SUM(週次_媒体別CP!D53,週次_媒体別CP!D109,週次_媒体別CP!D165,週次_媒体別CP!D221,週次_媒体別CP!D277,週次_媒体別CP!D333,週次_媒体別CP!D389)</f>
        <v>0</v>
      </c>
      <c r="E53" s="13" t="n">
        <f aca="false">SUM(週次_媒体別CP!E53,週次_媒体別CP!E109,週次_媒体別CP!E165,週次_媒体別CP!E221,週次_媒体別CP!E277,週次_媒体別CP!E333,週次_媒体別CP!E389)</f>
        <v>0</v>
      </c>
      <c r="F53" s="13" t="n">
        <f aca="false">SUM(週次_媒体別CP!F53,週次_媒体別CP!F109,週次_媒体別CP!F165,週次_媒体別CP!F221,週次_媒体別CP!F277,週次_媒体別CP!F333,週次_媒体別CP!F389)</f>
        <v>0</v>
      </c>
      <c r="G53" s="37" t="str">
        <f aca="false">IFERROR(C53/D53*1000,"")</f>
        <v/>
      </c>
      <c r="H53" s="15" t="str">
        <f aca="false">IFERROR(E53/D53,"")</f>
        <v/>
      </c>
      <c r="I53" s="37" t="str">
        <f aca="false">IFERROR(C53/E53,"")</f>
        <v/>
      </c>
      <c r="J53" s="15" t="str">
        <f aca="false">IFERROR(F53/E53,"")</f>
        <v/>
      </c>
      <c r="K53" s="37" t="str">
        <f aca="false">IFERROR(C53/F53,"")</f>
        <v/>
      </c>
      <c r="L53" s="13" t="n">
        <f aca="false">SUM(週次_媒体別CP!L53,週次_媒体別CP!L109,週次_媒体別CP!L165,週次_媒体別CP!L221,週次_媒体別CP!L277,週次_媒体別CP!L333,週次_媒体別CP!L389)</f>
        <v>0</v>
      </c>
      <c r="M53" s="15" t="str">
        <f aca="false">IF(F53=0,"",IFERROR(L53/F53,""))</f>
        <v/>
      </c>
      <c r="N53" s="13" t="n">
        <f aca="false">SUM(週次_媒体別CP!N53,週次_媒体別CP!N109,週次_媒体別CP!N165,週次_媒体別CP!N221,週次_媒体別CP!N277,週次_媒体別CP!N333,週次_媒体別CP!N389)</f>
        <v>0</v>
      </c>
      <c r="O53" s="15" t="str">
        <f aca="false">IF(L53=0,"",IFERROR(N53/L53,""))</f>
        <v/>
      </c>
      <c r="P53" s="37" t="str">
        <f aca="false">IF(N53=0,"",C53/N53)</f>
        <v/>
      </c>
      <c r="Q53" s="34" t="str">
        <f aca="false">IF(N53=0,"",IF(C53/N53&lt;=用語集!$B$22,"◎ 許容内","✗ 超過"))</f>
        <v/>
      </c>
      <c r="R53" s="13" t="str">
        <f aca="false">週次_媒体別CP!L446</f>
        <v/>
      </c>
      <c r="S53" s="13" t="n">
        <f aca="false">SUM(L53,R53)</f>
        <v>0</v>
      </c>
      <c r="T53" s="13" t="str">
        <f aca="false">週次_媒体別CP!N446</f>
        <v/>
      </c>
      <c r="U53" s="13" t="n">
        <f aca="false">SUM(N53,T53)</f>
        <v>0</v>
      </c>
      <c r="V53" s="15" t="str">
        <f aca="false">IF(S53=0,"",IFERROR(U53/S53,""))</f>
        <v/>
      </c>
    </row>
    <row r="54" customFormat="false" ht="15" hidden="false" customHeight="false" outlineLevel="0" collapsed="false">
      <c r="A54" s="34" t="s">
        <v>156</v>
      </c>
      <c r="B54" s="35" t="s">
        <v>157</v>
      </c>
      <c r="C54" s="37" t="n">
        <f aca="false">SUM(週次_媒体別CP!C54,週次_媒体別CP!C110,週次_媒体別CP!C166,週次_媒体別CP!C222,週次_媒体別CP!C278,週次_媒体別CP!C334,週次_媒体別CP!C390)</f>
        <v>0</v>
      </c>
      <c r="D54" s="13" t="n">
        <f aca="false">SUM(週次_媒体別CP!D54,週次_媒体別CP!D110,週次_媒体別CP!D166,週次_媒体別CP!D222,週次_媒体別CP!D278,週次_媒体別CP!D334,週次_媒体別CP!D390)</f>
        <v>0</v>
      </c>
      <c r="E54" s="13" t="n">
        <f aca="false">SUM(週次_媒体別CP!E54,週次_媒体別CP!E110,週次_媒体別CP!E166,週次_媒体別CP!E222,週次_媒体別CP!E278,週次_媒体別CP!E334,週次_媒体別CP!E390)</f>
        <v>0</v>
      </c>
      <c r="F54" s="13" t="n">
        <f aca="false">SUM(週次_媒体別CP!F54,週次_媒体別CP!F110,週次_媒体別CP!F166,週次_媒体別CP!F222,週次_媒体別CP!F278,週次_媒体別CP!F334,週次_媒体別CP!F390)</f>
        <v>0</v>
      </c>
      <c r="G54" s="37" t="str">
        <f aca="false">IFERROR(C54/D54*1000,"")</f>
        <v/>
      </c>
      <c r="H54" s="15" t="str">
        <f aca="false">IFERROR(E54/D54,"")</f>
        <v/>
      </c>
      <c r="I54" s="37" t="str">
        <f aca="false">IFERROR(C54/E54,"")</f>
        <v/>
      </c>
      <c r="J54" s="15" t="str">
        <f aca="false">IFERROR(F54/E54,"")</f>
        <v/>
      </c>
      <c r="K54" s="37" t="str">
        <f aca="false">IFERROR(C54/F54,"")</f>
        <v/>
      </c>
      <c r="L54" s="13" t="n">
        <f aca="false">SUM(週次_媒体別CP!L54,週次_媒体別CP!L110,週次_媒体別CP!L166,週次_媒体別CP!L222,週次_媒体別CP!L278,週次_媒体別CP!L334,週次_媒体別CP!L390)</f>
        <v>0</v>
      </c>
      <c r="M54" s="15" t="str">
        <f aca="false">IF(F54=0,"",IFERROR(L54/F54,""))</f>
        <v/>
      </c>
      <c r="N54" s="13" t="n">
        <f aca="false">SUM(週次_媒体別CP!N54,週次_媒体別CP!N110,週次_媒体別CP!N166,週次_媒体別CP!N222,週次_媒体別CP!N278,週次_媒体別CP!N334,週次_媒体別CP!N390)</f>
        <v>0</v>
      </c>
      <c r="O54" s="15" t="str">
        <f aca="false">IF(L54=0,"",IFERROR(N54/L54,""))</f>
        <v/>
      </c>
      <c r="P54" s="37" t="str">
        <f aca="false">IF(N54=0,"",C54/N54)</f>
        <v/>
      </c>
      <c r="Q54" s="34" t="str">
        <f aca="false">IF(N54=0,"",IF(C54/N54&lt;=用語集!$B$22,"◎ 許容内","✗ 超過"))</f>
        <v/>
      </c>
      <c r="R54" s="13" t="str">
        <f aca="false">週次_媒体別CP!L447</f>
        <v/>
      </c>
      <c r="S54" s="13" t="n">
        <f aca="false">SUM(L54,R54)</f>
        <v>0</v>
      </c>
      <c r="T54" s="13" t="str">
        <f aca="false">週次_媒体別CP!N447</f>
        <v/>
      </c>
      <c r="U54" s="13" t="n">
        <f aca="false">SUM(N54,T54)</f>
        <v>0</v>
      </c>
      <c r="V54" s="15" t="str">
        <f aca="false">IF(S54=0,"",IFERROR(U54/S54,""))</f>
        <v/>
      </c>
    </row>
    <row r="55" customFormat="false" ht="15" hidden="false" customHeight="false" outlineLevel="0" collapsed="false">
      <c r="A55" s="34" t="s">
        <v>158</v>
      </c>
      <c r="B55" s="35" t="s">
        <v>159</v>
      </c>
      <c r="C55" s="37" t="n">
        <f aca="false">SUM(週次_媒体別CP!C55,週次_媒体別CP!C111,週次_媒体別CP!C167,週次_媒体別CP!C223,週次_媒体別CP!C279,週次_媒体別CP!C335,週次_媒体別CP!C391)</f>
        <v>0</v>
      </c>
      <c r="D55" s="13" t="n">
        <f aca="false">SUM(週次_媒体別CP!D55,週次_媒体別CP!D111,週次_媒体別CP!D167,週次_媒体別CP!D223,週次_媒体別CP!D279,週次_媒体別CP!D335,週次_媒体別CP!D391)</f>
        <v>0</v>
      </c>
      <c r="E55" s="13" t="n">
        <f aca="false">SUM(週次_媒体別CP!E55,週次_媒体別CP!E111,週次_媒体別CP!E167,週次_媒体別CP!E223,週次_媒体別CP!E279,週次_媒体別CP!E335,週次_媒体別CP!E391)</f>
        <v>0</v>
      </c>
      <c r="F55" s="13" t="n">
        <f aca="false">SUM(週次_媒体別CP!F55,週次_媒体別CP!F111,週次_媒体別CP!F167,週次_媒体別CP!F223,週次_媒体別CP!F279,週次_媒体別CP!F335,週次_媒体別CP!F391)</f>
        <v>0</v>
      </c>
      <c r="G55" s="37" t="str">
        <f aca="false">IFERROR(C55/D55*1000,"")</f>
        <v/>
      </c>
      <c r="H55" s="15" t="str">
        <f aca="false">IFERROR(E55/D55,"")</f>
        <v/>
      </c>
      <c r="I55" s="37" t="str">
        <f aca="false">IFERROR(C55/E55,"")</f>
        <v/>
      </c>
      <c r="J55" s="15" t="str">
        <f aca="false">IFERROR(F55/E55,"")</f>
        <v/>
      </c>
      <c r="K55" s="37" t="str">
        <f aca="false">IFERROR(C55/F55,"")</f>
        <v/>
      </c>
      <c r="L55" s="13" t="n">
        <f aca="false">SUM(週次_媒体別CP!L55,週次_媒体別CP!L111,週次_媒体別CP!L167,週次_媒体別CP!L223,週次_媒体別CP!L279,週次_媒体別CP!L335,週次_媒体別CP!L391)</f>
        <v>0</v>
      </c>
      <c r="M55" s="15" t="str">
        <f aca="false">IF(F55=0,"",IFERROR(L55/F55,""))</f>
        <v/>
      </c>
      <c r="N55" s="13" t="n">
        <f aca="false">SUM(週次_媒体別CP!N55,週次_媒体別CP!N111,週次_媒体別CP!N167,週次_媒体別CP!N223,週次_媒体別CP!N279,週次_媒体別CP!N335,週次_媒体別CP!N391)</f>
        <v>0</v>
      </c>
      <c r="O55" s="15" t="str">
        <f aca="false">IF(L55=0,"",IFERROR(N55/L55,""))</f>
        <v/>
      </c>
      <c r="P55" s="37" t="str">
        <f aca="false">IF(N55=0,"",C55/N55)</f>
        <v/>
      </c>
      <c r="Q55" s="34" t="str">
        <f aca="false">IF(N55=0,"",IF(C55/N55&lt;=用語集!$B$22,"◎ 許容内","✗ 超過"))</f>
        <v/>
      </c>
      <c r="R55" s="13" t="str">
        <f aca="false">週次_媒体別CP!L448</f>
        <v/>
      </c>
      <c r="S55" s="13" t="n">
        <f aca="false">SUM(L55,R55)</f>
        <v>0</v>
      </c>
      <c r="T55" s="13" t="str">
        <f aca="false">週次_媒体別CP!N448</f>
        <v/>
      </c>
      <c r="U55" s="13" t="n">
        <f aca="false">SUM(N55,T55)</f>
        <v>0</v>
      </c>
      <c r="V55" s="15" t="str">
        <f aca="false">IF(S55=0,"",IFERROR(U55/S55,""))</f>
        <v/>
      </c>
    </row>
    <row r="56" customFormat="false" ht="15" hidden="false" customHeight="false" outlineLevel="0" collapsed="false">
      <c r="A56" s="34" t="s">
        <v>160</v>
      </c>
      <c r="B56" s="35" t="s">
        <v>161</v>
      </c>
      <c r="C56" s="37" t="n">
        <f aca="false">SUM(週次_媒体別CP!C56,週次_媒体別CP!C112,週次_媒体別CP!C168,週次_媒体別CP!C224,週次_媒体別CP!C280,週次_媒体別CP!C336,週次_媒体別CP!C392)</f>
        <v>0</v>
      </c>
      <c r="D56" s="13" t="n">
        <f aca="false">SUM(週次_媒体別CP!D56,週次_媒体別CP!D112,週次_媒体別CP!D168,週次_媒体別CP!D224,週次_媒体別CP!D280,週次_媒体別CP!D336,週次_媒体別CP!D392)</f>
        <v>0</v>
      </c>
      <c r="E56" s="13" t="n">
        <f aca="false">SUM(週次_媒体別CP!E56,週次_媒体別CP!E112,週次_媒体別CP!E168,週次_媒体別CP!E224,週次_媒体別CP!E280,週次_媒体別CP!E336,週次_媒体別CP!E392)</f>
        <v>0</v>
      </c>
      <c r="F56" s="13" t="n">
        <f aca="false">SUM(週次_媒体別CP!F56,週次_媒体別CP!F112,週次_媒体別CP!F168,週次_媒体別CP!F224,週次_媒体別CP!F280,週次_媒体別CP!F336,週次_媒体別CP!F392)</f>
        <v>0</v>
      </c>
      <c r="G56" s="37" t="str">
        <f aca="false">IFERROR(C56/D56*1000,"")</f>
        <v/>
      </c>
      <c r="H56" s="15" t="str">
        <f aca="false">IFERROR(E56/D56,"")</f>
        <v/>
      </c>
      <c r="I56" s="37" t="str">
        <f aca="false">IFERROR(C56/E56,"")</f>
        <v/>
      </c>
      <c r="J56" s="15" t="str">
        <f aca="false">IFERROR(F56/E56,"")</f>
        <v/>
      </c>
      <c r="K56" s="37" t="str">
        <f aca="false">IFERROR(C56/F56,"")</f>
        <v/>
      </c>
      <c r="L56" s="13" t="n">
        <f aca="false">SUM(週次_媒体別CP!L56,週次_媒体別CP!L112,週次_媒体別CP!L168,週次_媒体別CP!L224,週次_媒体別CP!L280,週次_媒体別CP!L336,週次_媒体別CP!L392)</f>
        <v>0</v>
      </c>
      <c r="M56" s="15" t="str">
        <f aca="false">IF(F56=0,"",IFERROR(L56/F56,""))</f>
        <v/>
      </c>
      <c r="N56" s="13" t="n">
        <f aca="false">SUM(週次_媒体別CP!N56,週次_媒体別CP!N112,週次_媒体別CP!N168,週次_媒体別CP!N224,週次_媒体別CP!N280,週次_媒体別CP!N336,週次_媒体別CP!N392)</f>
        <v>0</v>
      </c>
      <c r="O56" s="15" t="str">
        <f aca="false">IF(L56=0,"",IFERROR(N56/L56,""))</f>
        <v/>
      </c>
      <c r="P56" s="37" t="str">
        <f aca="false">IF(N56=0,"",C56/N56)</f>
        <v/>
      </c>
      <c r="Q56" s="34" t="str">
        <f aca="false">IF(N56=0,"",IF(C56/N56&lt;=用語集!$B$22,"◎ 許容内","✗ 超過"))</f>
        <v/>
      </c>
      <c r="R56" s="13" t="str">
        <f aca="false">週次_媒体別CP!L449</f>
        <v/>
      </c>
      <c r="S56" s="13" t="n">
        <f aca="false">SUM(L56,R56)</f>
        <v>0</v>
      </c>
      <c r="T56" s="13" t="str">
        <f aca="false">週次_媒体別CP!N449</f>
        <v/>
      </c>
      <c r="U56" s="13" t="n">
        <f aca="false">SUM(N56,T56)</f>
        <v>0</v>
      </c>
      <c r="V56" s="15" t="str">
        <f aca="false">IF(S56=0,"",IFERROR(U56/S56,""))</f>
        <v/>
      </c>
    </row>
    <row r="57" customFormat="false" ht="15" hidden="false" customHeight="false" outlineLevel="0" collapsed="false">
      <c r="A57" s="34" t="s">
        <v>162</v>
      </c>
      <c r="B57" s="35" t="s">
        <v>163</v>
      </c>
      <c r="C57" s="37" t="n">
        <f aca="false">SUM(週次_媒体別CP!C57,週次_媒体別CP!C113,週次_媒体別CP!C169,週次_媒体別CP!C225,週次_媒体別CP!C281,週次_媒体別CP!C337,週次_媒体別CP!C393)</f>
        <v>0</v>
      </c>
      <c r="D57" s="13" t="n">
        <f aca="false">SUM(週次_媒体別CP!D57,週次_媒体別CP!D113,週次_媒体別CP!D169,週次_媒体別CP!D225,週次_媒体別CP!D281,週次_媒体別CP!D337,週次_媒体別CP!D393)</f>
        <v>0</v>
      </c>
      <c r="E57" s="13" t="n">
        <f aca="false">SUM(週次_媒体別CP!E57,週次_媒体別CP!E113,週次_媒体別CP!E169,週次_媒体別CP!E225,週次_媒体別CP!E281,週次_媒体別CP!E337,週次_媒体別CP!E393)</f>
        <v>0</v>
      </c>
      <c r="F57" s="13" t="n">
        <f aca="false">SUM(週次_媒体別CP!F57,週次_媒体別CP!F113,週次_媒体別CP!F169,週次_媒体別CP!F225,週次_媒体別CP!F281,週次_媒体別CP!F337,週次_媒体別CP!F393)</f>
        <v>0</v>
      </c>
      <c r="G57" s="37" t="str">
        <f aca="false">IFERROR(C57/D57*1000,"")</f>
        <v/>
      </c>
      <c r="H57" s="15" t="str">
        <f aca="false">IFERROR(E57/D57,"")</f>
        <v/>
      </c>
      <c r="I57" s="37" t="str">
        <f aca="false">IFERROR(C57/E57,"")</f>
        <v/>
      </c>
      <c r="J57" s="15" t="str">
        <f aca="false">IFERROR(F57/E57,"")</f>
        <v/>
      </c>
      <c r="K57" s="37" t="str">
        <f aca="false">IFERROR(C57/F57,"")</f>
        <v/>
      </c>
      <c r="L57" s="13" t="n">
        <f aca="false">SUM(週次_媒体別CP!L57,週次_媒体別CP!L113,週次_媒体別CP!L169,週次_媒体別CP!L225,週次_媒体別CP!L281,週次_媒体別CP!L337,週次_媒体別CP!L393)</f>
        <v>0</v>
      </c>
      <c r="M57" s="15" t="str">
        <f aca="false">IF(F57=0,"",IFERROR(L57/F57,""))</f>
        <v/>
      </c>
      <c r="N57" s="13" t="n">
        <f aca="false">SUM(週次_媒体別CP!N57,週次_媒体別CP!N113,週次_媒体別CP!N169,週次_媒体別CP!N225,週次_媒体別CP!N281,週次_媒体別CP!N337,週次_媒体別CP!N393)</f>
        <v>0</v>
      </c>
      <c r="O57" s="15" t="str">
        <f aca="false">IF(L57=0,"",IFERROR(N57/L57,""))</f>
        <v/>
      </c>
      <c r="P57" s="37" t="str">
        <f aca="false">IF(N57=0,"",C57/N57)</f>
        <v/>
      </c>
      <c r="Q57" s="34" t="str">
        <f aca="false">IF(N57=0,"",IF(C57/N57&lt;=用語集!$B$22,"◎ 許容内","✗ 超過"))</f>
        <v/>
      </c>
      <c r="R57" s="13" t="str">
        <f aca="false">週次_媒体別CP!L450</f>
        <v/>
      </c>
      <c r="S57" s="13" t="n">
        <f aca="false">SUM(L57,R57)</f>
        <v>0</v>
      </c>
      <c r="T57" s="13" t="str">
        <f aca="false">週次_媒体別CP!N450</f>
        <v/>
      </c>
      <c r="U57" s="13" t="n">
        <f aca="false">SUM(N57,T57)</f>
        <v>0</v>
      </c>
      <c r="V57" s="15" t="str">
        <f aca="false">IF(S57=0,"",IFERROR(U57/S57,""))</f>
        <v/>
      </c>
    </row>
    <row r="58" customFormat="false" ht="15" hidden="false" customHeight="false" outlineLevel="0" collapsed="false">
      <c r="A58" s="43" t="s">
        <v>189</v>
      </c>
      <c r="B58" s="44"/>
      <c r="C58" s="45" t="n">
        <f aca="false">SUM(C5:C57)</f>
        <v>1979397</v>
      </c>
      <c r="D58" s="46" t="n">
        <f aca="false">SUM(D5:D57)</f>
        <v>3088194</v>
      </c>
      <c r="E58" s="46" t="n">
        <f aca="false">SUM(E5:E57)</f>
        <v>125599</v>
      </c>
      <c r="F58" s="46" t="n">
        <f aca="false">SUM(F5:F57)</f>
        <v>738</v>
      </c>
      <c r="G58" s="45" t="n">
        <f aca="false">IFERROR(C58/D58*1000,"")</f>
        <v>640.956170499651</v>
      </c>
      <c r="H58" s="47" t="n">
        <f aca="false">IFERROR(E58/D58,"")</f>
        <v>0.0406706962062617</v>
      </c>
      <c r="I58" s="45" t="n">
        <f aca="false">IFERROR(C58/E58,"")</f>
        <v>15.7596557297431</v>
      </c>
      <c r="J58" s="47" t="n">
        <f aca="false">IFERROR(F58/E58,"")</f>
        <v>0.00587584296053313</v>
      </c>
      <c r="K58" s="45" t="n">
        <f aca="false">IFERROR(C58/F58,"")</f>
        <v>2682.10975609756</v>
      </c>
      <c r="L58" s="46" t="n">
        <f aca="false">SUM(L5:L57)</f>
        <v>20</v>
      </c>
      <c r="M58" s="47" t="n">
        <f aca="false">IF(F58=0,"",IFERROR(L58/F58,""))</f>
        <v>0.02710027100271</v>
      </c>
      <c r="N58" s="46" t="n">
        <f aca="false">SUM(N5:N57)</f>
        <v>1</v>
      </c>
      <c r="O58" s="47" t="n">
        <f aca="false">IF(L58=0,"",IFERROR(N58/L58,""))</f>
        <v>0.05</v>
      </c>
      <c r="P58" s="45" t="n">
        <f aca="false">IF(N58=0,"",C58/N58)</f>
        <v>1979397</v>
      </c>
      <c r="Q58" s="43" t="str">
        <f aca="false">IF(N58=0,"",IF(C58/N58&lt;=用語集!$B$22,"◎ 許容内","✗ 超過"))</f>
        <v>✗ 超過</v>
      </c>
      <c r="R58" s="46" t="n">
        <f aca="false">SUM(R5:R57)</f>
        <v>0</v>
      </c>
      <c r="S58" s="46" t="n">
        <f aca="false">SUM(L58,R58)</f>
        <v>20</v>
      </c>
      <c r="T58" s="46" t="n">
        <f aca="false">SUM(T5:T57)</f>
        <v>0</v>
      </c>
      <c r="U58" s="46" t="n">
        <f aca="false">SUM(N58,T58)</f>
        <v>1</v>
      </c>
      <c r="V58" s="47" t="n">
        <f aca="false">IF(S58=0,"",IFERROR(U58/S58,""))</f>
        <v>0.05</v>
      </c>
    </row>
    <row r="60" customFormat="false" ht="45.75" hidden="false" customHeight="true" outlineLevel="0" collapsed="false">
      <c r="A60" s="55" t="s">
        <v>190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</row>
  </sheetData>
  <mergeCells count="5">
    <mergeCell ref="A1:V1"/>
    <mergeCell ref="A2:V2"/>
    <mergeCell ref="C3:Q3"/>
    <mergeCell ref="R3:V3"/>
    <mergeCell ref="A60:V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6"/>
  </cols>
  <sheetData>
    <row r="1" customFormat="false" ht="24" hidden="false" customHeight="true" outlineLevel="0" collapsed="false">
      <c r="A1" s="22" t="s">
        <v>191</v>
      </c>
      <c r="B1" s="22"/>
    </row>
    <row r="2" customFormat="false" ht="14.15" hidden="false" customHeight="false" outlineLevel="0" collapsed="false">
      <c r="A2" s="56" t="s">
        <v>192</v>
      </c>
      <c r="B2" s="56"/>
    </row>
    <row r="3" customFormat="false" ht="19.5" hidden="false" customHeight="true" outlineLevel="0" collapsed="false">
      <c r="A3" s="57" t="s">
        <v>193</v>
      </c>
      <c r="B3" s="58" t="s">
        <v>194</v>
      </c>
    </row>
    <row r="4" customFormat="false" ht="19.5" hidden="false" customHeight="true" outlineLevel="0" collapsed="false">
      <c r="A4" s="59" t="s">
        <v>195</v>
      </c>
      <c r="B4" s="58" t="s">
        <v>196</v>
      </c>
    </row>
    <row r="5" customFormat="false" ht="19.5" hidden="false" customHeight="true" outlineLevel="0" collapsed="false">
      <c r="A5" s="57" t="s">
        <v>197</v>
      </c>
      <c r="B5" s="58" t="s">
        <v>198</v>
      </c>
    </row>
    <row r="6" customFormat="false" ht="19.5" hidden="false" customHeight="true" outlineLevel="0" collapsed="false">
      <c r="A6" s="57" t="s">
        <v>199</v>
      </c>
      <c r="B6" s="58" t="s">
        <v>200</v>
      </c>
    </row>
    <row r="7" customFormat="false" ht="19.5" hidden="false" customHeight="true" outlineLevel="0" collapsed="false">
      <c r="A7" s="57" t="s">
        <v>201</v>
      </c>
      <c r="B7" s="58" t="s">
        <v>202</v>
      </c>
    </row>
    <row r="8" customFormat="false" ht="30" hidden="false" customHeight="true" outlineLevel="0" collapsed="false">
      <c r="A8" s="57" t="s">
        <v>203</v>
      </c>
      <c r="B8" s="58" t="s">
        <v>204</v>
      </c>
    </row>
    <row r="9" customFormat="false" ht="19.5" hidden="false" customHeight="true" outlineLevel="0" collapsed="false">
      <c r="A9" s="57" t="s">
        <v>205</v>
      </c>
      <c r="B9" s="58" t="s">
        <v>206</v>
      </c>
    </row>
    <row r="10" customFormat="false" ht="19.5" hidden="false" customHeight="true" outlineLevel="0" collapsed="false">
      <c r="A10" s="57" t="s">
        <v>207</v>
      </c>
      <c r="B10" s="58" t="s">
        <v>208</v>
      </c>
    </row>
    <row r="11" customFormat="false" ht="30" hidden="false" customHeight="true" outlineLevel="0" collapsed="false">
      <c r="A11" s="59" t="s">
        <v>58</v>
      </c>
      <c r="B11" s="58" t="s">
        <v>209</v>
      </c>
    </row>
    <row r="12" customFormat="false" ht="19.5" hidden="false" customHeight="true" outlineLevel="0" collapsed="false">
      <c r="A12" s="59" t="s">
        <v>210</v>
      </c>
      <c r="B12" s="58" t="s">
        <v>211</v>
      </c>
    </row>
    <row r="13" customFormat="false" ht="19.5" hidden="false" customHeight="true" outlineLevel="0" collapsed="false">
      <c r="A13" s="59" t="s">
        <v>212</v>
      </c>
      <c r="B13" s="58" t="s">
        <v>213</v>
      </c>
    </row>
    <row r="14" customFormat="false" ht="19.5" hidden="false" customHeight="true" outlineLevel="0" collapsed="false">
      <c r="A14" s="59" t="s">
        <v>21</v>
      </c>
      <c r="B14" s="58" t="s">
        <v>214</v>
      </c>
    </row>
    <row r="15" customFormat="false" ht="19.5" hidden="false" customHeight="true" outlineLevel="0" collapsed="false">
      <c r="A15" s="59" t="s">
        <v>215</v>
      </c>
      <c r="B15" s="58" t="s">
        <v>216</v>
      </c>
    </row>
    <row r="16" customFormat="false" ht="19.5" hidden="false" customHeight="true" outlineLevel="0" collapsed="false">
      <c r="A16" s="59" t="s">
        <v>23</v>
      </c>
      <c r="B16" s="58" t="s">
        <v>217</v>
      </c>
    </row>
    <row r="17" customFormat="false" ht="19.5" hidden="false" customHeight="true" outlineLevel="0" collapsed="false">
      <c r="A17" s="57" t="s">
        <v>218</v>
      </c>
      <c r="B17" s="58" t="s">
        <v>219</v>
      </c>
    </row>
    <row r="18" customFormat="false" ht="19.5" hidden="false" customHeight="true" outlineLevel="0" collapsed="false">
      <c r="A18" s="59" t="s">
        <v>220</v>
      </c>
      <c r="B18" s="60" t="s">
        <v>221</v>
      </c>
    </row>
    <row r="19" customFormat="false" ht="19.5" hidden="false" customHeight="true" outlineLevel="0" collapsed="false">
      <c r="A19" s="59" t="s">
        <v>222</v>
      </c>
      <c r="B19" s="60" t="s">
        <v>223</v>
      </c>
    </row>
    <row r="21" customFormat="false" ht="17.15" hidden="false" customHeight="false" outlineLevel="0" collapsed="false">
      <c r="A21" s="61" t="s">
        <v>224</v>
      </c>
      <c r="B21" s="62" t="n">
        <v>3000</v>
      </c>
    </row>
    <row r="22" customFormat="false" ht="17.15" hidden="false" customHeight="false" outlineLevel="0" collapsed="false">
      <c r="A22" s="61" t="s">
        <v>225</v>
      </c>
      <c r="B22" s="62" t="n">
        <v>307000</v>
      </c>
    </row>
    <row r="23" customFormat="false" ht="17.15" hidden="false" customHeight="false" outlineLevel="0" collapsed="false">
      <c r="A23" s="61" t="s">
        <v>226</v>
      </c>
      <c r="B23" s="62" t="n">
        <v>800000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4" hidden="false" customHeight="true" outlineLevel="0" collapsed="false">
      <c r="A1" s="63" t="s">
        <v>227</v>
      </c>
    </row>
    <row r="2" customFormat="false" ht="15" hidden="false" customHeight="false" outlineLevel="0" collapsed="false">
      <c r="A2" s="64"/>
    </row>
    <row r="3" customFormat="false" ht="19.4" hidden="false" customHeight="false" outlineLevel="0" collapsed="false">
      <c r="A3" s="65" t="s">
        <v>228</v>
      </c>
    </row>
    <row r="4" customFormat="false" ht="27.75" hidden="false" customHeight="true" outlineLevel="0" collapsed="false">
      <c r="A4" s="64" t="s">
        <v>229</v>
      </c>
    </row>
    <row r="5" customFormat="false" ht="27.75" hidden="false" customHeight="true" outlineLevel="0" collapsed="false">
      <c r="A5" s="64" t="s">
        <v>230</v>
      </c>
    </row>
    <row r="6" customFormat="false" ht="17.15" hidden="false" customHeight="false" outlineLevel="0" collapsed="false">
      <c r="A6" s="64" t="s">
        <v>231</v>
      </c>
    </row>
    <row r="7" customFormat="false" ht="27.75" hidden="false" customHeight="true" outlineLevel="0" collapsed="false">
      <c r="A7" s="64" t="s">
        <v>232</v>
      </c>
    </row>
    <row r="8" customFormat="false" ht="17.15" hidden="false" customHeight="false" outlineLevel="0" collapsed="false">
      <c r="A8" s="64" t="s">
        <v>233</v>
      </c>
    </row>
    <row r="9" customFormat="false" ht="15" hidden="false" customHeight="false" outlineLevel="0" collapsed="false">
      <c r="A9" s="64"/>
    </row>
    <row r="10" customFormat="false" ht="19.4" hidden="false" customHeight="false" outlineLevel="0" collapsed="false">
      <c r="A10" s="65" t="s">
        <v>234</v>
      </c>
    </row>
    <row r="11" customFormat="false" ht="17.15" hidden="false" customHeight="false" outlineLevel="0" collapsed="false">
      <c r="A11" s="64" t="s">
        <v>235</v>
      </c>
    </row>
    <row r="12" customFormat="false" ht="17.15" hidden="false" customHeight="false" outlineLevel="0" collapsed="false">
      <c r="A12" s="64" t="s">
        <v>236</v>
      </c>
    </row>
    <row r="13" customFormat="false" ht="17.15" hidden="false" customHeight="false" outlineLevel="0" collapsed="false">
      <c r="A13" s="64" t="s">
        <v>237</v>
      </c>
    </row>
    <row r="14" customFormat="false" ht="15" hidden="false" customHeight="false" outlineLevel="0" collapsed="false">
      <c r="A14" s="64"/>
    </row>
    <row r="15" customFormat="false" ht="19.4" hidden="false" customHeight="false" outlineLevel="0" collapsed="false">
      <c r="A15" s="65" t="s">
        <v>238</v>
      </c>
    </row>
    <row r="16" customFormat="false" ht="27.75" hidden="false" customHeight="true" outlineLevel="0" collapsed="false">
      <c r="A16" s="66" t="s">
        <v>239</v>
      </c>
    </row>
    <row r="17" customFormat="false" ht="17.15" hidden="false" customHeight="false" outlineLevel="0" collapsed="false">
      <c r="A17" s="66" t="s">
        <v>240</v>
      </c>
    </row>
    <row r="18" customFormat="false" ht="15" hidden="false" customHeight="false" outlineLevel="0" collapsed="false">
      <c r="A18" s="66"/>
    </row>
    <row r="19" customFormat="false" ht="15" hidden="false" customHeight="false" outlineLevel="0" collapsed="false">
      <c r="A19" s="67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</cols>
  <sheetData>
    <row r="1" customFormat="false" ht="15" hidden="false" customHeight="false" outlineLevel="0" collapsed="false">
      <c r="A1" s="68" t="s">
        <v>242</v>
      </c>
      <c r="B1" s="68"/>
      <c r="C1" s="68"/>
      <c r="D1" s="68"/>
      <c r="E1" s="68"/>
      <c r="F1" s="68"/>
      <c r="G1" s="68"/>
      <c r="H1" s="68"/>
      <c r="I1" s="68"/>
    </row>
    <row r="2" customFormat="false" ht="15" hidden="false" customHeight="false" outlineLevel="0" collapsed="false">
      <c r="A2" s="69" t="s">
        <v>35</v>
      </c>
    </row>
    <row r="3" customFormat="false" ht="37.3" hidden="false" customHeight="false" outlineLevel="0" collapsed="false">
      <c r="A3" s="70" t="s">
        <v>48</v>
      </c>
      <c r="B3" s="71" t="s">
        <v>243</v>
      </c>
      <c r="C3" s="71" t="s">
        <v>244</v>
      </c>
      <c r="D3" s="71" t="s">
        <v>245</v>
      </c>
      <c r="E3" s="71" t="s">
        <v>246</v>
      </c>
      <c r="F3" s="71" t="s">
        <v>247</v>
      </c>
      <c r="G3" s="71" t="s">
        <v>248</v>
      </c>
      <c r="H3" s="71" t="s">
        <v>249</v>
      </c>
    </row>
    <row r="4" customFormat="false" ht="15" hidden="false" customHeight="false" outlineLevel="0" collapsed="false">
      <c r="A4" s="72" t="s">
        <v>59</v>
      </c>
      <c r="B4" s="73" t="n">
        <f aca="false">IF(ISNUMBER(週次_媒体別CP!C6),週次_媒体別CP!C6,"")</f>
        <v>87849</v>
      </c>
      <c r="C4" s="73" t="n">
        <f aca="false">IF(ISNUMBER(週次_媒体別CP!C62),週次_媒体別CP!C62,"")</f>
        <v>104849</v>
      </c>
      <c r="D4" s="73" t="str">
        <f aca="false">IF(ISNUMBER(週次_媒体別CP!C118),週次_媒体別CP!C118,"")</f>
        <v/>
      </c>
      <c r="E4" s="73" t="n">
        <f aca="false">IF(ISNUMBER(週次_媒体別CP!C174),週次_媒体別CP!C174,"")</f>
        <v>13503</v>
      </c>
      <c r="F4" s="73" t="n">
        <f aca="false">IF(ISNUMBER(週次_媒体別CP!C230),週次_媒体別CP!C230,"")</f>
        <v>728</v>
      </c>
      <c r="G4" s="73" t="n">
        <f aca="false">IF(ISNUMBER(週次_媒体別CP!C286),週次_媒体別CP!C286,"")</f>
        <v>13144</v>
      </c>
      <c r="H4" s="73" t="n">
        <f aca="false">IF(ISNUMBER(週次_媒体別CP!C342),週次_媒体別CP!C342,"")</f>
        <v>26054</v>
      </c>
    </row>
    <row r="5" customFormat="false" ht="15" hidden="false" customHeight="false" outlineLevel="0" collapsed="false">
      <c r="A5" s="72" t="s">
        <v>61</v>
      </c>
      <c r="B5" s="73" t="n">
        <f aca="false">IF(ISNUMBER(週次_媒体別CP!C7),週次_媒体別CP!C7,"")</f>
        <v>84574</v>
      </c>
      <c r="C5" s="73" t="n">
        <f aca="false">IF(ISNUMBER(週次_媒体別CP!C63),週次_媒体別CP!C63,"")</f>
        <v>45827</v>
      </c>
      <c r="D5" s="73" t="str">
        <f aca="false">IF(ISNUMBER(週次_媒体別CP!C119),週次_媒体別CP!C119,"")</f>
        <v/>
      </c>
      <c r="E5" s="73" t="n">
        <f aca="false">IF(ISNUMBER(週次_媒体別CP!C175),週次_媒体別CP!C175,"")</f>
        <v>10788</v>
      </c>
      <c r="F5" s="73" t="n">
        <f aca="false">IF(ISNUMBER(週次_媒体別CP!C231),週次_媒体別CP!C231,"")</f>
        <v>2027</v>
      </c>
      <c r="G5" s="73" t="n">
        <f aca="false">IF(ISNUMBER(週次_媒体別CP!C287),週次_媒体別CP!C287,"")</f>
        <v>13490</v>
      </c>
      <c r="H5" s="73" t="n">
        <f aca="false">IF(ISNUMBER(週次_媒体別CP!C343),週次_媒体別CP!C343,"")</f>
        <v>28429</v>
      </c>
    </row>
    <row r="6" customFormat="false" ht="15" hidden="false" customHeight="false" outlineLevel="0" collapsed="false">
      <c r="A6" s="72" t="s">
        <v>63</v>
      </c>
      <c r="B6" s="73" t="n">
        <f aca="false">IF(ISNUMBER(週次_媒体別CP!C8),週次_媒体別CP!C8,"")</f>
        <v>77500</v>
      </c>
      <c r="C6" s="73" t="n">
        <f aca="false">IF(ISNUMBER(週次_媒体別CP!C64),週次_媒体別CP!C64,"")</f>
        <v>58556</v>
      </c>
      <c r="D6" s="73" t="str">
        <f aca="false">IF(ISNUMBER(週次_媒体別CP!C120),週次_媒体別CP!C120,"")</f>
        <v/>
      </c>
      <c r="E6" s="73" t="n">
        <f aca="false">IF(ISNUMBER(週次_媒体別CP!C176),週次_媒体別CP!C176,"")</f>
        <v>21214</v>
      </c>
      <c r="F6" s="73" t="n">
        <f aca="false">IF(ISNUMBER(週次_媒体別CP!C232),週次_媒体別CP!C232,"")</f>
        <v>14652</v>
      </c>
      <c r="G6" s="73" t="n">
        <f aca="false">IF(ISNUMBER(週次_媒体別CP!C288),週次_媒体別CP!C288,"")</f>
        <v>19971</v>
      </c>
      <c r="H6" s="73" t="n">
        <f aca="false">IF(ISNUMBER(週次_媒体別CP!C344),週次_媒体別CP!C344,"")</f>
        <v>13347</v>
      </c>
    </row>
    <row r="7" customFormat="false" ht="15" hidden="false" customHeight="false" outlineLevel="0" collapsed="false">
      <c r="A7" s="72" t="s">
        <v>65</v>
      </c>
      <c r="B7" s="73" t="str">
        <f aca="false">IF(ISNUMBER(週次_媒体別CP!C9),週次_媒体別CP!C9,"")</f>
        <v/>
      </c>
      <c r="C7" s="73" t="n">
        <f aca="false">IF(ISNUMBER(週次_媒体別CP!C65),週次_媒体別CP!C65,"")</f>
        <v>79731</v>
      </c>
      <c r="D7" s="73" t="str">
        <f aca="false">IF(ISNUMBER(週次_媒体別CP!C121),週次_媒体別CP!C121,"")</f>
        <v/>
      </c>
      <c r="E7" s="73" t="str">
        <f aca="false">IF(ISNUMBER(週次_媒体別CP!C177),週次_媒体別CP!C177,"")</f>
        <v/>
      </c>
      <c r="F7" s="73" t="n">
        <f aca="false">IF(ISNUMBER(週次_媒体別CP!C233),週次_媒体別CP!C233,"")</f>
        <v>4279</v>
      </c>
      <c r="G7" s="73" t="str">
        <f aca="false">IF(ISNUMBER(週次_媒体別CP!C289),週次_媒体別CP!C289,"")</f>
        <v/>
      </c>
      <c r="H7" s="73" t="n">
        <f aca="false">IF(ISNUMBER(週次_媒体別CP!C345),週次_媒体別CP!C345,"")</f>
        <v>12696</v>
      </c>
    </row>
    <row r="8" customFormat="false" ht="15" hidden="false" customHeight="false" outlineLevel="0" collapsed="false">
      <c r="A8" s="72" t="s">
        <v>68</v>
      </c>
      <c r="B8" s="73" t="str">
        <f aca="false">IF(ISNUMBER(週次_媒体別CP!C10),週次_媒体別CP!C10,"")</f>
        <v/>
      </c>
      <c r="C8" s="73" t="n">
        <f aca="false">IF(ISNUMBER(週次_媒体別CP!C66),週次_媒体別CP!C66,"")</f>
        <v>105749</v>
      </c>
      <c r="D8" s="73" t="str">
        <f aca="false">IF(ISNUMBER(週次_媒体別CP!C122),週次_媒体別CP!C122,"")</f>
        <v/>
      </c>
      <c r="E8" s="73" t="str">
        <f aca="false">IF(ISNUMBER(週次_媒体別CP!C178),週次_媒体別CP!C178,"")</f>
        <v/>
      </c>
      <c r="F8" s="73" t="n">
        <f aca="false">IF(ISNUMBER(週次_媒体別CP!C234),週次_媒体別CP!C234,"")</f>
        <v>2503</v>
      </c>
      <c r="G8" s="73" t="str">
        <f aca="false">IF(ISNUMBER(週次_媒体別CP!C290),週次_媒体別CP!C290,"")</f>
        <v/>
      </c>
      <c r="H8" s="73" t="str">
        <f aca="false">IF(ISNUMBER(週次_媒体別CP!C346),週次_媒体別CP!C346,"")</f>
        <v/>
      </c>
    </row>
    <row r="9" customFormat="false" ht="15" hidden="false" customHeight="false" outlineLevel="0" collapsed="false">
      <c r="A9" s="72" t="s">
        <v>70</v>
      </c>
      <c r="B9" s="73" t="str">
        <f aca="false">IF(ISNUMBER(週次_媒体別CP!C11),週次_媒体別CP!C11,"")</f>
        <v/>
      </c>
      <c r="C9" s="73" t="n">
        <f aca="false">IF(ISNUMBER(週次_媒体別CP!C67),週次_媒体別CP!C67,"")</f>
        <v>105217</v>
      </c>
      <c r="D9" s="73" t="n">
        <f aca="false">IF(ISNUMBER(週次_媒体別CP!C123),週次_媒体別CP!C123,"")</f>
        <v>270</v>
      </c>
      <c r="E9" s="73" t="str">
        <f aca="false">IF(ISNUMBER(週次_媒体別CP!C179),週次_媒体別CP!C179,"")</f>
        <v/>
      </c>
      <c r="F9" s="73" t="str">
        <f aca="false">IF(ISNUMBER(週次_媒体別CP!C235),週次_媒体別CP!C235,"")</f>
        <v/>
      </c>
      <c r="G9" s="73" t="str">
        <f aca="false">IF(ISNUMBER(週次_媒体別CP!C291),週次_媒体別CP!C291,"")</f>
        <v/>
      </c>
      <c r="H9" s="73" t="str">
        <f aca="false">IF(ISNUMBER(週次_媒体別CP!C347),週次_媒体別CP!C347,"")</f>
        <v/>
      </c>
    </row>
    <row r="10" customFormat="false" ht="15" hidden="false" customHeight="false" outlineLevel="0" collapsed="false">
      <c r="A10" s="72" t="s">
        <v>72</v>
      </c>
      <c r="B10" s="73" t="str">
        <f aca="false">IF(ISNUMBER(週次_媒体別CP!C12),週次_媒体別CP!C12,"")</f>
        <v/>
      </c>
      <c r="C10" s="73" t="n">
        <f aca="false">IF(ISNUMBER(週次_媒体別CP!C68),週次_媒体別CP!C68,"")</f>
        <v>105644</v>
      </c>
      <c r="D10" s="73" t="n">
        <f aca="false">IF(ISNUMBER(週次_媒体別CP!C124),週次_媒体別CP!C124,"")</f>
        <v>18825</v>
      </c>
      <c r="E10" s="73" t="str">
        <f aca="false">IF(ISNUMBER(週次_媒体別CP!C180),週次_媒体別CP!C180,"")</f>
        <v/>
      </c>
      <c r="F10" s="73" t="str">
        <f aca="false">IF(ISNUMBER(週次_媒体別CP!C236),週次_媒体別CP!C236,"")</f>
        <v/>
      </c>
      <c r="G10" s="73" t="str">
        <f aca="false">IF(ISNUMBER(週次_媒体別CP!C292),週次_媒体別CP!C292,"")</f>
        <v/>
      </c>
      <c r="H10" s="73" t="str">
        <f aca="false">IF(ISNUMBER(週次_媒体別CP!C348),週次_媒体別CP!C348,"")</f>
        <v/>
      </c>
    </row>
    <row r="11" customFormat="false" ht="15" hidden="false" customHeight="false" outlineLevel="0" collapsed="false">
      <c r="A11" s="72" t="s">
        <v>74</v>
      </c>
      <c r="B11" s="73" t="n">
        <f aca="false">IF(ISNUMBER(週次_媒体別CP!C13),週次_媒体別CP!C13,"")</f>
        <v>63871</v>
      </c>
      <c r="C11" s="73" t="n">
        <f aca="false">IF(ISNUMBER(週次_媒体別CP!C69),週次_媒体別CP!C69,"")</f>
        <v>103424</v>
      </c>
      <c r="D11" s="73" t="n">
        <f aca="false">IF(ISNUMBER(週次_媒体別CP!C125),週次_媒体別CP!C125,"")</f>
        <v>43511</v>
      </c>
      <c r="E11" s="73" t="str">
        <f aca="false">IF(ISNUMBER(週次_媒体別CP!C181),週次_媒体別CP!C181,"")</f>
        <v/>
      </c>
      <c r="F11" s="73" t="str">
        <f aca="false">IF(ISNUMBER(週次_媒体別CP!C237),週次_媒体別CP!C237,"")</f>
        <v/>
      </c>
      <c r="G11" s="73" t="str">
        <f aca="false">IF(ISNUMBER(週次_媒体別CP!C293),週次_媒体別CP!C293,"")</f>
        <v/>
      </c>
      <c r="H11" s="73" t="str">
        <f aca="false">IF(ISNUMBER(週次_媒体別CP!C349),週次_媒体別CP!C349,"")</f>
        <v/>
      </c>
    </row>
    <row r="12" customFormat="false" ht="15" hidden="false" customHeight="false" outlineLevel="0" collapsed="false">
      <c r="A12" s="72" t="s">
        <v>76</v>
      </c>
      <c r="B12" s="73" t="n">
        <f aca="false">IF(ISNUMBER(週次_媒体別CP!C14),週次_媒体別CP!C14,"")</f>
        <v>103281</v>
      </c>
      <c r="C12" s="73" t="n">
        <f aca="false">IF(ISNUMBER(週次_媒体別CP!C70),週次_媒体別CP!C70,"")</f>
        <v>137186</v>
      </c>
      <c r="D12" s="73" t="n">
        <f aca="false">IF(ISNUMBER(週次_媒体別CP!C126),週次_媒体別CP!C126,"")</f>
        <v>47766</v>
      </c>
      <c r="E12" s="73" t="str">
        <f aca="false">IF(ISNUMBER(週次_媒体別CP!C182),週次_媒体別CP!C182,"")</f>
        <v/>
      </c>
      <c r="F12" s="73" t="str">
        <f aca="false">IF(ISNUMBER(週次_媒体別CP!C238),週次_媒体別CP!C238,"")</f>
        <v/>
      </c>
      <c r="G12" s="73" t="str">
        <f aca="false">IF(ISNUMBER(週次_媒体別CP!C294),週次_媒体別CP!C294,"")</f>
        <v/>
      </c>
      <c r="H12" s="73" t="str">
        <f aca="false">IF(ISNUMBER(週次_媒体別CP!C350),週次_媒体別CP!C350,"")</f>
        <v/>
      </c>
    </row>
    <row r="13" customFormat="false" ht="15" hidden="false" customHeight="false" outlineLevel="0" collapsed="false">
      <c r="A13" s="72" t="s">
        <v>78</v>
      </c>
      <c r="B13" s="73" t="n">
        <f aca="false">IF(ISNUMBER(週次_媒体別CP!C15),週次_媒体別CP!C15,"")</f>
        <v>36717</v>
      </c>
      <c r="C13" s="73" t="n">
        <f aca="false">IF(ISNUMBER(週次_媒体別CP!C71),週次_媒体別CP!C71,"")</f>
        <v>98142</v>
      </c>
      <c r="D13" s="73" t="n">
        <f aca="false">IF(ISNUMBER(週次_媒体別CP!C127),週次_媒体別CP!C127,"")</f>
        <v>40922</v>
      </c>
      <c r="E13" s="73" t="str">
        <f aca="false">IF(ISNUMBER(週次_媒体別CP!C183),週次_媒体別CP!C183,"")</f>
        <v/>
      </c>
      <c r="F13" s="73" t="str">
        <f aca="false">IF(ISNUMBER(週次_媒体別CP!C239),週次_媒体別CP!C239,"")</f>
        <v/>
      </c>
      <c r="G13" s="73" t="str">
        <f aca="false">IF(ISNUMBER(週次_媒体別CP!C295),週次_媒体別CP!C295,"")</f>
        <v/>
      </c>
      <c r="H13" s="73" t="str">
        <f aca="false">IF(ISNUMBER(週次_媒体別CP!C351),週次_媒体別CP!C351,"")</f>
        <v/>
      </c>
    </row>
    <row r="14" customFormat="false" ht="15" hidden="false" customHeight="false" outlineLevel="0" collapsed="false">
      <c r="A14" s="72" t="s">
        <v>80</v>
      </c>
      <c r="B14" s="73" t="n">
        <f aca="false">IF(ISNUMBER(週次_媒体別CP!C16),週次_媒体別CP!C16,"")</f>
        <v>91426</v>
      </c>
      <c r="C14" s="73" t="n">
        <f aca="false">IF(ISNUMBER(週次_媒体別CP!C72),週次_媒体別CP!C72,"")</f>
        <v>102707</v>
      </c>
      <c r="D14" s="73" t="n">
        <f aca="false">IF(ISNUMBER(週次_媒体別CP!C128),週次_媒体別CP!C128,"")</f>
        <v>39028</v>
      </c>
      <c r="E14" s="73" t="str">
        <f aca="false">IF(ISNUMBER(週次_媒体別CP!C184),週次_媒体別CP!C184,"")</f>
        <v/>
      </c>
      <c r="F14" s="73" t="str">
        <f aca="false">IF(ISNUMBER(週次_媒体別CP!C240),週次_媒体別CP!C240,"")</f>
        <v/>
      </c>
      <c r="G14" s="73" t="str">
        <f aca="false">IF(ISNUMBER(週次_媒体別CP!C296),週次_媒体別CP!C296,"")</f>
        <v/>
      </c>
      <c r="H14" s="73" t="str">
        <f aca="false">IF(ISNUMBER(週次_媒体別CP!C352),週次_媒体別CP!C352,"")</f>
        <v/>
      </c>
    </row>
    <row r="15" customFormat="false" ht="15" hidden="false" customHeight="false" outlineLevel="0" collapsed="false">
      <c r="A15" s="72" t="s">
        <v>82</v>
      </c>
      <c r="B15" s="73" t="str">
        <f aca="false">IF(ISNUMBER(週次_媒体別CP!C17),週次_媒体別CP!C17,"")</f>
        <v/>
      </c>
      <c r="C15" s="73" t="str">
        <f aca="false">IF(ISNUMBER(週次_媒体別CP!C73),週次_媒体別CP!C73,"")</f>
        <v/>
      </c>
      <c r="D15" s="73" t="str">
        <f aca="false">IF(ISNUMBER(週次_媒体別CP!C129),週次_媒体別CP!C129,"")</f>
        <v/>
      </c>
      <c r="E15" s="73" t="str">
        <f aca="false">IF(ISNUMBER(週次_媒体別CP!C185),週次_媒体別CP!C185,"")</f>
        <v/>
      </c>
      <c r="F15" s="73" t="str">
        <f aca="false">IF(ISNUMBER(週次_媒体別CP!C241),週次_媒体別CP!C241,"")</f>
        <v/>
      </c>
      <c r="G15" s="73" t="str">
        <f aca="false">IF(ISNUMBER(週次_媒体別CP!C297),週次_媒体別CP!C297,"")</f>
        <v/>
      </c>
      <c r="H15" s="73" t="str">
        <f aca="false">IF(ISNUMBER(週次_媒体別CP!C353),週次_媒体別CP!C353,"")</f>
        <v/>
      </c>
    </row>
    <row r="16" customFormat="false" ht="15" hidden="false" customHeight="false" outlineLevel="0" collapsed="false">
      <c r="A16" s="72" t="s">
        <v>84</v>
      </c>
      <c r="B16" s="73" t="str">
        <f aca="false">IF(ISNUMBER(週次_媒体別CP!C18),週次_媒体別CP!C18,"")</f>
        <v/>
      </c>
      <c r="C16" s="73" t="str">
        <f aca="false">IF(ISNUMBER(週次_媒体別CP!C74),週次_媒体別CP!C74,"")</f>
        <v/>
      </c>
      <c r="D16" s="73" t="str">
        <f aca="false">IF(ISNUMBER(週次_媒体別CP!C130),週次_媒体別CP!C130,"")</f>
        <v/>
      </c>
      <c r="E16" s="73" t="str">
        <f aca="false">IF(ISNUMBER(週次_媒体別CP!C186),週次_媒体別CP!C186,"")</f>
        <v/>
      </c>
      <c r="F16" s="73" t="str">
        <f aca="false">IF(ISNUMBER(週次_媒体別CP!C242),週次_媒体別CP!C242,"")</f>
        <v/>
      </c>
      <c r="G16" s="73" t="str">
        <f aca="false">IF(ISNUMBER(週次_媒体別CP!C298),週次_媒体別CP!C298,"")</f>
        <v/>
      </c>
      <c r="H16" s="73" t="str">
        <f aca="false">IF(ISNUMBER(週次_媒体別CP!C354),週次_媒体別CP!C354,"")</f>
        <v/>
      </c>
    </row>
    <row r="17" customFormat="false" ht="15" hidden="false" customHeight="false" outlineLevel="0" collapsed="false">
      <c r="A17" s="72" t="s">
        <v>86</v>
      </c>
      <c r="B17" s="73" t="str">
        <f aca="false">IF(ISNUMBER(週次_媒体別CP!C19),週次_媒体別CP!C19,"")</f>
        <v/>
      </c>
      <c r="C17" s="73" t="str">
        <f aca="false">IF(ISNUMBER(週次_媒体別CP!C75),週次_媒体別CP!C75,"")</f>
        <v/>
      </c>
      <c r="D17" s="73" t="str">
        <f aca="false">IF(ISNUMBER(週次_媒体別CP!C131),週次_媒体別CP!C131,"")</f>
        <v/>
      </c>
      <c r="E17" s="73" t="str">
        <f aca="false">IF(ISNUMBER(週次_媒体別CP!C187),週次_媒体別CP!C187,"")</f>
        <v/>
      </c>
      <c r="F17" s="73" t="str">
        <f aca="false">IF(ISNUMBER(週次_媒体別CP!C243),週次_媒体別CP!C243,"")</f>
        <v/>
      </c>
      <c r="G17" s="73" t="str">
        <f aca="false">IF(ISNUMBER(週次_媒体別CP!C299),週次_媒体別CP!C299,"")</f>
        <v/>
      </c>
      <c r="H17" s="73" t="str">
        <f aca="false">IF(ISNUMBER(週次_媒体別CP!C355),週次_媒体別CP!C355,"")</f>
        <v/>
      </c>
    </row>
    <row r="18" customFormat="false" ht="15" hidden="false" customHeight="false" outlineLevel="0" collapsed="false">
      <c r="A18" s="72" t="s">
        <v>88</v>
      </c>
      <c r="B18" s="73" t="str">
        <f aca="false">IF(ISNUMBER(週次_媒体別CP!C20),週次_媒体別CP!C20,"")</f>
        <v/>
      </c>
      <c r="C18" s="73" t="str">
        <f aca="false">IF(ISNUMBER(週次_媒体別CP!C76),週次_媒体別CP!C76,"")</f>
        <v/>
      </c>
      <c r="D18" s="73" t="str">
        <f aca="false">IF(ISNUMBER(週次_媒体別CP!C132),週次_媒体別CP!C132,"")</f>
        <v/>
      </c>
      <c r="E18" s="73" t="str">
        <f aca="false">IF(ISNUMBER(週次_媒体別CP!C188),週次_媒体別CP!C188,"")</f>
        <v/>
      </c>
      <c r="F18" s="73" t="str">
        <f aca="false">IF(ISNUMBER(週次_媒体別CP!C244),週次_媒体別CP!C244,"")</f>
        <v/>
      </c>
      <c r="G18" s="73" t="str">
        <f aca="false">IF(ISNUMBER(週次_媒体別CP!C300),週次_媒体別CP!C300,"")</f>
        <v/>
      </c>
      <c r="H18" s="73" t="str">
        <f aca="false">IF(ISNUMBER(週次_媒体別CP!C356),週次_媒体別CP!C356,"")</f>
        <v/>
      </c>
    </row>
    <row r="19" customFormat="false" ht="15" hidden="false" customHeight="false" outlineLevel="0" collapsed="false">
      <c r="A19" s="72" t="s">
        <v>90</v>
      </c>
      <c r="B19" s="73" t="str">
        <f aca="false">IF(ISNUMBER(週次_媒体別CP!C21),週次_媒体別CP!C21,"")</f>
        <v/>
      </c>
      <c r="C19" s="73" t="str">
        <f aca="false">IF(ISNUMBER(週次_媒体別CP!C77),週次_媒体別CP!C77,"")</f>
        <v/>
      </c>
      <c r="D19" s="73" t="str">
        <f aca="false">IF(ISNUMBER(週次_媒体別CP!C133),週次_媒体別CP!C133,"")</f>
        <v/>
      </c>
      <c r="E19" s="73" t="str">
        <f aca="false">IF(ISNUMBER(週次_媒体別CP!C189),週次_媒体別CP!C189,"")</f>
        <v/>
      </c>
      <c r="F19" s="73" t="str">
        <f aca="false">IF(ISNUMBER(週次_媒体別CP!C245),週次_媒体別CP!C245,"")</f>
        <v/>
      </c>
      <c r="G19" s="73" t="str">
        <f aca="false">IF(ISNUMBER(週次_媒体別CP!C301),週次_媒体別CP!C301,"")</f>
        <v/>
      </c>
      <c r="H19" s="73" t="str">
        <f aca="false">IF(ISNUMBER(週次_媒体別CP!C357),週次_媒体別CP!C357,"")</f>
        <v/>
      </c>
    </row>
    <row r="20" customFormat="false" ht="15" hidden="false" customHeight="false" outlineLevel="0" collapsed="false">
      <c r="A20" s="72" t="s">
        <v>92</v>
      </c>
      <c r="B20" s="73" t="str">
        <f aca="false">IF(ISNUMBER(週次_媒体別CP!C22),週次_媒体別CP!C22,"")</f>
        <v/>
      </c>
      <c r="C20" s="73" t="str">
        <f aca="false">IF(ISNUMBER(週次_媒体別CP!C78),週次_媒体別CP!C78,"")</f>
        <v/>
      </c>
      <c r="D20" s="73" t="str">
        <f aca="false">IF(ISNUMBER(週次_媒体別CP!C134),週次_媒体別CP!C134,"")</f>
        <v/>
      </c>
      <c r="E20" s="73" t="str">
        <f aca="false">IF(ISNUMBER(週次_媒体別CP!C190),週次_媒体別CP!C190,"")</f>
        <v/>
      </c>
      <c r="F20" s="73" t="str">
        <f aca="false">IF(ISNUMBER(週次_媒体別CP!C246),週次_媒体別CP!C246,"")</f>
        <v/>
      </c>
      <c r="G20" s="73" t="str">
        <f aca="false">IF(ISNUMBER(週次_媒体別CP!C302),週次_媒体別CP!C302,"")</f>
        <v/>
      </c>
      <c r="H20" s="73" t="str">
        <f aca="false">IF(ISNUMBER(週次_媒体別CP!C358),週次_媒体別CP!C358,"")</f>
        <v/>
      </c>
    </row>
    <row r="21" customFormat="false" ht="15" hidden="false" customHeight="false" outlineLevel="0" collapsed="false">
      <c r="A21" s="72" t="s">
        <v>94</v>
      </c>
      <c r="B21" s="73" t="str">
        <f aca="false">IF(ISNUMBER(週次_媒体別CP!C23),週次_媒体別CP!C23,"")</f>
        <v/>
      </c>
      <c r="C21" s="73" t="str">
        <f aca="false">IF(ISNUMBER(週次_媒体別CP!C79),週次_媒体別CP!C79,"")</f>
        <v/>
      </c>
      <c r="D21" s="73" t="str">
        <f aca="false">IF(ISNUMBER(週次_媒体別CP!C135),週次_媒体別CP!C135,"")</f>
        <v/>
      </c>
      <c r="E21" s="73" t="str">
        <f aca="false">IF(ISNUMBER(週次_媒体別CP!C191),週次_媒体別CP!C191,"")</f>
        <v/>
      </c>
      <c r="F21" s="73" t="str">
        <f aca="false">IF(ISNUMBER(週次_媒体別CP!C247),週次_媒体別CP!C247,"")</f>
        <v/>
      </c>
      <c r="G21" s="73" t="str">
        <f aca="false">IF(ISNUMBER(週次_媒体別CP!C303),週次_媒体別CP!C303,"")</f>
        <v/>
      </c>
      <c r="H21" s="73" t="str">
        <f aca="false">IF(ISNUMBER(週次_媒体別CP!C359),週次_媒体別CP!C359,"")</f>
        <v/>
      </c>
    </row>
    <row r="22" customFormat="false" ht="15" hidden="false" customHeight="false" outlineLevel="0" collapsed="false">
      <c r="A22" s="72" t="s">
        <v>96</v>
      </c>
      <c r="B22" s="73" t="str">
        <f aca="false">IF(ISNUMBER(週次_媒体別CP!C24),週次_媒体別CP!C24,"")</f>
        <v/>
      </c>
      <c r="C22" s="73" t="str">
        <f aca="false">IF(ISNUMBER(週次_媒体別CP!C80),週次_媒体別CP!C80,"")</f>
        <v/>
      </c>
      <c r="D22" s="73" t="str">
        <f aca="false">IF(ISNUMBER(週次_媒体別CP!C136),週次_媒体別CP!C136,"")</f>
        <v/>
      </c>
      <c r="E22" s="73" t="str">
        <f aca="false">IF(ISNUMBER(週次_媒体別CP!C192),週次_媒体別CP!C192,"")</f>
        <v/>
      </c>
      <c r="F22" s="73" t="str">
        <f aca="false">IF(ISNUMBER(週次_媒体別CP!C248),週次_媒体別CP!C248,"")</f>
        <v/>
      </c>
      <c r="G22" s="73" t="str">
        <f aca="false">IF(ISNUMBER(週次_媒体別CP!C304),週次_媒体別CP!C304,"")</f>
        <v/>
      </c>
      <c r="H22" s="73" t="str">
        <f aca="false">IF(ISNUMBER(週次_媒体別CP!C360),週次_媒体別CP!C360,"")</f>
        <v/>
      </c>
    </row>
    <row r="23" customFormat="false" ht="15" hidden="false" customHeight="false" outlineLevel="0" collapsed="false">
      <c r="A23" s="72" t="s">
        <v>98</v>
      </c>
      <c r="B23" s="73" t="str">
        <f aca="false">IF(ISNUMBER(週次_媒体別CP!C25),週次_媒体別CP!C25,"")</f>
        <v/>
      </c>
      <c r="C23" s="73" t="str">
        <f aca="false">IF(ISNUMBER(週次_媒体別CP!C81),週次_媒体別CP!C81,"")</f>
        <v/>
      </c>
      <c r="D23" s="73" t="str">
        <f aca="false">IF(ISNUMBER(週次_媒体別CP!C137),週次_媒体別CP!C137,"")</f>
        <v/>
      </c>
      <c r="E23" s="73" t="str">
        <f aca="false">IF(ISNUMBER(週次_媒体別CP!C193),週次_媒体別CP!C193,"")</f>
        <v/>
      </c>
      <c r="F23" s="73" t="str">
        <f aca="false">IF(ISNUMBER(週次_媒体別CP!C249),週次_媒体別CP!C249,"")</f>
        <v/>
      </c>
      <c r="G23" s="73" t="str">
        <f aca="false">IF(ISNUMBER(週次_媒体別CP!C305),週次_媒体別CP!C305,"")</f>
        <v/>
      </c>
      <c r="H23" s="73" t="str">
        <f aca="false">IF(ISNUMBER(週次_媒体別CP!C361),週次_媒体別CP!C361,"")</f>
        <v/>
      </c>
    </row>
    <row r="24" customFormat="false" ht="15" hidden="false" customHeight="false" outlineLevel="0" collapsed="false">
      <c r="A24" s="72" t="s">
        <v>100</v>
      </c>
      <c r="B24" s="73" t="str">
        <f aca="false">IF(ISNUMBER(週次_媒体別CP!C26),週次_媒体別CP!C26,"")</f>
        <v/>
      </c>
      <c r="C24" s="73" t="str">
        <f aca="false">IF(ISNUMBER(週次_媒体別CP!C82),週次_媒体別CP!C82,"")</f>
        <v/>
      </c>
      <c r="D24" s="73" t="str">
        <f aca="false">IF(ISNUMBER(週次_媒体別CP!C138),週次_媒体別CP!C138,"")</f>
        <v/>
      </c>
      <c r="E24" s="73" t="str">
        <f aca="false">IF(ISNUMBER(週次_媒体別CP!C194),週次_媒体別CP!C194,"")</f>
        <v/>
      </c>
      <c r="F24" s="73" t="str">
        <f aca="false">IF(ISNUMBER(週次_媒体別CP!C250),週次_媒体別CP!C250,"")</f>
        <v/>
      </c>
      <c r="G24" s="73" t="str">
        <f aca="false">IF(ISNUMBER(週次_媒体別CP!C306),週次_媒体別CP!C306,"")</f>
        <v/>
      </c>
      <c r="H24" s="73" t="str">
        <f aca="false">IF(ISNUMBER(週次_媒体別CP!C362),週次_媒体別CP!C362,"")</f>
        <v/>
      </c>
    </row>
    <row r="25" customFormat="false" ht="15" hidden="false" customHeight="false" outlineLevel="0" collapsed="false">
      <c r="A25" s="72" t="s">
        <v>102</v>
      </c>
      <c r="B25" s="73" t="str">
        <f aca="false">IF(ISNUMBER(週次_媒体別CP!C27),週次_媒体別CP!C27,"")</f>
        <v/>
      </c>
      <c r="C25" s="73" t="str">
        <f aca="false">IF(ISNUMBER(週次_媒体別CP!C83),週次_媒体別CP!C83,"")</f>
        <v/>
      </c>
      <c r="D25" s="73" t="str">
        <f aca="false">IF(ISNUMBER(週次_媒体別CP!C139),週次_媒体別CP!C139,"")</f>
        <v/>
      </c>
      <c r="E25" s="73" t="str">
        <f aca="false">IF(ISNUMBER(週次_媒体別CP!C195),週次_媒体別CP!C195,"")</f>
        <v/>
      </c>
      <c r="F25" s="73" t="str">
        <f aca="false">IF(ISNUMBER(週次_媒体別CP!C251),週次_媒体別CP!C251,"")</f>
        <v/>
      </c>
      <c r="G25" s="73" t="str">
        <f aca="false">IF(ISNUMBER(週次_媒体別CP!C307),週次_媒体別CP!C307,"")</f>
        <v/>
      </c>
      <c r="H25" s="73" t="str">
        <f aca="false">IF(ISNUMBER(週次_媒体別CP!C363),週次_媒体別CP!C363,"")</f>
        <v/>
      </c>
    </row>
    <row r="26" customFormat="false" ht="15" hidden="false" customHeight="false" outlineLevel="0" collapsed="false">
      <c r="A26" s="72" t="s">
        <v>104</v>
      </c>
      <c r="B26" s="73" t="str">
        <f aca="false">IF(ISNUMBER(週次_媒体別CP!C28),週次_媒体別CP!C28,"")</f>
        <v/>
      </c>
      <c r="C26" s="73" t="str">
        <f aca="false">IF(ISNUMBER(週次_媒体別CP!C84),週次_媒体別CP!C84,"")</f>
        <v/>
      </c>
      <c r="D26" s="73" t="str">
        <f aca="false">IF(ISNUMBER(週次_媒体別CP!C140),週次_媒体別CP!C140,"")</f>
        <v/>
      </c>
      <c r="E26" s="73" t="str">
        <f aca="false">IF(ISNUMBER(週次_媒体別CP!C196),週次_媒体別CP!C196,"")</f>
        <v/>
      </c>
      <c r="F26" s="73" t="str">
        <f aca="false">IF(ISNUMBER(週次_媒体別CP!C252),週次_媒体別CP!C252,"")</f>
        <v/>
      </c>
      <c r="G26" s="73" t="str">
        <f aca="false">IF(ISNUMBER(週次_媒体別CP!C308),週次_媒体別CP!C308,"")</f>
        <v/>
      </c>
      <c r="H26" s="73" t="str">
        <f aca="false">IF(ISNUMBER(週次_媒体別CP!C364),週次_媒体別CP!C364,"")</f>
        <v/>
      </c>
    </row>
    <row r="27" customFormat="false" ht="15" hidden="false" customHeight="false" outlineLevel="0" collapsed="false">
      <c r="A27" s="72" t="s">
        <v>106</v>
      </c>
      <c r="B27" s="73" t="str">
        <f aca="false">IF(ISNUMBER(週次_媒体別CP!C29),週次_媒体別CP!C29,"")</f>
        <v/>
      </c>
      <c r="C27" s="73" t="str">
        <f aca="false">IF(ISNUMBER(週次_媒体別CP!C85),週次_媒体別CP!C85,"")</f>
        <v/>
      </c>
      <c r="D27" s="73" t="str">
        <f aca="false">IF(ISNUMBER(週次_媒体別CP!C141),週次_媒体別CP!C141,"")</f>
        <v/>
      </c>
      <c r="E27" s="73" t="str">
        <f aca="false">IF(ISNUMBER(週次_媒体別CP!C197),週次_媒体別CP!C197,"")</f>
        <v/>
      </c>
      <c r="F27" s="73" t="str">
        <f aca="false">IF(ISNUMBER(週次_媒体別CP!C253),週次_媒体別CP!C253,"")</f>
        <v/>
      </c>
      <c r="G27" s="73" t="str">
        <f aca="false">IF(ISNUMBER(週次_媒体別CP!C309),週次_媒体別CP!C309,"")</f>
        <v/>
      </c>
      <c r="H27" s="73" t="str">
        <f aca="false">IF(ISNUMBER(週次_媒体別CP!C365),週次_媒体別CP!C365,"")</f>
        <v/>
      </c>
    </row>
    <row r="28" customFormat="false" ht="15" hidden="false" customHeight="false" outlineLevel="0" collapsed="false">
      <c r="A28" s="72" t="s">
        <v>108</v>
      </c>
      <c r="B28" s="73" t="str">
        <f aca="false">IF(ISNUMBER(週次_媒体別CP!C30),週次_媒体別CP!C30,"")</f>
        <v/>
      </c>
      <c r="C28" s="73" t="str">
        <f aca="false">IF(ISNUMBER(週次_媒体別CP!C86),週次_媒体別CP!C86,"")</f>
        <v/>
      </c>
      <c r="D28" s="73" t="str">
        <f aca="false">IF(ISNUMBER(週次_媒体別CP!C142),週次_媒体別CP!C142,"")</f>
        <v/>
      </c>
      <c r="E28" s="73" t="str">
        <f aca="false">IF(ISNUMBER(週次_媒体別CP!C198),週次_媒体別CP!C198,"")</f>
        <v/>
      </c>
      <c r="F28" s="73" t="str">
        <f aca="false">IF(ISNUMBER(週次_媒体別CP!C254),週次_媒体別CP!C254,"")</f>
        <v/>
      </c>
      <c r="G28" s="73" t="str">
        <f aca="false">IF(ISNUMBER(週次_媒体別CP!C310),週次_媒体別CP!C310,"")</f>
        <v/>
      </c>
      <c r="H28" s="73" t="str">
        <f aca="false">IF(ISNUMBER(週次_媒体別CP!C366),週次_媒体別CP!C366,"")</f>
        <v/>
      </c>
    </row>
    <row r="29" customFormat="false" ht="15" hidden="false" customHeight="false" outlineLevel="0" collapsed="false">
      <c r="A29" s="72" t="s">
        <v>110</v>
      </c>
      <c r="B29" s="73" t="str">
        <f aca="false">IF(ISNUMBER(週次_媒体別CP!C31),週次_媒体別CP!C31,"")</f>
        <v/>
      </c>
      <c r="C29" s="73" t="str">
        <f aca="false">IF(ISNUMBER(週次_媒体別CP!C87),週次_媒体別CP!C87,"")</f>
        <v/>
      </c>
      <c r="D29" s="73" t="str">
        <f aca="false">IF(ISNUMBER(週次_媒体別CP!C143),週次_媒体別CP!C143,"")</f>
        <v/>
      </c>
      <c r="E29" s="73" t="str">
        <f aca="false">IF(ISNUMBER(週次_媒体別CP!C199),週次_媒体別CP!C199,"")</f>
        <v/>
      </c>
      <c r="F29" s="73" t="str">
        <f aca="false">IF(ISNUMBER(週次_媒体別CP!C255),週次_媒体別CP!C255,"")</f>
        <v/>
      </c>
      <c r="G29" s="73" t="str">
        <f aca="false">IF(ISNUMBER(週次_媒体別CP!C311),週次_媒体別CP!C311,"")</f>
        <v/>
      </c>
      <c r="H29" s="73" t="str">
        <f aca="false">IF(ISNUMBER(週次_媒体別CP!C367),週次_媒体別CP!C367,"")</f>
        <v/>
      </c>
    </row>
    <row r="30" customFormat="false" ht="15" hidden="false" customHeight="false" outlineLevel="0" collapsed="false">
      <c r="A30" s="72" t="s">
        <v>112</v>
      </c>
      <c r="B30" s="73" t="str">
        <f aca="false">IF(ISNUMBER(週次_媒体別CP!C32),週次_媒体別CP!C32,"")</f>
        <v/>
      </c>
      <c r="C30" s="73" t="str">
        <f aca="false">IF(ISNUMBER(週次_媒体別CP!C88),週次_媒体別CP!C88,"")</f>
        <v/>
      </c>
      <c r="D30" s="73" t="str">
        <f aca="false">IF(ISNUMBER(週次_媒体別CP!C144),週次_媒体別CP!C144,"")</f>
        <v/>
      </c>
      <c r="E30" s="73" t="str">
        <f aca="false">IF(ISNUMBER(週次_媒体別CP!C200),週次_媒体別CP!C200,"")</f>
        <v/>
      </c>
      <c r="F30" s="73" t="str">
        <f aca="false">IF(ISNUMBER(週次_媒体別CP!C256),週次_媒体別CP!C256,"")</f>
        <v/>
      </c>
      <c r="G30" s="73" t="str">
        <f aca="false">IF(ISNUMBER(週次_媒体別CP!C312),週次_媒体別CP!C312,"")</f>
        <v/>
      </c>
      <c r="H30" s="73" t="str">
        <f aca="false">IF(ISNUMBER(週次_媒体別CP!C368),週次_媒体別CP!C368,"")</f>
        <v/>
      </c>
    </row>
    <row r="31" customFormat="false" ht="15" hidden="false" customHeight="false" outlineLevel="0" collapsed="false">
      <c r="A31" s="72" t="s">
        <v>114</v>
      </c>
      <c r="B31" s="73" t="str">
        <f aca="false">IF(ISNUMBER(週次_媒体別CP!C33),週次_媒体別CP!C33,"")</f>
        <v/>
      </c>
      <c r="C31" s="73" t="str">
        <f aca="false">IF(ISNUMBER(週次_媒体別CP!C89),週次_媒体別CP!C89,"")</f>
        <v/>
      </c>
      <c r="D31" s="73" t="str">
        <f aca="false">IF(ISNUMBER(週次_媒体別CP!C145),週次_媒体別CP!C145,"")</f>
        <v/>
      </c>
      <c r="E31" s="73" t="str">
        <f aca="false">IF(ISNUMBER(週次_媒体別CP!C201),週次_媒体別CP!C201,"")</f>
        <v/>
      </c>
      <c r="F31" s="73" t="str">
        <f aca="false">IF(ISNUMBER(週次_媒体別CP!C257),週次_媒体別CP!C257,"")</f>
        <v/>
      </c>
      <c r="G31" s="73" t="str">
        <f aca="false">IF(ISNUMBER(週次_媒体別CP!C313),週次_媒体別CP!C313,"")</f>
        <v/>
      </c>
      <c r="H31" s="73" t="str">
        <f aca="false">IF(ISNUMBER(週次_媒体別CP!C369),週次_媒体別CP!C369,"")</f>
        <v/>
      </c>
    </row>
    <row r="32" customFormat="false" ht="15" hidden="false" customHeight="false" outlineLevel="0" collapsed="false">
      <c r="A32" s="72" t="s">
        <v>116</v>
      </c>
      <c r="B32" s="73" t="str">
        <f aca="false">IF(ISNUMBER(週次_媒体別CP!C34),週次_媒体別CP!C34,"")</f>
        <v/>
      </c>
      <c r="C32" s="73" t="str">
        <f aca="false">IF(ISNUMBER(週次_媒体別CP!C90),週次_媒体別CP!C90,"")</f>
        <v/>
      </c>
      <c r="D32" s="73" t="str">
        <f aca="false">IF(ISNUMBER(週次_媒体別CP!C146),週次_媒体別CP!C146,"")</f>
        <v/>
      </c>
      <c r="E32" s="73" t="str">
        <f aca="false">IF(ISNUMBER(週次_媒体別CP!C202),週次_媒体別CP!C202,"")</f>
        <v/>
      </c>
      <c r="F32" s="73" t="str">
        <f aca="false">IF(ISNUMBER(週次_媒体別CP!C258),週次_媒体別CP!C258,"")</f>
        <v/>
      </c>
      <c r="G32" s="73" t="str">
        <f aca="false">IF(ISNUMBER(週次_媒体別CP!C314),週次_媒体別CP!C314,"")</f>
        <v/>
      </c>
      <c r="H32" s="73" t="str">
        <f aca="false">IF(ISNUMBER(週次_媒体別CP!C370),週次_媒体別CP!C370,"")</f>
        <v/>
      </c>
    </row>
    <row r="33" customFormat="false" ht="15" hidden="false" customHeight="false" outlineLevel="0" collapsed="false">
      <c r="A33" s="72" t="s">
        <v>118</v>
      </c>
      <c r="B33" s="73" t="str">
        <f aca="false">IF(ISNUMBER(週次_媒体別CP!C35),週次_媒体別CP!C35,"")</f>
        <v/>
      </c>
      <c r="C33" s="73" t="str">
        <f aca="false">IF(ISNUMBER(週次_媒体別CP!C91),週次_媒体別CP!C91,"")</f>
        <v/>
      </c>
      <c r="D33" s="73" t="str">
        <f aca="false">IF(ISNUMBER(週次_媒体別CP!C147),週次_媒体別CP!C147,"")</f>
        <v/>
      </c>
      <c r="E33" s="73" t="str">
        <f aca="false">IF(ISNUMBER(週次_媒体別CP!C203),週次_媒体別CP!C203,"")</f>
        <v/>
      </c>
      <c r="F33" s="73" t="str">
        <f aca="false">IF(ISNUMBER(週次_媒体別CP!C259),週次_媒体別CP!C259,"")</f>
        <v/>
      </c>
      <c r="G33" s="73" t="str">
        <f aca="false">IF(ISNUMBER(週次_媒体別CP!C315),週次_媒体別CP!C315,"")</f>
        <v/>
      </c>
      <c r="H33" s="73" t="str">
        <f aca="false">IF(ISNUMBER(週次_媒体別CP!C371),週次_媒体別CP!C371,"")</f>
        <v/>
      </c>
    </row>
    <row r="34" customFormat="false" ht="15" hidden="false" customHeight="false" outlineLevel="0" collapsed="false">
      <c r="A34" s="72" t="s">
        <v>120</v>
      </c>
      <c r="B34" s="73" t="str">
        <f aca="false">IF(ISNUMBER(週次_媒体別CP!C36),週次_媒体別CP!C36,"")</f>
        <v/>
      </c>
      <c r="C34" s="73" t="str">
        <f aca="false">IF(ISNUMBER(週次_媒体別CP!C92),週次_媒体別CP!C92,"")</f>
        <v/>
      </c>
      <c r="D34" s="73" t="str">
        <f aca="false">IF(ISNUMBER(週次_媒体別CP!C148),週次_媒体別CP!C148,"")</f>
        <v/>
      </c>
      <c r="E34" s="73" t="str">
        <f aca="false">IF(ISNUMBER(週次_媒体別CP!C204),週次_媒体別CP!C204,"")</f>
        <v/>
      </c>
      <c r="F34" s="73" t="str">
        <f aca="false">IF(ISNUMBER(週次_媒体別CP!C260),週次_媒体別CP!C260,"")</f>
        <v/>
      </c>
      <c r="G34" s="73" t="str">
        <f aca="false">IF(ISNUMBER(週次_媒体別CP!C316),週次_媒体別CP!C316,"")</f>
        <v/>
      </c>
      <c r="H34" s="73" t="str">
        <f aca="false">IF(ISNUMBER(週次_媒体別CP!C372),週次_媒体別CP!C372,"")</f>
        <v/>
      </c>
    </row>
    <row r="35" customFormat="false" ht="15" hidden="false" customHeight="false" outlineLevel="0" collapsed="false">
      <c r="A35" s="72" t="s">
        <v>122</v>
      </c>
      <c r="B35" s="73" t="str">
        <f aca="false">IF(ISNUMBER(週次_媒体別CP!C37),週次_媒体別CP!C37,"")</f>
        <v/>
      </c>
      <c r="C35" s="73" t="str">
        <f aca="false">IF(ISNUMBER(週次_媒体別CP!C93),週次_媒体別CP!C93,"")</f>
        <v/>
      </c>
      <c r="D35" s="73" t="str">
        <f aca="false">IF(ISNUMBER(週次_媒体別CP!C149),週次_媒体別CP!C149,"")</f>
        <v/>
      </c>
      <c r="E35" s="73" t="str">
        <f aca="false">IF(ISNUMBER(週次_媒体別CP!C205),週次_媒体別CP!C205,"")</f>
        <v/>
      </c>
      <c r="F35" s="73" t="str">
        <f aca="false">IF(ISNUMBER(週次_媒体別CP!C261),週次_媒体別CP!C261,"")</f>
        <v/>
      </c>
      <c r="G35" s="73" t="str">
        <f aca="false">IF(ISNUMBER(週次_媒体別CP!C317),週次_媒体別CP!C317,"")</f>
        <v/>
      </c>
      <c r="H35" s="73" t="str">
        <f aca="false">IF(ISNUMBER(週次_媒体別CP!C373),週次_媒体別CP!C373,"")</f>
        <v/>
      </c>
    </row>
    <row r="36" customFormat="false" ht="15" hidden="false" customHeight="false" outlineLevel="0" collapsed="false">
      <c r="A36" s="72" t="s">
        <v>124</v>
      </c>
      <c r="B36" s="73" t="str">
        <f aca="false">IF(ISNUMBER(週次_媒体別CP!C38),週次_媒体別CP!C38,"")</f>
        <v/>
      </c>
      <c r="C36" s="73" t="str">
        <f aca="false">IF(ISNUMBER(週次_媒体別CP!C94),週次_媒体別CP!C94,"")</f>
        <v/>
      </c>
      <c r="D36" s="73" t="str">
        <f aca="false">IF(ISNUMBER(週次_媒体別CP!C150),週次_媒体別CP!C150,"")</f>
        <v/>
      </c>
      <c r="E36" s="73" t="str">
        <f aca="false">IF(ISNUMBER(週次_媒体別CP!C206),週次_媒体別CP!C206,"")</f>
        <v/>
      </c>
      <c r="F36" s="73" t="str">
        <f aca="false">IF(ISNUMBER(週次_媒体別CP!C262),週次_媒体別CP!C262,"")</f>
        <v/>
      </c>
      <c r="G36" s="73" t="str">
        <f aca="false">IF(ISNUMBER(週次_媒体別CP!C318),週次_媒体別CP!C318,"")</f>
        <v/>
      </c>
      <c r="H36" s="73" t="str">
        <f aca="false">IF(ISNUMBER(週次_媒体別CP!C374),週次_媒体別CP!C374,"")</f>
        <v/>
      </c>
    </row>
    <row r="37" customFormat="false" ht="15" hidden="false" customHeight="false" outlineLevel="0" collapsed="false">
      <c r="A37" s="72" t="s">
        <v>126</v>
      </c>
      <c r="B37" s="73" t="str">
        <f aca="false">IF(ISNUMBER(週次_媒体別CP!C39),週次_媒体別CP!C39,"")</f>
        <v/>
      </c>
      <c r="C37" s="73" t="str">
        <f aca="false">IF(ISNUMBER(週次_媒体別CP!C95),週次_媒体別CP!C95,"")</f>
        <v/>
      </c>
      <c r="D37" s="73" t="str">
        <f aca="false">IF(ISNUMBER(週次_媒体別CP!C151),週次_媒体別CP!C151,"")</f>
        <v/>
      </c>
      <c r="E37" s="73" t="str">
        <f aca="false">IF(ISNUMBER(週次_媒体別CP!C207),週次_媒体別CP!C207,"")</f>
        <v/>
      </c>
      <c r="F37" s="73" t="str">
        <f aca="false">IF(ISNUMBER(週次_媒体別CP!C263),週次_媒体別CP!C263,"")</f>
        <v/>
      </c>
      <c r="G37" s="73" t="str">
        <f aca="false">IF(ISNUMBER(週次_媒体別CP!C319),週次_媒体別CP!C319,"")</f>
        <v/>
      </c>
      <c r="H37" s="73" t="str">
        <f aca="false">IF(ISNUMBER(週次_媒体別CP!C375),週次_媒体別CP!C375,"")</f>
        <v/>
      </c>
    </row>
    <row r="38" customFormat="false" ht="15" hidden="false" customHeight="false" outlineLevel="0" collapsed="false">
      <c r="A38" s="72" t="s">
        <v>128</v>
      </c>
      <c r="B38" s="73" t="str">
        <f aca="false">IF(ISNUMBER(週次_媒体別CP!C40),週次_媒体別CP!C40,"")</f>
        <v/>
      </c>
      <c r="C38" s="73" t="str">
        <f aca="false">IF(ISNUMBER(週次_媒体別CP!C96),週次_媒体別CP!C96,"")</f>
        <v/>
      </c>
      <c r="D38" s="73" t="str">
        <f aca="false">IF(ISNUMBER(週次_媒体別CP!C152),週次_媒体別CP!C152,"")</f>
        <v/>
      </c>
      <c r="E38" s="73" t="str">
        <f aca="false">IF(ISNUMBER(週次_媒体別CP!C208),週次_媒体別CP!C208,"")</f>
        <v/>
      </c>
      <c r="F38" s="73" t="str">
        <f aca="false">IF(ISNUMBER(週次_媒体別CP!C264),週次_媒体別CP!C264,"")</f>
        <v/>
      </c>
      <c r="G38" s="73" t="str">
        <f aca="false">IF(ISNUMBER(週次_媒体別CP!C320),週次_媒体別CP!C320,"")</f>
        <v/>
      </c>
      <c r="H38" s="73" t="str">
        <f aca="false">IF(ISNUMBER(週次_媒体別CP!C376),週次_媒体別CP!C376,"")</f>
        <v/>
      </c>
    </row>
    <row r="39" customFormat="false" ht="15" hidden="false" customHeight="false" outlineLevel="0" collapsed="false">
      <c r="A39" s="72" t="s">
        <v>130</v>
      </c>
      <c r="B39" s="73" t="str">
        <f aca="false">IF(ISNUMBER(週次_媒体別CP!C41),週次_媒体別CP!C41,"")</f>
        <v/>
      </c>
      <c r="C39" s="73" t="str">
        <f aca="false">IF(ISNUMBER(週次_媒体別CP!C97),週次_媒体別CP!C97,"")</f>
        <v/>
      </c>
      <c r="D39" s="73" t="str">
        <f aca="false">IF(ISNUMBER(週次_媒体別CP!C153),週次_媒体別CP!C153,"")</f>
        <v/>
      </c>
      <c r="E39" s="73" t="str">
        <f aca="false">IF(ISNUMBER(週次_媒体別CP!C209),週次_媒体別CP!C209,"")</f>
        <v/>
      </c>
      <c r="F39" s="73" t="str">
        <f aca="false">IF(ISNUMBER(週次_媒体別CP!C265),週次_媒体別CP!C265,"")</f>
        <v/>
      </c>
      <c r="G39" s="73" t="str">
        <f aca="false">IF(ISNUMBER(週次_媒体別CP!C321),週次_媒体別CP!C321,"")</f>
        <v/>
      </c>
      <c r="H39" s="73" t="str">
        <f aca="false">IF(ISNUMBER(週次_媒体別CP!C377),週次_媒体別CP!C377,"")</f>
        <v/>
      </c>
    </row>
    <row r="40" customFormat="false" ht="15" hidden="false" customHeight="false" outlineLevel="0" collapsed="false">
      <c r="A40" s="72" t="s">
        <v>132</v>
      </c>
      <c r="B40" s="73" t="str">
        <f aca="false">IF(ISNUMBER(週次_媒体別CP!C42),週次_媒体別CP!C42,"")</f>
        <v/>
      </c>
      <c r="C40" s="73" t="str">
        <f aca="false">IF(ISNUMBER(週次_媒体別CP!C98),週次_媒体別CP!C98,"")</f>
        <v/>
      </c>
      <c r="D40" s="73" t="str">
        <f aca="false">IF(ISNUMBER(週次_媒体別CP!C154),週次_媒体別CP!C154,"")</f>
        <v/>
      </c>
      <c r="E40" s="73" t="str">
        <f aca="false">IF(ISNUMBER(週次_媒体別CP!C210),週次_媒体別CP!C210,"")</f>
        <v/>
      </c>
      <c r="F40" s="73" t="str">
        <f aca="false">IF(ISNUMBER(週次_媒体別CP!C266),週次_媒体別CP!C266,"")</f>
        <v/>
      </c>
      <c r="G40" s="73" t="str">
        <f aca="false">IF(ISNUMBER(週次_媒体別CP!C322),週次_媒体別CP!C322,"")</f>
        <v/>
      </c>
      <c r="H40" s="73" t="str">
        <f aca="false">IF(ISNUMBER(週次_媒体別CP!C378),週次_媒体別CP!C378,"")</f>
        <v/>
      </c>
    </row>
    <row r="41" customFormat="false" ht="15" hidden="false" customHeight="false" outlineLevel="0" collapsed="false">
      <c r="A41" s="72" t="s">
        <v>134</v>
      </c>
      <c r="B41" s="73" t="str">
        <f aca="false">IF(ISNUMBER(週次_媒体別CP!C43),週次_媒体別CP!C43,"")</f>
        <v/>
      </c>
      <c r="C41" s="73" t="str">
        <f aca="false">IF(ISNUMBER(週次_媒体別CP!C99),週次_媒体別CP!C99,"")</f>
        <v/>
      </c>
      <c r="D41" s="73" t="str">
        <f aca="false">IF(ISNUMBER(週次_媒体別CP!C155),週次_媒体別CP!C155,"")</f>
        <v/>
      </c>
      <c r="E41" s="73" t="str">
        <f aca="false">IF(ISNUMBER(週次_媒体別CP!C211),週次_媒体別CP!C211,"")</f>
        <v/>
      </c>
      <c r="F41" s="73" t="str">
        <f aca="false">IF(ISNUMBER(週次_媒体別CP!C267),週次_媒体別CP!C267,"")</f>
        <v/>
      </c>
      <c r="G41" s="73" t="str">
        <f aca="false">IF(ISNUMBER(週次_媒体別CP!C323),週次_媒体別CP!C323,"")</f>
        <v/>
      </c>
      <c r="H41" s="73" t="str">
        <f aca="false">IF(ISNUMBER(週次_媒体別CP!C379),週次_媒体別CP!C379,"")</f>
        <v/>
      </c>
    </row>
    <row r="42" customFormat="false" ht="15" hidden="false" customHeight="false" outlineLevel="0" collapsed="false">
      <c r="A42" s="72" t="s">
        <v>136</v>
      </c>
      <c r="B42" s="73" t="str">
        <f aca="false">IF(ISNUMBER(週次_媒体別CP!C44),週次_媒体別CP!C44,"")</f>
        <v/>
      </c>
      <c r="C42" s="73" t="str">
        <f aca="false">IF(ISNUMBER(週次_媒体別CP!C100),週次_媒体別CP!C100,"")</f>
        <v/>
      </c>
      <c r="D42" s="73" t="str">
        <f aca="false">IF(ISNUMBER(週次_媒体別CP!C156),週次_媒体別CP!C156,"")</f>
        <v/>
      </c>
      <c r="E42" s="73" t="str">
        <f aca="false">IF(ISNUMBER(週次_媒体別CP!C212),週次_媒体別CP!C212,"")</f>
        <v/>
      </c>
      <c r="F42" s="73" t="str">
        <f aca="false">IF(ISNUMBER(週次_媒体別CP!C268),週次_媒体別CP!C268,"")</f>
        <v/>
      </c>
      <c r="G42" s="73" t="str">
        <f aca="false">IF(ISNUMBER(週次_媒体別CP!C324),週次_媒体別CP!C324,"")</f>
        <v/>
      </c>
      <c r="H42" s="73" t="str">
        <f aca="false">IF(ISNUMBER(週次_媒体別CP!C380),週次_媒体別CP!C380,"")</f>
        <v/>
      </c>
    </row>
    <row r="43" customFormat="false" ht="15" hidden="false" customHeight="false" outlineLevel="0" collapsed="false">
      <c r="A43" s="72" t="s">
        <v>138</v>
      </c>
      <c r="B43" s="73" t="str">
        <f aca="false">IF(ISNUMBER(週次_媒体別CP!C45),週次_媒体別CP!C45,"")</f>
        <v/>
      </c>
      <c r="C43" s="73" t="str">
        <f aca="false">IF(ISNUMBER(週次_媒体別CP!C101),週次_媒体別CP!C101,"")</f>
        <v/>
      </c>
      <c r="D43" s="73" t="str">
        <f aca="false">IF(ISNUMBER(週次_媒体別CP!C157),週次_媒体別CP!C157,"")</f>
        <v/>
      </c>
      <c r="E43" s="73" t="str">
        <f aca="false">IF(ISNUMBER(週次_媒体別CP!C213),週次_媒体別CP!C213,"")</f>
        <v/>
      </c>
      <c r="F43" s="73" t="str">
        <f aca="false">IF(ISNUMBER(週次_媒体別CP!C269),週次_媒体別CP!C269,"")</f>
        <v/>
      </c>
      <c r="G43" s="73" t="str">
        <f aca="false">IF(ISNUMBER(週次_媒体別CP!C325),週次_媒体別CP!C325,"")</f>
        <v/>
      </c>
      <c r="H43" s="73" t="str">
        <f aca="false">IF(ISNUMBER(週次_媒体別CP!C381),週次_媒体別CP!C381,"")</f>
        <v/>
      </c>
    </row>
    <row r="44" customFormat="false" ht="15" hidden="false" customHeight="false" outlineLevel="0" collapsed="false">
      <c r="A44" s="72" t="s">
        <v>140</v>
      </c>
      <c r="B44" s="73" t="str">
        <f aca="false">IF(ISNUMBER(週次_媒体別CP!C46),週次_媒体別CP!C46,"")</f>
        <v/>
      </c>
      <c r="C44" s="73" t="str">
        <f aca="false">IF(ISNUMBER(週次_媒体別CP!C102),週次_媒体別CP!C102,"")</f>
        <v/>
      </c>
      <c r="D44" s="73" t="str">
        <f aca="false">IF(ISNUMBER(週次_媒体別CP!C158),週次_媒体別CP!C158,"")</f>
        <v/>
      </c>
      <c r="E44" s="73" t="str">
        <f aca="false">IF(ISNUMBER(週次_媒体別CP!C214),週次_媒体別CP!C214,"")</f>
        <v/>
      </c>
      <c r="F44" s="73" t="str">
        <f aca="false">IF(ISNUMBER(週次_媒体別CP!C270),週次_媒体別CP!C270,"")</f>
        <v/>
      </c>
      <c r="G44" s="73" t="str">
        <f aca="false">IF(ISNUMBER(週次_媒体別CP!C326),週次_媒体別CP!C326,"")</f>
        <v/>
      </c>
      <c r="H44" s="73" t="str">
        <f aca="false">IF(ISNUMBER(週次_媒体別CP!C382),週次_媒体別CP!C382,"")</f>
        <v/>
      </c>
    </row>
    <row r="45" customFormat="false" ht="15" hidden="false" customHeight="false" outlineLevel="0" collapsed="false">
      <c r="A45" s="72" t="s">
        <v>142</v>
      </c>
      <c r="B45" s="73" t="str">
        <f aca="false">IF(ISNUMBER(週次_媒体別CP!C47),週次_媒体別CP!C47,"")</f>
        <v/>
      </c>
      <c r="C45" s="73" t="str">
        <f aca="false">IF(ISNUMBER(週次_媒体別CP!C103),週次_媒体別CP!C103,"")</f>
        <v/>
      </c>
      <c r="D45" s="73" t="str">
        <f aca="false">IF(ISNUMBER(週次_媒体別CP!C159),週次_媒体別CP!C159,"")</f>
        <v/>
      </c>
      <c r="E45" s="73" t="str">
        <f aca="false">IF(ISNUMBER(週次_媒体別CP!C215),週次_媒体別CP!C215,"")</f>
        <v/>
      </c>
      <c r="F45" s="73" t="str">
        <f aca="false">IF(ISNUMBER(週次_媒体別CP!C271),週次_媒体別CP!C271,"")</f>
        <v/>
      </c>
      <c r="G45" s="73" t="str">
        <f aca="false">IF(ISNUMBER(週次_媒体別CP!C327),週次_媒体別CP!C327,"")</f>
        <v/>
      </c>
      <c r="H45" s="73" t="str">
        <f aca="false">IF(ISNUMBER(週次_媒体別CP!C383),週次_媒体別CP!C383,"")</f>
        <v/>
      </c>
    </row>
    <row r="46" customFormat="false" ht="15" hidden="false" customHeight="false" outlineLevel="0" collapsed="false">
      <c r="A46" s="72" t="s">
        <v>144</v>
      </c>
      <c r="B46" s="73" t="str">
        <f aca="false">IF(ISNUMBER(週次_媒体別CP!C48),週次_媒体別CP!C48,"")</f>
        <v/>
      </c>
      <c r="C46" s="73" t="str">
        <f aca="false">IF(ISNUMBER(週次_媒体別CP!C104),週次_媒体別CP!C104,"")</f>
        <v/>
      </c>
      <c r="D46" s="73" t="str">
        <f aca="false">IF(ISNUMBER(週次_媒体別CP!C160),週次_媒体別CP!C160,"")</f>
        <v/>
      </c>
      <c r="E46" s="73" t="str">
        <f aca="false">IF(ISNUMBER(週次_媒体別CP!C216),週次_媒体別CP!C216,"")</f>
        <v/>
      </c>
      <c r="F46" s="73" t="str">
        <f aca="false">IF(ISNUMBER(週次_媒体別CP!C272),週次_媒体別CP!C272,"")</f>
        <v/>
      </c>
      <c r="G46" s="73" t="str">
        <f aca="false">IF(ISNUMBER(週次_媒体別CP!C328),週次_媒体別CP!C328,"")</f>
        <v/>
      </c>
      <c r="H46" s="73" t="str">
        <f aca="false">IF(ISNUMBER(週次_媒体別CP!C384),週次_媒体別CP!C384,"")</f>
        <v/>
      </c>
    </row>
    <row r="47" customFormat="false" ht="15" hidden="false" customHeight="false" outlineLevel="0" collapsed="false">
      <c r="A47" s="72" t="s">
        <v>146</v>
      </c>
      <c r="B47" s="73" t="str">
        <f aca="false">IF(ISNUMBER(週次_媒体別CP!C49),週次_媒体別CP!C49,"")</f>
        <v/>
      </c>
      <c r="C47" s="73" t="str">
        <f aca="false">IF(ISNUMBER(週次_媒体別CP!C105),週次_媒体別CP!C105,"")</f>
        <v/>
      </c>
      <c r="D47" s="73" t="str">
        <f aca="false">IF(ISNUMBER(週次_媒体別CP!C161),週次_媒体別CP!C161,"")</f>
        <v/>
      </c>
      <c r="E47" s="73" t="str">
        <f aca="false">IF(ISNUMBER(週次_媒体別CP!C217),週次_媒体別CP!C217,"")</f>
        <v/>
      </c>
      <c r="F47" s="73" t="str">
        <f aca="false">IF(ISNUMBER(週次_媒体別CP!C273),週次_媒体別CP!C273,"")</f>
        <v/>
      </c>
      <c r="G47" s="73" t="str">
        <f aca="false">IF(ISNUMBER(週次_媒体別CP!C329),週次_媒体別CP!C329,"")</f>
        <v/>
      </c>
      <c r="H47" s="73" t="str">
        <f aca="false">IF(ISNUMBER(週次_媒体別CP!C385),週次_媒体別CP!C385,"")</f>
        <v/>
      </c>
    </row>
    <row r="48" customFormat="false" ht="15" hidden="false" customHeight="false" outlineLevel="0" collapsed="false">
      <c r="A48" s="72" t="s">
        <v>148</v>
      </c>
      <c r="B48" s="73" t="str">
        <f aca="false">IF(ISNUMBER(週次_媒体別CP!C50),週次_媒体別CP!C50,"")</f>
        <v/>
      </c>
      <c r="C48" s="73" t="str">
        <f aca="false">IF(ISNUMBER(週次_媒体別CP!C106),週次_媒体別CP!C106,"")</f>
        <v/>
      </c>
      <c r="D48" s="73" t="str">
        <f aca="false">IF(ISNUMBER(週次_媒体別CP!C162),週次_媒体別CP!C162,"")</f>
        <v/>
      </c>
      <c r="E48" s="73" t="str">
        <f aca="false">IF(ISNUMBER(週次_媒体別CP!C218),週次_媒体別CP!C218,"")</f>
        <v/>
      </c>
      <c r="F48" s="73" t="str">
        <f aca="false">IF(ISNUMBER(週次_媒体別CP!C274),週次_媒体別CP!C274,"")</f>
        <v/>
      </c>
      <c r="G48" s="73" t="str">
        <f aca="false">IF(ISNUMBER(週次_媒体別CP!C330),週次_媒体別CP!C330,"")</f>
        <v/>
      </c>
      <c r="H48" s="73" t="str">
        <f aca="false">IF(ISNUMBER(週次_媒体別CP!C386),週次_媒体別CP!C386,"")</f>
        <v/>
      </c>
    </row>
    <row r="49" customFormat="false" ht="15" hidden="false" customHeight="false" outlineLevel="0" collapsed="false">
      <c r="A49" s="72" t="s">
        <v>150</v>
      </c>
      <c r="B49" s="73" t="str">
        <f aca="false">IF(ISNUMBER(週次_媒体別CP!C51),週次_媒体別CP!C51,"")</f>
        <v/>
      </c>
      <c r="C49" s="73" t="str">
        <f aca="false">IF(ISNUMBER(週次_媒体別CP!C107),週次_媒体別CP!C107,"")</f>
        <v/>
      </c>
      <c r="D49" s="73" t="str">
        <f aca="false">IF(ISNUMBER(週次_媒体別CP!C163),週次_媒体別CP!C163,"")</f>
        <v/>
      </c>
      <c r="E49" s="73" t="str">
        <f aca="false">IF(ISNUMBER(週次_媒体別CP!C219),週次_媒体別CP!C219,"")</f>
        <v/>
      </c>
      <c r="F49" s="73" t="str">
        <f aca="false">IF(ISNUMBER(週次_媒体別CP!C275),週次_媒体別CP!C275,"")</f>
        <v/>
      </c>
      <c r="G49" s="73" t="str">
        <f aca="false">IF(ISNUMBER(週次_媒体別CP!C331),週次_媒体別CP!C331,"")</f>
        <v/>
      </c>
      <c r="H49" s="73" t="str">
        <f aca="false">IF(ISNUMBER(週次_媒体別CP!C387),週次_媒体別CP!C387,"")</f>
        <v/>
      </c>
    </row>
    <row r="50" customFormat="false" ht="15" hidden="false" customHeight="false" outlineLevel="0" collapsed="false">
      <c r="A50" s="72" t="s">
        <v>152</v>
      </c>
      <c r="B50" s="73" t="str">
        <f aca="false">IF(ISNUMBER(週次_媒体別CP!C52),週次_媒体別CP!C52,"")</f>
        <v/>
      </c>
      <c r="C50" s="73" t="str">
        <f aca="false">IF(ISNUMBER(週次_媒体別CP!C108),週次_媒体別CP!C108,"")</f>
        <v/>
      </c>
      <c r="D50" s="73" t="str">
        <f aca="false">IF(ISNUMBER(週次_媒体別CP!C164),週次_媒体別CP!C164,"")</f>
        <v/>
      </c>
      <c r="E50" s="73" t="str">
        <f aca="false">IF(ISNUMBER(週次_媒体別CP!C220),週次_媒体別CP!C220,"")</f>
        <v/>
      </c>
      <c r="F50" s="73" t="str">
        <f aca="false">IF(ISNUMBER(週次_媒体別CP!C276),週次_媒体別CP!C276,"")</f>
        <v/>
      </c>
      <c r="G50" s="73" t="str">
        <f aca="false">IF(ISNUMBER(週次_媒体別CP!C332),週次_媒体別CP!C332,"")</f>
        <v/>
      </c>
      <c r="H50" s="73" t="str">
        <f aca="false">IF(ISNUMBER(週次_媒体別CP!C388),週次_媒体別CP!C388,"")</f>
        <v/>
      </c>
    </row>
    <row r="51" customFormat="false" ht="15" hidden="false" customHeight="false" outlineLevel="0" collapsed="false">
      <c r="A51" s="72" t="s">
        <v>154</v>
      </c>
      <c r="B51" s="73" t="str">
        <f aca="false">IF(ISNUMBER(週次_媒体別CP!C53),週次_媒体別CP!C53,"")</f>
        <v/>
      </c>
      <c r="C51" s="73" t="str">
        <f aca="false">IF(ISNUMBER(週次_媒体別CP!C109),週次_媒体別CP!C109,"")</f>
        <v/>
      </c>
      <c r="D51" s="73" t="str">
        <f aca="false">IF(ISNUMBER(週次_媒体別CP!C165),週次_媒体別CP!C165,"")</f>
        <v/>
      </c>
      <c r="E51" s="73" t="str">
        <f aca="false">IF(ISNUMBER(週次_媒体別CP!C221),週次_媒体別CP!C221,"")</f>
        <v/>
      </c>
      <c r="F51" s="73" t="str">
        <f aca="false">IF(ISNUMBER(週次_媒体別CP!C277),週次_媒体別CP!C277,"")</f>
        <v/>
      </c>
      <c r="G51" s="73" t="str">
        <f aca="false">IF(ISNUMBER(週次_媒体別CP!C333),週次_媒体別CP!C333,"")</f>
        <v/>
      </c>
      <c r="H51" s="73" t="str">
        <f aca="false">IF(ISNUMBER(週次_媒体別CP!C389),週次_媒体別CP!C389,"")</f>
        <v/>
      </c>
    </row>
    <row r="52" customFormat="false" ht="15" hidden="false" customHeight="false" outlineLevel="0" collapsed="false">
      <c r="A52" s="72" t="s">
        <v>156</v>
      </c>
      <c r="B52" s="73" t="str">
        <f aca="false">IF(ISNUMBER(週次_媒体別CP!C54),週次_媒体別CP!C54,"")</f>
        <v/>
      </c>
      <c r="C52" s="73" t="str">
        <f aca="false">IF(ISNUMBER(週次_媒体別CP!C110),週次_媒体別CP!C110,"")</f>
        <v/>
      </c>
      <c r="D52" s="73" t="str">
        <f aca="false">IF(ISNUMBER(週次_媒体別CP!C166),週次_媒体別CP!C166,"")</f>
        <v/>
      </c>
      <c r="E52" s="73" t="str">
        <f aca="false">IF(ISNUMBER(週次_媒体別CP!C222),週次_媒体別CP!C222,"")</f>
        <v/>
      </c>
      <c r="F52" s="73" t="str">
        <f aca="false">IF(ISNUMBER(週次_媒体別CP!C278),週次_媒体別CP!C278,"")</f>
        <v/>
      </c>
      <c r="G52" s="73" t="str">
        <f aca="false">IF(ISNUMBER(週次_媒体別CP!C334),週次_媒体別CP!C334,"")</f>
        <v/>
      </c>
      <c r="H52" s="73" t="str">
        <f aca="false">IF(ISNUMBER(週次_媒体別CP!C390),週次_媒体別CP!C390,"")</f>
        <v/>
      </c>
    </row>
    <row r="53" customFormat="false" ht="15" hidden="false" customHeight="false" outlineLevel="0" collapsed="false">
      <c r="A53" s="72" t="s">
        <v>158</v>
      </c>
      <c r="B53" s="73" t="str">
        <f aca="false">IF(ISNUMBER(週次_媒体別CP!C55),週次_媒体別CP!C55,"")</f>
        <v/>
      </c>
      <c r="C53" s="73" t="str">
        <f aca="false">IF(ISNUMBER(週次_媒体別CP!C111),週次_媒体別CP!C111,"")</f>
        <v/>
      </c>
      <c r="D53" s="73" t="str">
        <f aca="false">IF(ISNUMBER(週次_媒体別CP!C167),週次_媒体別CP!C167,"")</f>
        <v/>
      </c>
      <c r="E53" s="73" t="str">
        <f aca="false">IF(ISNUMBER(週次_媒体別CP!C223),週次_媒体別CP!C223,"")</f>
        <v/>
      </c>
      <c r="F53" s="73" t="str">
        <f aca="false">IF(ISNUMBER(週次_媒体別CP!C279),週次_媒体別CP!C279,"")</f>
        <v/>
      </c>
      <c r="G53" s="73" t="str">
        <f aca="false">IF(ISNUMBER(週次_媒体別CP!C335),週次_媒体別CP!C335,"")</f>
        <v/>
      </c>
      <c r="H53" s="73" t="str">
        <f aca="false">IF(ISNUMBER(週次_媒体別CP!C391),週次_媒体別CP!C391,"")</f>
        <v/>
      </c>
    </row>
    <row r="54" customFormat="false" ht="15" hidden="false" customHeight="false" outlineLevel="0" collapsed="false">
      <c r="A54" s="72" t="s">
        <v>160</v>
      </c>
      <c r="B54" s="73" t="str">
        <f aca="false">IF(ISNUMBER(週次_媒体別CP!C56),週次_媒体別CP!C56,"")</f>
        <v/>
      </c>
      <c r="C54" s="73" t="str">
        <f aca="false">IF(ISNUMBER(週次_媒体別CP!C112),週次_媒体別CP!C112,"")</f>
        <v/>
      </c>
      <c r="D54" s="73" t="str">
        <f aca="false">IF(ISNUMBER(週次_媒体別CP!C168),週次_媒体別CP!C168,"")</f>
        <v/>
      </c>
      <c r="E54" s="73" t="str">
        <f aca="false">IF(ISNUMBER(週次_媒体別CP!C224),週次_媒体別CP!C224,"")</f>
        <v/>
      </c>
      <c r="F54" s="73" t="str">
        <f aca="false">IF(ISNUMBER(週次_媒体別CP!C280),週次_媒体別CP!C280,"")</f>
        <v/>
      </c>
      <c r="G54" s="73" t="str">
        <f aca="false">IF(ISNUMBER(週次_媒体別CP!C336),週次_媒体別CP!C336,"")</f>
        <v/>
      </c>
      <c r="H54" s="73" t="str">
        <f aca="false">IF(ISNUMBER(週次_媒体別CP!C392),週次_媒体別CP!C392,"")</f>
        <v/>
      </c>
    </row>
    <row r="55" customFormat="false" ht="15" hidden="false" customHeight="false" outlineLevel="0" collapsed="false">
      <c r="A55" s="72" t="s">
        <v>162</v>
      </c>
      <c r="B55" s="73" t="str">
        <f aca="false">IF(ISNUMBER(週次_媒体別CP!C57),週次_媒体別CP!C57,"")</f>
        <v/>
      </c>
      <c r="C55" s="73" t="str">
        <f aca="false">IF(ISNUMBER(週次_媒体別CP!C113),週次_媒体別CP!C113,"")</f>
        <v/>
      </c>
      <c r="D55" s="73" t="str">
        <f aca="false">IF(ISNUMBER(週次_媒体別CP!C169),週次_媒体別CP!C169,"")</f>
        <v/>
      </c>
      <c r="E55" s="73" t="str">
        <f aca="false">IF(ISNUMBER(週次_媒体別CP!C225),週次_媒体別CP!C225,"")</f>
        <v/>
      </c>
      <c r="F55" s="73" t="str">
        <f aca="false">IF(ISNUMBER(週次_媒体別CP!C281),週次_媒体別CP!C281,"")</f>
        <v/>
      </c>
      <c r="G55" s="73" t="str">
        <f aca="false">IF(ISNUMBER(週次_媒体別CP!C337),週次_媒体別CP!C337,"")</f>
        <v/>
      </c>
      <c r="H55" s="73" t="str">
        <f aca="false">IF(ISNUMBER(週次_媒体別CP!C393),週次_媒体別CP!C393,"")</f>
        <v/>
      </c>
    </row>
    <row r="57" customFormat="false" ht="15" hidden="false" customHeight="false" outlineLevel="0" collapsed="false">
      <c r="A57" s="74" t="s">
        <v>250</v>
      </c>
    </row>
    <row r="58" customFormat="false" ht="37.3" hidden="false" customHeight="false" outlineLevel="0" collapsed="false">
      <c r="A58" s="70" t="s">
        <v>48</v>
      </c>
      <c r="B58" s="71" t="s">
        <v>243</v>
      </c>
      <c r="C58" s="71" t="s">
        <v>244</v>
      </c>
      <c r="D58" s="71" t="s">
        <v>245</v>
      </c>
      <c r="E58" s="71" t="s">
        <v>246</v>
      </c>
      <c r="F58" s="71" t="s">
        <v>247</v>
      </c>
      <c r="G58" s="71" t="s">
        <v>248</v>
      </c>
      <c r="H58" s="71" t="s">
        <v>249</v>
      </c>
    </row>
    <row r="59" customFormat="false" ht="15" hidden="false" customHeight="false" outlineLevel="0" collapsed="false">
      <c r="A59" s="72" t="s">
        <v>59</v>
      </c>
      <c r="B59" s="75" t="n">
        <f aca="false">IF(ISNUMBER(週次_媒体別CP!F6),週次_媒体別CP!F6,"")</f>
        <v>35</v>
      </c>
      <c r="C59" s="75" t="n">
        <f aca="false">IF(ISNUMBER(週次_媒体別CP!F62),週次_媒体別CP!F62,"")</f>
        <v>18</v>
      </c>
      <c r="D59" s="75" t="str">
        <f aca="false">IF(ISNUMBER(週次_媒体別CP!F118),週次_媒体別CP!F118,"")</f>
        <v/>
      </c>
      <c r="E59" s="75" t="n">
        <f aca="false">IF(ISNUMBER(週次_媒体別CP!F174),週次_媒体別CP!F174,"")</f>
        <v>0</v>
      </c>
      <c r="F59" s="75" t="n">
        <f aca="false">IF(ISNUMBER(週次_媒体別CP!F230),週次_媒体別CP!F230,"")</f>
        <v>0</v>
      </c>
      <c r="G59" s="75" t="n">
        <f aca="false">IF(ISNUMBER(週次_媒体別CP!F286),週次_媒体別CP!F286,"")</f>
        <v>0</v>
      </c>
      <c r="H59" s="75" t="n">
        <f aca="false">IF(ISNUMBER(週次_媒体別CP!F342),週次_媒体別CP!F342,"")</f>
        <v>0</v>
      </c>
    </row>
    <row r="60" customFormat="false" ht="15" hidden="false" customHeight="false" outlineLevel="0" collapsed="false">
      <c r="A60" s="72" t="s">
        <v>61</v>
      </c>
      <c r="B60" s="75" t="n">
        <f aca="false">IF(ISNUMBER(週次_媒体別CP!F7),週次_媒体別CP!F7,"")</f>
        <v>34</v>
      </c>
      <c r="C60" s="75" t="n">
        <f aca="false">IF(ISNUMBER(週次_媒体別CP!F63),週次_媒体別CP!F63,"")</f>
        <v>51</v>
      </c>
      <c r="D60" s="75" t="str">
        <f aca="false">IF(ISNUMBER(週次_媒体別CP!F119),週次_媒体別CP!F119,"")</f>
        <v/>
      </c>
      <c r="E60" s="75" t="n">
        <f aca="false">IF(ISNUMBER(週次_媒体別CP!F175),週次_媒体別CP!F175,"")</f>
        <v>4</v>
      </c>
      <c r="F60" s="75" t="n">
        <f aca="false">IF(ISNUMBER(週次_媒体別CP!F231),週次_媒体別CP!F231,"")</f>
        <v>1</v>
      </c>
      <c r="G60" s="75" t="n">
        <f aca="false">IF(ISNUMBER(週次_媒体別CP!F287),週次_媒体別CP!F287,"")</f>
        <v>0</v>
      </c>
      <c r="H60" s="75" t="n">
        <f aca="false">IF(ISNUMBER(週次_媒体別CP!F343),週次_媒体別CP!F343,"")</f>
        <v>0</v>
      </c>
    </row>
    <row r="61" customFormat="false" ht="15" hidden="false" customHeight="false" outlineLevel="0" collapsed="false">
      <c r="A61" s="72" t="s">
        <v>63</v>
      </c>
      <c r="B61" s="75" t="n">
        <f aca="false">IF(ISNUMBER(週次_媒体別CP!F8),週次_媒体別CP!F8,"")</f>
        <v>25</v>
      </c>
      <c r="C61" s="75" t="n">
        <f aca="false">IF(ISNUMBER(週次_媒体別CP!F64),週次_媒体別CP!F64,"")</f>
        <v>22</v>
      </c>
      <c r="D61" s="75" t="str">
        <f aca="false">IF(ISNUMBER(週次_媒体別CP!F120),週次_媒体別CP!F120,"")</f>
        <v/>
      </c>
      <c r="E61" s="75" t="n">
        <f aca="false">IF(ISNUMBER(週次_媒体別CP!F176),週次_媒体別CP!F176,"")</f>
        <v>2</v>
      </c>
      <c r="F61" s="75" t="n">
        <f aca="false">IF(ISNUMBER(週次_媒体別CP!F232),週次_媒体別CP!F232,"")</f>
        <v>3</v>
      </c>
      <c r="G61" s="75" t="n">
        <f aca="false">IF(ISNUMBER(週次_媒体別CP!F288),週次_媒体別CP!F288,"")</f>
        <v>0</v>
      </c>
      <c r="H61" s="75" t="n">
        <f aca="false">IF(ISNUMBER(週次_媒体別CP!F344),週次_媒体別CP!F344,"")</f>
        <v>0</v>
      </c>
    </row>
    <row r="62" customFormat="false" ht="15" hidden="false" customHeight="false" outlineLevel="0" collapsed="false">
      <c r="A62" s="72" t="s">
        <v>65</v>
      </c>
      <c r="B62" s="75" t="str">
        <f aca="false">IF(ISNUMBER(週次_媒体別CP!F9),週次_媒体別CP!F9,"")</f>
        <v/>
      </c>
      <c r="C62" s="75" t="n">
        <f aca="false">IF(ISNUMBER(週次_媒体別CP!F65),週次_媒体別CP!F65,"")</f>
        <v>34</v>
      </c>
      <c r="D62" s="75" t="str">
        <f aca="false">IF(ISNUMBER(週次_媒体別CP!F121),週次_媒体別CP!F121,"")</f>
        <v/>
      </c>
      <c r="E62" s="75" t="str">
        <f aca="false">IF(ISNUMBER(週次_媒体別CP!F177),週次_媒体別CP!F177,"")</f>
        <v/>
      </c>
      <c r="F62" s="75" t="n">
        <f aca="false">IF(ISNUMBER(週次_媒体別CP!F233),週次_媒体別CP!F233,"")</f>
        <v>1</v>
      </c>
      <c r="G62" s="75" t="str">
        <f aca="false">IF(ISNUMBER(週次_媒体別CP!F289),週次_媒体別CP!F289,"")</f>
        <v/>
      </c>
      <c r="H62" s="75" t="n">
        <f aca="false">IF(ISNUMBER(週次_媒体別CP!F345),週次_媒体別CP!F345,"")</f>
        <v>0</v>
      </c>
    </row>
    <row r="63" customFormat="false" ht="15" hidden="false" customHeight="false" outlineLevel="0" collapsed="false">
      <c r="A63" s="72" t="s">
        <v>68</v>
      </c>
      <c r="B63" s="75" t="str">
        <f aca="false">IF(ISNUMBER(週次_媒体別CP!F10),週次_媒体別CP!F10,"")</f>
        <v/>
      </c>
      <c r="C63" s="75" t="n">
        <f aca="false">IF(ISNUMBER(週次_媒体別CP!F66),週次_媒体別CP!F66,"")</f>
        <v>35</v>
      </c>
      <c r="D63" s="75" t="str">
        <f aca="false">IF(ISNUMBER(週次_媒体別CP!F122),週次_媒体別CP!F122,"")</f>
        <v/>
      </c>
      <c r="E63" s="75" t="str">
        <f aca="false">IF(ISNUMBER(週次_媒体別CP!F178),週次_媒体別CP!F178,"")</f>
        <v/>
      </c>
      <c r="F63" s="75" t="n">
        <f aca="false">IF(ISNUMBER(週次_媒体別CP!F234),週次_媒体別CP!F234,"")</f>
        <v>1</v>
      </c>
      <c r="G63" s="75" t="str">
        <f aca="false">IF(ISNUMBER(週次_媒体別CP!F290),週次_媒体別CP!F290,"")</f>
        <v/>
      </c>
      <c r="H63" s="75" t="str">
        <f aca="false">IF(ISNUMBER(週次_媒体別CP!F346),週次_媒体別CP!F346,"")</f>
        <v/>
      </c>
    </row>
    <row r="64" customFormat="false" ht="15" hidden="false" customHeight="false" outlineLevel="0" collapsed="false">
      <c r="A64" s="72" t="s">
        <v>70</v>
      </c>
      <c r="B64" s="75" t="str">
        <f aca="false">IF(ISNUMBER(週次_媒体別CP!F11),週次_媒体別CP!F11,"")</f>
        <v/>
      </c>
      <c r="C64" s="75" t="n">
        <f aca="false">IF(ISNUMBER(週次_媒体別CP!F67),週次_媒体別CP!F67,"")</f>
        <v>31</v>
      </c>
      <c r="D64" s="75" t="n">
        <f aca="false">IF(ISNUMBER(週次_媒体別CP!F123),週次_媒体別CP!F123,"")</f>
        <v>0</v>
      </c>
      <c r="E64" s="75" t="str">
        <f aca="false">IF(ISNUMBER(週次_媒体別CP!F179),週次_媒体別CP!F179,"")</f>
        <v/>
      </c>
      <c r="F64" s="75" t="str">
        <f aca="false">IF(ISNUMBER(週次_媒体別CP!F235),週次_媒体別CP!F235,"")</f>
        <v/>
      </c>
      <c r="G64" s="75" t="str">
        <f aca="false">IF(ISNUMBER(週次_媒体別CP!F291),週次_媒体別CP!F291,"")</f>
        <v/>
      </c>
      <c r="H64" s="75" t="str">
        <f aca="false">IF(ISNUMBER(週次_媒体別CP!F347),週次_媒体別CP!F347,"")</f>
        <v/>
      </c>
    </row>
    <row r="65" customFormat="false" ht="15" hidden="false" customHeight="false" outlineLevel="0" collapsed="false">
      <c r="A65" s="72" t="s">
        <v>72</v>
      </c>
      <c r="B65" s="75" t="str">
        <f aca="false">IF(ISNUMBER(週次_媒体別CP!F12),週次_媒体別CP!F12,"")</f>
        <v/>
      </c>
      <c r="C65" s="75" t="n">
        <f aca="false">IF(ISNUMBER(週次_媒体別CP!F68),週次_媒体別CP!F68,"")</f>
        <v>41</v>
      </c>
      <c r="D65" s="75" t="n">
        <f aca="false">IF(ISNUMBER(週次_媒体別CP!F124),週次_媒体別CP!F124,"")</f>
        <v>13</v>
      </c>
      <c r="E65" s="75" t="str">
        <f aca="false">IF(ISNUMBER(週次_媒体別CP!F180),週次_媒体別CP!F180,"")</f>
        <v/>
      </c>
      <c r="F65" s="75" t="str">
        <f aca="false">IF(ISNUMBER(週次_媒体別CP!F236),週次_媒体別CP!F236,"")</f>
        <v/>
      </c>
      <c r="G65" s="75" t="str">
        <f aca="false">IF(ISNUMBER(週次_媒体別CP!F292),週次_媒体別CP!F292,"")</f>
        <v/>
      </c>
      <c r="H65" s="75" t="str">
        <f aca="false">IF(ISNUMBER(週次_媒体別CP!F348),週次_媒体別CP!F348,"")</f>
        <v/>
      </c>
    </row>
    <row r="66" customFormat="false" ht="15" hidden="false" customHeight="false" outlineLevel="0" collapsed="false">
      <c r="A66" s="72" t="s">
        <v>74</v>
      </c>
      <c r="B66" s="75" t="n">
        <f aca="false">IF(ISNUMBER(週次_媒体別CP!F13),週次_媒体別CP!F13,"")</f>
        <v>49</v>
      </c>
      <c r="C66" s="75" t="n">
        <f aca="false">IF(ISNUMBER(週次_媒体別CP!F69),週次_媒体別CP!F69,"")</f>
        <v>25</v>
      </c>
      <c r="D66" s="75" t="n">
        <f aca="false">IF(ISNUMBER(週次_媒体別CP!F125),週次_媒体別CP!F125,"")</f>
        <v>23</v>
      </c>
      <c r="E66" s="75" t="str">
        <f aca="false">IF(ISNUMBER(週次_媒体別CP!F181),週次_媒体別CP!F181,"")</f>
        <v/>
      </c>
      <c r="F66" s="75" t="str">
        <f aca="false">IF(ISNUMBER(週次_媒体別CP!F237),週次_媒体別CP!F237,"")</f>
        <v/>
      </c>
      <c r="G66" s="75" t="str">
        <f aca="false">IF(ISNUMBER(週次_媒体別CP!F293),週次_媒体別CP!F293,"")</f>
        <v/>
      </c>
      <c r="H66" s="75" t="str">
        <f aca="false">IF(ISNUMBER(週次_媒体別CP!F349),週次_媒体別CP!F349,"")</f>
        <v/>
      </c>
    </row>
    <row r="67" customFormat="false" ht="15" hidden="false" customHeight="false" outlineLevel="0" collapsed="false">
      <c r="A67" s="72" t="s">
        <v>76</v>
      </c>
      <c r="B67" s="75" t="n">
        <f aca="false">IF(ISNUMBER(週次_媒体別CP!F14),週次_媒体別CP!F14,"")</f>
        <v>68</v>
      </c>
      <c r="C67" s="75" t="n">
        <f aca="false">IF(ISNUMBER(週次_媒体別CP!F70),週次_媒体別CP!F70,"")</f>
        <v>28</v>
      </c>
      <c r="D67" s="75" t="n">
        <f aca="false">IF(ISNUMBER(週次_媒体別CP!F126),週次_媒体別CP!F126,"")</f>
        <v>30</v>
      </c>
      <c r="E67" s="75" t="str">
        <f aca="false">IF(ISNUMBER(週次_媒体別CP!F182),週次_媒体別CP!F182,"")</f>
        <v/>
      </c>
      <c r="F67" s="75" t="str">
        <f aca="false">IF(ISNUMBER(週次_媒体別CP!F238),週次_媒体別CP!F238,"")</f>
        <v/>
      </c>
      <c r="G67" s="75" t="str">
        <f aca="false">IF(ISNUMBER(週次_媒体別CP!F294),週次_媒体別CP!F294,"")</f>
        <v/>
      </c>
      <c r="H67" s="75" t="str">
        <f aca="false">IF(ISNUMBER(週次_媒体別CP!F350),週次_媒体別CP!F350,"")</f>
        <v/>
      </c>
    </row>
    <row r="68" customFormat="false" ht="15" hidden="false" customHeight="false" outlineLevel="0" collapsed="false">
      <c r="A68" s="72" t="s">
        <v>78</v>
      </c>
      <c r="B68" s="75" t="n">
        <f aca="false">IF(ISNUMBER(週次_媒体別CP!F15),週次_媒体別CP!F15,"")</f>
        <v>33</v>
      </c>
      <c r="C68" s="75" t="n">
        <f aca="false">IF(ISNUMBER(週次_媒体別CP!F71),週次_媒体別CP!F71,"")</f>
        <v>19</v>
      </c>
      <c r="D68" s="75" t="n">
        <f aca="false">IF(ISNUMBER(週次_媒体別CP!F127),週次_媒体別CP!F127,"")</f>
        <v>31</v>
      </c>
      <c r="E68" s="75" t="str">
        <f aca="false">IF(ISNUMBER(週次_媒体別CP!F183),週次_媒体別CP!F183,"")</f>
        <v/>
      </c>
      <c r="F68" s="75" t="str">
        <f aca="false">IF(ISNUMBER(週次_媒体別CP!F239),週次_媒体別CP!F239,"")</f>
        <v/>
      </c>
      <c r="G68" s="75" t="str">
        <f aca="false">IF(ISNUMBER(週次_媒体別CP!F295),週次_媒体別CP!F295,"")</f>
        <v/>
      </c>
      <c r="H68" s="75" t="str">
        <f aca="false">IF(ISNUMBER(週次_媒体別CP!F351),週次_媒体別CP!F351,"")</f>
        <v/>
      </c>
    </row>
    <row r="69" customFormat="false" ht="15" hidden="false" customHeight="false" outlineLevel="0" collapsed="false">
      <c r="A69" s="72" t="s">
        <v>80</v>
      </c>
      <c r="B69" s="75" t="n">
        <f aca="false">IF(ISNUMBER(週次_媒体別CP!F16),週次_媒体別CP!F16,"")</f>
        <v>28</v>
      </c>
      <c r="C69" s="75" t="n">
        <f aca="false">IF(ISNUMBER(週次_媒体別CP!F72),週次_媒体別CP!F72,"")</f>
        <v>26</v>
      </c>
      <c r="D69" s="75" t="n">
        <f aca="false">IF(ISNUMBER(週次_媒体別CP!F128),週次_媒体別CP!F128,"")</f>
        <v>27</v>
      </c>
      <c r="E69" s="75" t="str">
        <f aca="false">IF(ISNUMBER(週次_媒体別CP!F184),週次_媒体別CP!F184,"")</f>
        <v/>
      </c>
      <c r="F69" s="75" t="str">
        <f aca="false">IF(ISNUMBER(週次_媒体別CP!F240),週次_媒体別CP!F240,"")</f>
        <v/>
      </c>
      <c r="G69" s="75" t="str">
        <f aca="false">IF(ISNUMBER(週次_媒体別CP!F296),週次_媒体別CP!F296,"")</f>
        <v/>
      </c>
      <c r="H69" s="75" t="str">
        <f aca="false">IF(ISNUMBER(週次_媒体別CP!F352),週次_媒体別CP!F352,"")</f>
        <v/>
      </c>
    </row>
    <row r="70" customFormat="false" ht="15" hidden="false" customHeight="false" outlineLevel="0" collapsed="false">
      <c r="A70" s="72" t="s">
        <v>82</v>
      </c>
      <c r="B70" s="75" t="str">
        <f aca="false">IF(ISNUMBER(週次_媒体別CP!F17),週次_媒体別CP!F17,"")</f>
        <v/>
      </c>
      <c r="C70" s="75" t="str">
        <f aca="false">IF(ISNUMBER(週次_媒体別CP!F73),週次_媒体別CP!F73,"")</f>
        <v/>
      </c>
      <c r="D70" s="75" t="str">
        <f aca="false">IF(ISNUMBER(週次_媒体別CP!F129),週次_媒体別CP!F129,"")</f>
        <v/>
      </c>
      <c r="E70" s="75" t="str">
        <f aca="false">IF(ISNUMBER(週次_媒体別CP!F185),週次_媒体別CP!F185,"")</f>
        <v/>
      </c>
      <c r="F70" s="75" t="str">
        <f aca="false">IF(ISNUMBER(週次_媒体別CP!F241),週次_媒体別CP!F241,"")</f>
        <v/>
      </c>
      <c r="G70" s="75" t="str">
        <f aca="false">IF(ISNUMBER(週次_媒体別CP!F297),週次_媒体別CP!F297,"")</f>
        <v/>
      </c>
      <c r="H70" s="75" t="str">
        <f aca="false">IF(ISNUMBER(週次_媒体別CP!F353),週次_媒体別CP!F353,"")</f>
        <v/>
      </c>
    </row>
    <row r="71" customFormat="false" ht="15" hidden="false" customHeight="false" outlineLevel="0" collapsed="false">
      <c r="A71" s="72" t="s">
        <v>84</v>
      </c>
      <c r="B71" s="75" t="str">
        <f aca="false">IF(ISNUMBER(週次_媒体別CP!F18),週次_媒体別CP!F18,"")</f>
        <v/>
      </c>
      <c r="C71" s="75" t="str">
        <f aca="false">IF(ISNUMBER(週次_媒体別CP!F74),週次_媒体別CP!F74,"")</f>
        <v/>
      </c>
      <c r="D71" s="75" t="str">
        <f aca="false">IF(ISNUMBER(週次_媒体別CP!F130),週次_媒体別CP!F130,"")</f>
        <v/>
      </c>
      <c r="E71" s="75" t="str">
        <f aca="false">IF(ISNUMBER(週次_媒体別CP!F186),週次_媒体別CP!F186,"")</f>
        <v/>
      </c>
      <c r="F71" s="75" t="str">
        <f aca="false">IF(ISNUMBER(週次_媒体別CP!F242),週次_媒体別CP!F242,"")</f>
        <v/>
      </c>
      <c r="G71" s="75" t="str">
        <f aca="false">IF(ISNUMBER(週次_媒体別CP!F298),週次_媒体別CP!F298,"")</f>
        <v/>
      </c>
      <c r="H71" s="75" t="str">
        <f aca="false">IF(ISNUMBER(週次_媒体別CP!F354),週次_媒体別CP!F354,"")</f>
        <v/>
      </c>
    </row>
    <row r="72" customFormat="false" ht="15" hidden="false" customHeight="false" outlineLevel="0" collapsed="false">
      <c r="A72" s="72" t="s">
        <v>86</v>
      </c>
      <c r="B72" s="75" t="str">
        <f aca="false">IF(ISNUMBER(週次_媒体別CP!F19),週次_媒体別CP!F19,"")</f>
        <v/>
      </c>
      <c r="C72" s="75" t="str">
        <f aca="false">IF(ISNUMBER(週次_媒体別CP!F75),週次_媒体別CP!F75,"")</f>
        <v/>
      </c>
      <c r="D72" s="75" t="str">
        <f aca="false">IF(ISNUMBER(週次_媒体別CP!F131),週次_媒体別CP!F131,"")</f>
        <v/>
      </c>
      <c r="E72" s="75" t="str">
        <f aca="false">IF(ISNUMBER(週次_媒体別CP!F187),週次_媒体別CP!F187,"")</f>
        <v/>
      </c>
      <c r="F72" s="75" t="str">
        <f aca="false">IF(ISNUMBER(週次_媒体別CP!F243),週次_媒体別CP!F243,"")</f>
        <v/>
      </c>
      <c r="G72" s="75" t="str">
        <f aca="false">IF(ISNUMBER(週次_媒体別CP!F299),週次_媒体別CP!F299,"")</f>
        <v/>
      </c>
      <c r="H72" s="75" t="str">
        <f aca="false">IF(ISNUMBER(週次_媒体別CP!F355),週次_媒体別CP!F355,"")</f>
        <v/>
      </c>
    </row>
    <row r="73" customFormat="false" ht="15" hidden="false" customHeight="false" outlineLevel="0" collapsed="false">
      <c r="A73" s="72" t="s">
        <v>88</v>
      </c>
      <c r="B73" s="75" t="str">
        <f aca="false">IF(ISNUMBER(週次_媒体別CP!F20),週次_媒体別CP!F20,"")</f>
        <v/>
      </c>
      <c r="C73" s="75" t="str">
        <f aca="false">IF(ISNUMBER(週次_媒体別CP!F76),週次_媒体別CP!F76,"")</f>
        <v/>
      </c>
      <c r="D73" s="75" t="str">
        <f aca="false">IF(ISNUMBER(週次_媒体別CP!F132),週次_媒体別CP!F132,"")</f>
        <v/>
      </c>
      <c r="E73" s="75" t="str">
        <f aca="false">IF(ISNUMBER(週次_媒体別CP!F188),週次_媒体別CP!F188,"")</f>
        <v/>
      </c>
      <c r="F73" s="75" t="str">
        <f aca="false">IF(ISNUMBER(週次_媒体別CP!F244),週次_媒体別CP!F244,"")</f>
        <v/>
      </c>
      <c r="G73" s="75" t="str">
        <f aca="false">IF(ISNUMBER(週次_媒体別CP!F300),週次_媒体別CP!F300,"")</f>
        <v/>
      </c>
      <c r="H73" s="75" t="str">
        <f aca="false">IF(ISNUMBER(週次_媒体別CP!F356),週次_媒体別CP!F356,"")</f>
        <v/>
      </c>
    </row>
    <row r="74" customFormat="false" ht="15" hidden="false" customHeight="false" outlineLevel="0" collapsed="false">
      <c r="A74" s="72" t="s">
        <v>90</v>
      </c>
      <c r="B74" s="75" t="str">
        <f aca="false">IF(ISNUMBER(週次_媒体別CP!F21),週次_媒体別CP!F21,"")</f>
        <v/>
      </c>
      <c r="C74" s="75" t="str">
        <f aca="false">IF(ISNUMBER(週次_媒体別CP!F77),週次_媒体別CP!F77,"")</f>
        <v/>
      </c>
      <c r="D74" s="75" t="str">
        <f aca="false">IF(ISNUMBER(週次_媒体別CP!F133),週次_媒体別CP!F133,"")</f>
        <v/>
      </c>
      <c r="E74" s="75" t="str">
        <f aca="false">IF(ISNUMBER(週次_媒体別CP!F189),週次_媒体別CP!F189,"")</f>
        <v/>
      </c>
      <c r="F74" s="75" t="str">
        <f aca="false">IF(ISNUMBER(週次_媒体別CP!F245),週次_媒体別CP!F245,"")</f>
        <v/>
      </c>
      <c r="G74" s="75" t="str">
        <f aca="false">IF(ISNUMBER(週次_媒体別CP!F301),週次_媒体別CP!F301,"")</f>
        <v/>
      </c>
      <c r="H74" s="75" t="str">
        <f aca="false">IF(ISNUMBER(週次_媒体別CP!F357),週次_媒体別CP!F357,"")</f>
        <v/>
      </c>
    </row>
    <row r="75" customFormat="false" ht="15" hidden="false" customHeight="false" outlineLevel="0" collapsed="false">
      <c r="A75" s="72" t="s">
        <v>92</v>
      </c>
      <c r="B75" s="75" t="str">
        <f aca="false">IF(ISNUMBER(週次_媒体別CP!F22),週次_媒体別CP!F22,"")</f>
        <v/>
      </c>
      <c r="C75" s="75" t="str">
        <f aca="false">IF(ISNUMBER(週次_媒体別CP!F78),週次_媒体別CP!F78,"")</f>
        <v/>
      </c>
      <c r="D75" s="75" t="str">
        <f aca="false">IF(ISNUMBER(週次_媒体別CP!F134),週次_媒体別CP!F134,"")</f>
        <v/>
      </c>
      <c r="E75" s="75" t="str">
        <f aca="false">IF(ISNUMBER(週次_媒体別CP!F190),週次_媒体別CP!F190,"")</f>
        <v/>
      </c>
      <c r="F75" s="75" t="str">
        <f aca="false">IF(ISNUMBER(週次_媒体別CP!F246),週次_媒体別CP!F246,"")</f>
        <v/>
      </c>
      <c r="G75" s="75" t="str">
        <f aca="false">IF(ISNUMBER(週次_媒体別CP!F302),週次_媒体別CP!F302,"")</f>
        <v/>
      </c>
      <c r="H75" s="75" t="str">
        <f aca="false">IF(ISNUMBER(週次_媒体別CP!F358),週次_媒体別CP!F358,"")</f>
        <v/>
      </c>
    </row>
    <row r="76" customFormat="false" ht="15" hidden="false" customHeight="false" outlineLevel="0" collapsed="false">
      <c r="A76" s="72" t="s">
        <v>94</v>
      </c>
      <c r="B76" s="75" t="str">
        <f aca="false">IF(ISNUMBER(週次_媒体別CP!F23),週次_媒体別CP!F23,"")</f>
        <v/>
      </c>
      <c r="C76" s="75" t="str">
        <f aca="false">IF(ISNUMBER(週次_媒体別CP!F79),週次_媒体別CP!F79,"")</f>
        <v/>
      </c>
      <c r="D76" s="75" t="str">
        <f aca="false">IF(ISNUMBER(週次_媒体別CP!F135),週次_媒体別CP!F135,"")</f>
        <v/>
      </c>
      <c r="E76" s="75" t="str">
        <f aca="false">IF(ISNUMBER(週次_媒体別CP!F191),週次_媒体別CP!F191,"")</f>
        <v/>
      </c>
      <c r="F76" s="75" t="str">
        <f aca="false">IF(ISNUMBER(週次_媒体別CP!F247),週次_媒体別CP!F247,"")</f>
        <v/>
      </c>
      <c r="G76" s="75" t="str">
        <f aca="false">IF(ISNUMBER(週次_媒体別CP!F303),週次_媒体別CP!F303,"")</f>
        <v/>
      </c>
      <c r="H76" s="75" t="str">
        <f aca="false">IF(ISNUMBER(週次_媒体別CP!F359),週次_媒体別CP!F359,"")</f>
        <v/>
      </c>
    </row>
    <row r="77" customFormat="false" ht="15" hidden="false" customHeight="false" outlineLevel="0" collapsed="false">
      <c r="A77" s="72" t="s">
        <v>96</v>
      </c>
      <c r="B77" s="75" t="str">
        <f aca="false">IF(ISNUMBER(週次_媒体別CP!F24),週次_媒体別CP!F24,"")</f>
        <v/>
      </c>
      <c r="C77" s="75" t="str">
        <f aca="false">IF(ISNUMBER(週次_媒体別CP!F80),週次_媒体別CP!F80,"")</f>
        <v/>
      </c>
      <c r="D77" s="75" t="str">
        <f aca="false">IF(ISNUMBER(週次_媒体別CP!F136),週次_媒体別CP!F136,"")</f>
        <v/>
      </c>
      <c r="E77" s="75" t="str">
        <f aca="false">IF(ISNUMBER(週次_媒体別CP!F192),週次_媒体別CP!F192,"")</f>
        <v/>
      </c>
      <c r="F77" s="75" t="str">
        <f aca="false">IF(ISNUMBER(週次_媒体別CP!F248),週次_媒体別CP!F248,"")</f>
        <v/>
      </c>
      <c r="G77" s="75" t="str">
        <f aca="false">IF(ISNUMBER(週次_媒体別CP!F304),週次_媒体別CP!F304,"")</f>
        <v/>
      </c>
      <c r="H77" s="75" t="str">
        <f aca="false">IF(ISNUMBER(週次_媒体別CP!F360),週次_媒体別CP!F360,"")</f>
        <v/>
      </c>
    </row>
    <row r="78" customFormat="false" ht="15" hidden="false" customHeight="false" outlineLevel="0" collapsed="false">
      <c r="A78" s="72" t="s">
        <v>98</v>
      </c>
      <c r="B78" s="75" t="str">
        <f aca="false">IF(ISNUMBER(週次_媒体別CP!F25),週次_媒体別CP!F25,"")</f>
        <v/>
      </c>
      <c r="C78" s="75" t="str">
        <f aca="false">IF(ISNUMBER(週次_媒体別CP!F81),週次_媒体別CP!F81,"")</f>
        <v/>
      </c>
      <c r="D78" s="75" t="str">
        <f aca="false">IF(ISNUMBER(週次_媒体別CP!F137),週次_媒体別CP!F137,"")</f>
        <v/>
      </c>
      <c r="E78" s="75" t="str">
        <f aca="false">IF(ISNUMBER(週次_媒体別CP!F193),週次_媒体別CP!F193,"")</f>
        <v/>
      </c>
      <c r="F78" s="75" t="str">
        <f aca="false">IF(ISNUMBER(週次_媒体別CP!F249),週次_媒体別CP!F249,"")</f>
        <v/>
      </c>
      <c r="G78" s="75" t="str">
        <f aca="false">IF(ISNUMBER(週次_媒体別CP!F305),週次_媒体別CP!F305,"")</f>
        <v/>
      </c>
      <c r="H78" s="75" t="str">
        <f aca="false">IF(ISNUMBER(週次_媒体別CP!F361),週次_媒体別CP!F361,"")</f>
        <v/>
      </c>
    </row>
    <row r="79" customFormat="false" ht="15" hidden="false" customHeight="false" outlineLevel="0" collapsed="false">
      <c r="A79" s="72" t="s">
        <v>100</v>
      </c>
      <c r="B79" s="75" t="str">
        <f aca="false">IF(ISNUMBER(週次_媒体別CP!F26),週次_媒体別CP!F26,"")</f>
        <v/>
      </c>
      <c r="C79" s="75" t="str">
        <f aca="false">IF(ISNUMBER(週次_媒体別CP!F82),週次_媒体別CP!F82,"")</f>
        <v/>
      </c>
      <c r="D79" s="75" t="str">
        <f aca="false">IF(ISNUMBER(週次_媒体別CP!F138),週次_媒体別CP!F138,"")</f>
        <v/>
      </c>
      <c r="E79" s="75" t="str">
        <f aca="false">IF(ISNUMBER(週次_媒体別CP!F194),週次_媒体別CP!F194,"")</f>
        <v/>
      </c>
      <c r="F79" s="75" t="str">
        <f aca="false">IF(ISNUMBER(週次_媒体別CP!F250),週次_媒体別CP!F250,"")</f>
        <v/>
      </c>
      <c r="G79" s="75" t="str">
        <f aca="false">IF(ISNUMBER(週次_媒体別CP!F306),週次_媒体別CP!F306,"")</f>
        <v/>
      </c>
      <c r="H79" s="75" t="str">
        <f aca="false">IF(ISNUMBER(週次_媒体別CP!F362),週次_媒体別CP!F362,"")</f>
        <v/>
      </c>
    </row>
    <row r="80" customFormat="false" ht="15" hidden="false" customHeight="false" outlineLevel="0" collapsed="false">
      <c r="A80" s="72" t="s">
        <v>102</v>
      </c>
      <c r="B80" s="75" t="str">
        <f aca="false">IF(ISNUMBER(週次_媒体別CP!F27),週次_媒体別CP!F27,"")</f>
        <v/>
      </c>
      <c r="C80" s="75" t="str">
        <f aca="false">IF(ISNUMBER(週次_媒体別CP!F83),週次_媒体別CP!F83,"")</f>
        <v/>
      </c>
      <c r="D80" s="75" t="str">
        <f aca="false">IF(ISNUMBER(週次_媒体別CP!F139),週次_媒体別CP!F139,"")</f>
        <v/>
      </c>
      <c r="E80" s="75" t="str">
        <f aca="false">IF(ISNUMBER(週次_媒体別CP!F195),週次_媒体別CP!F195,"")</f>
        <v/>
      </c>
      <c r="F80" s="75" t="str">
        <f aca="false">IF(ISNUMBER(週次_媒体別CP!F251),週次_媒体別CP!F251,"")</f>
        <v/>
      </c>
      <c r="G80" s="75" t="str">
        <f aca="false">IF(ISNUMBER(週次_媒体別CP!F307),週次_媒体別CP!F307,"")</f>
        <v/>
      </c>
      <c r="H80" s="75" t="str">
        <f aca="false">IF(ISNUMBER(週次_媒体別CP!F363),週次_媒体別CP!F363,"")</f>
        <v/>
      </c>
    </row>
    <row r="81" customFormat="false" ht="15" hidden="false" customHeight="false" outlineLevel="0" collapsed="false">
      <c r="A81" s="72" t="s">
        <v>104</v>
      </c>
      <c r="B81" s="75" t="str">
        <f aca="false">IF(ISNUMBER(週次_媒体別CP!F28),週次_媒体別CP!F28,"")</f>
        <v/>
      </c>
      <c r="C81" s="75" t="str">
        <f aca="false">IF(ISNUMBER(週次_媒体別CP!F84),週次_媒体別CP!F84,"")</f>
        <v/>
      </c>
      <c r="D81" s="75" t="str">
        <f aca="false">IF(ISNUMBER(週次_媒体別CP!F140),週次_媒体別CP!F140,"")</f>
        <v/>
      </c>
      <c r="E81" s="75" t="str">
        <f aca="false">IF(ISNUMBER(週次_媒体別CP!F196),週次_媒体別CP!F196,"")</f>
        <v/>
      </c>
      <c r="F81" s="75" t="str">
        <f aca="false">IF(ISNUMBER(週次_媒体別CP!F252),週次_媒体別CP!F252,"")</f>
        <v/>
      </c>
      <c r="G81" s="75" t="str">
        <f aca="false">IF(ISNUMBER(週次_媒体別CP!F308),週次_媒体別CP!F308,"")</f>
        <v/>
      </c>
      <c r="H81" s="75" t="str">
        <f aca="false">IF(ISNUMBER(週次_媒体別CP!F364),週次_媒体別CP!F364,"")</f>
        <v/>
      </c>
    </row>
    <row r="82" customFormat="false" ht="15" hidden="false" customHeight="false" outlineLevel="0" collapsed="false">
      <c r="A82" s="72" t="s">
        <v>106</v>
      </c>
      <c r="B82" s="75" t="str">
        <f aca="false">IF(ISNUMBER(週次_媒体別CP!F29),週次_媒体別CP!F29,"")</f>
        <v/>
      </c>
      <c r="C82" s="75" t="str">
        <f aca="false">IF(ISNUMBER(週次_媒体別CP!F85),週次_媒体別CP!F85,"")</f>
        <v/>
      </c>
      <c r="D82" s="75" t="str">
        <f aca="false">IF(ISNUMBER(週次_媒体別CP!F141),週次_媒体別CP!F141,"")</f>
        <v/>
      </c>
      <c r="E82" s="75" t="str">
        <f aca="false">IF(ISNUMBER(週次_媒体別CP!F197),週次_媒体別CP!F197,"")</f>
        <v/>
      </c>
      <c r="F82" s="75" t="str">
        <f aca="false">IF(ISNUMBER(週次_媒体別CP!F253),週次_媒体別CP!F253,"")</f>
        <v/>
      </c>
      <c r="G82" s="75" t="str">
        <f aca="false">IF(ISNUMBER(週次_媒体別CP!F309),週次_媒体別CP!F309,"")</f>
        <v/>
      </c>
      <c r="H82" s="75" t="str">
        <f aca="false">IF(ISNUMBER(週次_媒体別CP!F365),週次_媒体別CP!F365,"")</f>
        <v/>
      </c>
    </row>
    <row r="83" customFormat="false" ht="15" hidden="false" customHeight="false" outlineLevel="0" collapsed="false">
      <c r="A83" s="72" t="s">
        <v>108</v>
      </c>
      <c r="B83" s="75" t="str">
        <f aca="false">IF(ISNUMBER(週次_媒体別CP!F30),週次_媒体別CP!F30,"")</f>
        <v/>
      </c>
      <c r="C83" s="75" t="str">
        <f aca="false">IF(ISNUMBER(週次_媒体別CP!F86),週次_媒体別CP!F86,"")</f>
        <v/>
      </c>
      <c r="D83" s="75" t="str">
        <f aca="false">IF(ISNUMBER(週次_媒体別CP!F142),週次_媒体別CP!F142,"")</f>
        <v/>
      </c>
      <c r="E83" s="75" t="str">
        <f aca="false">IF(ISNUMBER(週次_媒体別CP!F198),週次_媒体別CP!F198,"")</f>
        <v/>
      </c>
      <c r="F83" s="75" t="str">
        <f aca="false">IF(ISNUMBER(週次_媒体別CP!F254),週次_媒体別CP!F254,"")</f>
        <v/>
      </c>
      <c r="G83" s="75" t="str">
        <f aca="false">IF(ISNUMBER(週次_媒体別CP!F310),週次_媒体別CP!F310,"")</f>
        <v/>
      </c>
      <c r="H83" s="75" t="str">
        <f aca="false">IF(ISNUMBER(週次_媒体別CP!F366),週次_媒体別CP!F366,"")</f>
        <v/>
      </c>
    </row>
    <row r="84" customFormat="false" ht="15" hidden="false" customHeight="false" outlineLevel="0" collapsed="false">
      <c r="A84" s="72" t="s">
        <v>110</v>
      </c>
      <c r="B84" s="75" t="str">
        <f aca="false">IF(ISNUMBER(週次_媒体別CP!F31),週次_媒体別CP!F31,"")</f>
        <v/>
      </c>
      <c r="C84" s="75" t="str">
        <f aca="false">IF(ISNUMBER(週次_媒体別CP!F87),週次_媒体別CP!F87,"")</f>
        <v/>
      </c>
      <c r="D84" s="75" t="str">
        <f aca="false">IF(ISNUMBER(週次_媒体別CP!F143),週次_媒体別CP!F143,"")</f>
        <v/>
      </c>
      <c r="E84" s="75" t="str">
        <f aca="false">IF(ISNUMBER(週次_媒体別CP!F199),週次_媒体別CP!F199,"")</f>
        <v/>
      </c>
      <c r="F84" s="75" t="str">
        <f aca="false">IF(ISNUMBER(週次_媒体別CP!F255),週次_媒体別CP!F255,"")</f>
        <v/>
      </c>
      <c r="G84" s="75" t="str">
        <f aca="false">IF(ISNUMBER(週次_媒体別CP!F311),週次_媒体別CP!F311,"")</f>
        <v/>
      </c>
      <c r="H84" s="75" t="str">
        <f aca="false">IF(ISNUMBER(週次_媒体別CP!F367),週次_媒体別CP!F367,"")</f>
        <v/>
      </c>
    </row>
    <row r="85" customFormat="false" ht="15" hidden="false" customHeight="false" outlineLevel="0" collapsed="false">
      <c r="A85" s="72" t="s">
        <v>112</v>
      </c>
      <c r="B85" s="75" t="str">
        <f aca="false">IF(ISNUMBER(週次_媒体別CP!F32),週次_媒体別CP!F32,"")</f>
        <v/>
      </c>
      <c r="C85" s="75" t="str">
        <f aca="false">IF(ISNUMBER(週次_媒体別CP!F88),週次_媒体別CP!F88,"")</f>
        <v/>
      </c>
      <c r="D85" s="75" t="str">
        <f aca="false">IF(ISNUMBER(週次_媒体別CP!F144),週次_媒体別CP!F144,"")</f>
        <v/>
      </c>
      <c r="E85" s="75" t="str">
        <f aca="false">IF(ISNUMBER(週次_媒体別CP!F200),週次_媒体別CP!F200,"")</f>
        <v/>
      </c>
      <c r="F85" s="75" t="str">
        <f aca="false">IF(ISNUMBER(週次_媒体別CP!F256),週次_媒体別CP!F256,"")</f>
        <v/>
      </c>
      <c r="G85" s="75" t="str">
        <f aca="false">IF(ISNUMBER(週次_媒体別CP!F312),週次_媒体別CP!F312,"")</f>
        <v/>
      </c>
      <c r="H85" s="75" t="str">
        <f aca="false">IF(ISNUMBER(週次_媒体別CP!F368),週次_媒体別CP!F368,"")</f>
        <v/>
      </c>
    </row>
    <row r="86" customFormat="false" ht="15" hidden="false" customHeight="false" outlineLevel="0" collapsed="false">
      <c r="A86" s="72" t="s">
        <v>114</v>
      </c>
      <c r="B86" s="75" t="str">
        <f aca="false">IF(ISNUMBER(週次_媒体別CP!F33),週次_媒体別CP!F33,"")</f>
        <v/>
      </c>
      <c r="C86" s="75" t="str">
        <f aca="false">IF(ISNUMBER(週次_媒体別CP!F89),週次_媒体別CP!F89,"")</f>
        <v/>
      </c>
      <c r="D86" s="75" t="str">
        <f aca="false">IF(ISNUMBER(週次_媒体別CP!F145),週次_媒体別CP!F145,"")</f>
        <v/>
      </c>
      <c r="E86" s="75" t="str">
        <f aca="false">IF(ISNUMBER(週次_媒体別CP!F201),週次_媒体別CP!F201,"")</f>
        <v/>
      </c>
      <c r="F86" s="75" t="str">
        <f aca="false">IF(ISNUMBER(週次_媒体別CP!F257),週次_媒体別CP!F257,"")</f>
        <v/>
      </c>
      <c r="G86" s="75" t="str">
        <f aca="false">IF(ISNUMBER(週次_媒体別CP!F313),週次_媒体別CP!F313,"")</f>
        <v/>
      </c>
      <c r="H86" s="75" t="str">
        <f aca="false">IF(ISNUMBER(週次_媒体別CP!F369),週次_媒体別CP!F369,"")</f>
        <v/>
      </c>
    </row>
    <row r="87" customFormat="false" ht="15" hidden="false" customHeight="false" outlineLevel="0" collapsed="false">
      <c r="A87" s="72" t="s">
        <v>116</v>
      </c>
      <c r="B87" s="75" t="str">
        <f aca="false">IF(ISNUMBER(週次_媒体別CP!F34),週次_媒体別CP!F34,"")</f>
        <v/>
      </c>
      <c r="C87" s="75" t="str">
        <f aca="false">IF(ISNUMBER(週次_媒体別CP!F90),週次_媒体別CP!F90,"")</f>
        <v/>
      </c>
      <c r="D87" s="75" t="str">
        <f aca="false">IF(ISNUMBER(週次_媒体別CP!F146),週次_媒体別CP!F146,"")</f>
        <v/>
      </c>
      <c r="E87" s="75" t="str">
        <f aca="false">IF(ISNUMBER(週次_媒体別CP!F202),週次_媒体別CP!F202,"")</f>
        <v/>
      </c>
      <c r="F87" s="75" t="str">
        <f aca="false">IF(ISNUMBER(週次_媒体別CP!F258),週次_媒体別CP!F258,"")</f>
        <v/>
      </c>
      <c r="G87" s="75" t="str">
        <f aca="false">IF(ISNUMBER(週次_媒体別CP!F314),週次_媒体別CP!F314,"")</f>
        <v/>
      </c>
      <c r="H87" s="75" t="str">
        <f aca="false">IF(ISNUMBER(週次_媒体別CP!F370),週次_媒体別CP!F370,"")</f>
        <v/>
      </c>
    </row>
    <row r="88" customFormat="false" ht="15" hidden="false" customHeight="false" outlineLevel="0" collapsed="false">
      <c r="A88" s="72" t="s">
        <v>118</v>
      </c>
      <c r="B88" s="75" t="str">
        <f aca="false">IF(ISNUMBER(週次_媒体別CP!F35),週次_媒体別CP!F35,"")</f>
        <v/>
      </c>
      <c r="C88" s="75" t="str">
        <f aca="false">IF(ISNUMBER(週次_媒体別CP!F91),週次_媒体別CP!F91,"")</f>
        <v/>
      </c>
      <c r="D88" s="75" t="str">
        <f aca="false">IF(ISNUMBER(週次_媒体別CP!F147),週次_媒体別CP!F147,"")</f>
        <v/>
      </c>
      <c r="E88" s="75" t="str">
        <f aca="false">IF(ISNUMBER(週次_媒体別CP!F203),週次_媒体別CP!F203,"")</f>
        <v/>
      </c>
      <c r="F88" s="75" t="str">
        <f aca="false">IF(ISNUMBER(週次_媒体別CP!F259),週次_媒体別CP!F259,"")</f>
        <v/>
      </c>
      <c r="G88" s="75" t="str">
        <f aca="false">IF(ISNUMBER(週次_媒体別CP!F315),週次_媒体別CP!F315,"")</f>
        <v/>
      </c>
      <c r="H88" s="75" t="str">
        <f aca="false">IF(ISNUMBER(週次_媒体別CP!F371),週次_媒体別CP!F371,"")</f>
        <v/>
      </c>
    </row>
    <row r="89" customFormat="false" ht="15" hidden="false" customHeight="false" outlineLevel="0" collapsed="false">
      <c r="A89" s="72" t="s">
        <v>120</v>
      </c>
      <c r="B89" s="75" t="str">
        <f aca="false">IF(ISNUMBER(週次_媒体別CP!F36),週次_媒体別CP!F36,"")</f>
        <v/>
      </c>
      <c r="C89" s="75" t="str">
        <f aca="false">IF(ISNUMBER(週次_媒体別CP!F92),週次_媒体別CP!F92,"")</f>
        <v/>
      </c>
      <c r="D89" s="75" t="str">
        <f aca="false">IF(ISNUMBER(週次_媒体別CP!F148),週次_媒体別CP!F148,"")</f>
        <v/>
      </c>
      <c r="E89" s="75" t="str">
        <f aca="false">IF(ISNUMBER(週次_媒体別CP!F204),週次_媒体別CP!F204,"")</f>
        <v/>
      </c>
      <c r="F89" s="75" t="str">
        <f aca="false">IF(ISNUMBER(週次_媒体別CP!F260),週次_媒体別CP!F260,"")</f>
        <v/>
      </c>
      <c r="G89" s="75" t="str">
        <f aca="false">IF(ISNUMBER(週次_媒体別CP!F316),週次_媒体別CP!F316,"")</f>
        <v/>
      </c>
      <c r="H89" s="75" t="str">
        <f aca="false">IF(ISNUMBER(週次_媒体別CP!F372),週次_媒体別CP!F372,"")</f>
        <v/>
      </c>
    </row>
    <row r="90" customFormat="false" ht="15" hidden="false" customHeight="false" outlineLevel="0" collapsed="false">
      <c r="A90" s="72" t="s">
        <v>122</v>
      </c>
      <c r="B90" s="75" t="str">
        <f aca="false">IF(ISNUMBER(週次_媒体別CP!F37),週次_媒体別CP!F37,"")</f>
        <v/>
      </c>
      <c r="C90" s="75" t="str">
        <f aca="false">IF(ISNUMBER(週次_媒体別CP!F93),週次_媒体別CP!F93,"")</f>
        <v/>
      </c>
      <c r="D90" s="75" t="str">
        <f aca="false">IF(ISNUMBER(週次_媒体別CP!F149),週次_媒体別CP!F149,"")</f>
        <v/>
      </c>
      <c r="E90" s="75" t="str">
        <f aca="false">IF(ISNUMBER(週次_媒体別CP!F205),週次_媒体別CP!F205,"")</f>
        <v/>
      </c>
      <c r="F90" s="75" t="str">
        <f aca="false">IF(ISNUMBER(週次_媒体別CP!F261),週次_媒体別CP!F261,"")</f>
        <v/>
      </c>
      <c r="G90" s="75" t="str">
        <f aca="false">IF(ISNUMBER(週次_媒体別CP!F317),週次_媒体別CP!F317,"")</f>
        <v/>
      </c>
      <c r="H90" s="75" t="str">
        <f aca="false">IF(ISNUMBER(週次_媒体別CP!F373),週次_媒体別CP!F373,"")</f>
        <v/>
      </c>
    </row>
    <row r="91" customFormat="false" ht="15" hidden="false" customHeight="false" outlineLevel="0" collapsed="false">
      <c r="A91" s="72" t="s">
        <v>124</v>
      </c>
      <c r="B91" s="75" t="str">
        <f aca="false">IF(ISNUMBER(週次_媒体別CP!F38),週次_媒体別CP!F38,"")</f>
        <v/>
      </c>
      <c r="C91" s="75" t="str">
        <f aca="false">IF(ISNUMBER(週次_媒体別CP!F94),週次_媒体別CP!F94,"")</f>
        <v/>
      </c>
      <c r="D91" s="75" t="str">
        <f aca="false">IF(ISNUMBER(週次_媒体別CP!F150),週次_媒体別CP!F150,"")</f>
        <v/>
      </c>
      <c r="E91" s="75" t="str">
        <f aca="false">IF(ISNUMBER(週次_媒体別CP!F206),週次_媒体別CP!F206,"")</f>
        <v/>
      </c>
      <c r="F91" s="75" t="str">
        <f aca="false">IF(ISNUMBER(週次_媒体別CP!F262),週次_媒体別CP!F262,"")</f>
        <v/>
      </c>
      <c r="G91" s="75" t="str">
        <f aca="false">IF(ISNUMBER(週次_媒体別CP!F318),週次_媒体別CP!F318,"")</f>
        <v/>
      </c>
      <c r="H91" s="75" t="str">
        <f aca="false">IF(ISNUMBER(週次_媒体別CP!F374),週次_媒体別CP!F374,"")</f>
        <v/>
      </c>
    </row>
    <row r="92" customFormat="false" ht="15" hidden="false" customHeight="false" outlineLevel="0" collapsed="false">
      <c r="A92" s="72" t="s">
        <v>126</v>
      </c>
      <c r="B92" s="75" t="str">
        <f aca="false">IF(ISNUMBER(週次_媒体別CP!F39),週次_媒体別CP!F39,"")</f>
        <v/>
      </c>
      <c r="C92" s="75" t="str">
        <f aca="false">IF(ISNUMBER(週次_媒体別CP!F95),週次_媒体別CP!F95,"")</f>
        <v/>
      </c>
      <c r="D92" s="75" t="str">
        <f aca="false">IF(ISNUMBER(週次_媒体別CP!F151),週次_媒体別CP!F151,"")</f>
        <v/>
      </c>
      <c r="E92" s="75" t="str">
        <f aca="false">IF(ISNUMBER(週次_媒体別CP!F207),週次_媒体別CP!F207,"")</f>
        <v/>
      </c>
      <c r="F92" s="75" t="str">
        <f aca="false">IF(ISNUMBER(週次_媒体別CP!F263),週次_媒体別CP!F263,"")</f>
        <v/>
      </c>
      <c r="G92" s="75" t="str">
        <f aca="false">IF(ISNUMBER(週次_媒体別CP!F319),週次_媒体別CP!F319,"")</f>
        <v/>
      </c>
      <c r="H92" s="75" t="str">
        <f aca="false">IF(ISNUMBER(週次_媒体別CP!F375),週次_媒体別CP!F375,"")</f>
        <v/>
      </c>
    </row>
    <row r="93" customFormat="false" ht="15" hidden="false" customHeight="false" outlineLevel="0" collapsed="false">
      <c r="A93" s="72" t="s">
        <v>128</v>
      </c>
      <c r="B93" s="75" t="str">
        <f aca="false">IF(ISNUMBER(週次_媒体別CP!F40),週次_媒体別CP!F40,"")</f>
        <v/>
      </c>
      <c r="C93" s="75" t="str">
        <f aca="false">IF(ISNUMBER(週次_媒体別CP!F96),週次_媒体別CP!F96,"")</f>
        <v/>
      </c>
      <c r="D93" s="75" t="str">
        <f aca="false">IF(ISNUMBER(週次_媒体別CP!F152),週次_媒体別CP!F152,"")</f>
        <v/>
      </c>
      <c r="E93" s="75" t="str">
        <f aca="false">IF(ISNUMBER(週次_媒体別CP!F208),週次_媒体別CP!F208,"")</f>
        <v/>
      </c>
      <c r="F93" s="75" t="str">
        <f aca="false">IF(ISNUMBER(週次_媒体別CP!F264),週次_媒体別CP!F264,"")</f>
        <v/>
      </c>
      <c r="G93" s="75" t="str">
        <f aca="false">IF(ISNUMBER(週次_媒体別CP!F320),週次_媒体別CP!F320,"")</f>
        <v/>
      </c>
      <c r="H93" s="75" t="str">
        <f aca="false">IF(ISNUMBER(週次_媒体別CP!F376),週次_媒体別CP!F376,"")</f>
        <v/>
      </c>
    </row>
    <row r="94" customFormat="false" ht="15" hidden="false" customHeight="false" outlineLevel="0" collapsed="false">
      <c r="A94" s="72" t="s">
        <v>130</v>
      </c>
      <c r="B94" s="75" t="str">
        <f aca="false">IF(ISNUMBER(週次_媒体別CP!F41),週次_媒体別CP!F41,"")</f>
        <v/>
      </c>
      <c r="C94" s="75" t="str">
        <f aca="false">IF(ISNUMBER(週次_媒体別CP!F97),週次_媒体別CP!F97,"")</f>
        <v/>
      </c>
      <c r="D94" s="75" t="str">
        <f aca="false">IF(ISNUMBER(週次_媒体別CP!F153),週次_媒体別CP!F153,"")</f>
        <v/>
      </c>
      <c r="E94" s="75" t="str">
        <f aca="false">IF(ISNUMBER(週次_媒体別CP!F209),週次_媒体別CP!F209,"")</f>
        <v/>
      </c>
      <c r="F94" s="75" t="str">
        <f aca="false">IF(ISNUMBER(週次_媒体別CP!F265),週次_媒体別CP!F265,"")</f>
        <v/>
      </c>
      <c r="G94" s="75" t="str">
        <f aca="false">IF(ISNUMBER(週次_媒体別CP!F321),週次_媒体別CP!F321,"")</f>
        <v/>
      </c>
      <c r="H94" s="75" t="str">
        <f aca="false">IF(ISNUMBER(週次_媒体別CP!F377),週次_媒体別CP!F377,"")</f>
        <v/>
      </c>
    </row>
    <row r="95" customFormat="false" ht="15" hidden="false" customHeight="false" outlineLevel="0" collapsed="false">
      <c r="A95" s="72" t="s">
        <v>132</v>
      </c>
      <c r="B95" s="75" t="str">
        <f aca="false">IF(ISNUMBER(週次_媒体別CP!F42),週次_媒体別CP!F42,"")</f>
        <v/>
      </c>
      <c r="C95" s="75" t="str">
        <f aca="false">IF(ISNUMBER(週次_媒体別CP!F98),週次_媒体別CP!F98,"")</f>
        <v/>
      </c>
      <c r="D95" s="75" t="str">
        <f aca="false">IF(ISNUMBER(週次_媒体別CP!F154),週次_媒体別CP!F154,"")</f>
        <v/>
      </c>
      <c r="E95" s="75" t="str">
        <f aca="false">IF(ISNUMBER(週次_媒体別CP!F210),週次_媒体別CP!F210,"")</f>
        <v/>
      </c>
      <c r="F95" s="75" t="str">
        <f aca="false">IF(ISNUMBER(週次_媒体別CP!F266),週次_媒体別CP!F266,"")</f>
        <v/>
      </c>
      <c r="G95" s="75" t="str">
        <f aca="false">IF(ISNUMBER(週次_媒体別CP!F322),週次_媒体別CP!F322,"")</f>
        <v/>
      </c>
      <c r="H95" s="75" t="str">
        <f aca="false">IF(ISNUMBER(週次_媒体別CP!F378),週次_媒体別CP!F378,"")</f>
        <v/>
      </c>
    </row>
    <row r="96" customFormat="false" ht="15" hidden="false" customHeight="false" outlineLevel="0" collapsed="false">
      <c r="A96" s="72" t="s">
        <v>134</v>
      </c>
      <c r="B96" s="75" t="str">
        <f aca="false">IF(ISNUMBER(週次_媒体別CP!F43),週次_媒体別CP!F43,"")</f>
        <v/>
      </c>
      <c r="C96" s="75" t="str">
        <f aca="false">IF(ISNUMBER(週次_媒体別CP!F99),週次_媒体別CP!F99,"")</f>
        <v/>
      </c>
      <c r="D96" s="75" t="str">
        <f aca="false">IF(ISNUMBER(週次_媒体別CP!F155),週次_媒体別CP!F155,"")</f>
        <v/>
      </c>
      <c r="E96" s="75" t="str">
        <f aca="false">IF(ISNUMBER(週次_媒体別CP!F211),週次_媒体別CP!F211,"")</f>
        <v/>
      </c>
      <c r="F96" s="75" t="str">
        <f aca="false">IF(ISNUMBER(週次_媒体別CP!F267),週次_媒体別CP!F267,"")</f>
        <v/>
      </c>
      <c r="G96" s="75" t="str">
        <f aca="false">IF(ISNUMBER(週次_媒体別CP!F323),週次_媒体別CP!F323,"")</f>
        <v/>
      </c>
      <c r="H96" s="75" t="str">
        <f aca="false">IF(ISNUMBER(週次_媒体別CP!F379),週次_媒体別CP!F379,"")</f>
        <v/>
      </c>
    </row>
    <row r="97" customFormat="false" ht="15" hidden="false" customHeight="false" outlineLevel="0" collapsed="false">
      <c r="A97" s="72" t="s">
        <v>136</v>
      </c>
      <c r="B97" s="75" t="str">
        <f aca="false">IF(ISNUMBER(週次_媒体別CP!F44),週次_媒体別CP!F44,"")</f>
        <v/>
      </c>
      <c r="C97" s="75" t="str">
        <f aca="false">IF(ISNUMBER(週次_媒体別CP!F100),週次_媒体別CP!F100,"")</f>
        <v/>
      </c>
      <c r="D97" s="75" t="str">
        <f aca="false">IF(ISNUMBER(週次_媒体別CP!F156),週次_媒体別CP!F156,"")</f>
        <v/>
      </c>
      <c r="E97" s="75" t="str">
        <f aca="false">IF(ISNUMBER(週次_媒体別CP!F212),週次_媒体別CP!F212,"")</f>
        <v/>
      </c>
      <c r="F97" s="75" t="str">
        <f aca="false">IF(ISNUMBER(週次_媒体別CP!F268),週次_媒体別CP!F268,"")</f>
        <v/>
      </c>
      <c r="G97" s="75" t="str">
        <f aca="false">IF(ISNUMBER(週次_媒体別CP!F324),週次_媒体別CP!F324,"")</f>
        <v/>
      </c>
      <c r="H97" s="75" t="str">
        <f aca="false">IF(ISNUMBER(週次_媒体別CP!F380),週次_媒体別CP!F380,"")</f>
        <v/>
      </c>
    </row>
    <row r="98" customFormat="false" ht="15" hidden="false" customHeight="false" outlineLevel="0" collapsed="false">
      <c r="A98" s="72" t="s">
        <v>138</v>
      </c>
      <c r="B98" s="75" t="str">
        <f aca="false">IF(ISNUMBER(週次_媒体別CP!F45),週次_媒体別CP!F45,"")</f>
        <v/>
      </c>
      <c r="C98" s="75" t="str">
        <f aca="false">IF(ISNUMBER(週次_媒体別CP!F101),週次_媒体別CP!F101,"")</f>
        <v/>
      </c>
      <c r="D98" s="75" t="str">
        <f aca="false">IF(ISNUMBER(週次_媒体別CP!F157),週次_媒体別CP!F157,"")</f>
        <v/>
      </c>
      <c r="E98" s="75" t="str">
        <f aca="false">IF(ISNUMBER(週次_媒体別CP!F213),週次_媒体別CP!F213,"")</f>
        <v/>
      </c>
      <c r="F98" s="75" t="str">
        <f aca="false">IF(ISNUMBER(週次_媒体別CP!F269),週次_媒体別CP!F269,"")</f>
        <v/>
      </c>
      <c r="G98" s="75" t="str">
        <f aca="false">IF(ISNUMBER(週次_媒体別CP!F325),週次_媒体別CP!F325,"")</f>
        <v/>
      </c>
      <c r="H98" s="75" t="str">
        <f aca="false">IF(ISNUMBER(週次_媒体別CP!F381),週次_媒体別CP!F381,"")</f>
        <v/>
      </c>
    </row>
    <row r="99" customFormat="false" ht="15" hidden="false" customHeight="false" outlineLevel="0" collapsed="false">
      <c r="A99" s="72" t="s">
        <v>140</v>
      </c>
      <c r="B99" s="75" t="str">
        <f aca="false">IF(ISNUMBER(週次_媒体別CP!F46),週次_媒体別CP!F46,"")</f>
        <v/>
      </c>
      <c r="C99" s="75" t="str">
        <f aca="false">IF(ISNUMBER(週次_媒体別CP!F102),週次_媒体別CP!F102,"")</f>
        <v/>
      </c>
      <c r="D99" s="75" t="str">
        <f aca="false">IF(ISNUMBER(週次_媒体別CP!F158),週次_媒体別CP!F158,"")</f>
        <v/>
      </c>
      <c r="E99" s="75" t="str">
        <f aca="false">IF(ISNUMBER(週次_媒体別CP!F214),週次_媒体別CP!F214,"")</f>
        <v/>
      </c>
      <c r="F99" s="75" t="str">
        <f aca="false">IF(ISNUMBER(週次_媒体別CP!F270),週次_媒体別CP!F270,"")</f>
        <v/>
      </c>
      <c r="G99" s="75" t="str">
        <f aca="false">IF(ISNUMBER(週次_媒体別CP!F326),週次_媒体別CP!F326,"")</f>
        <v/>
      </c>
      <c r="H99" s="75" t="str">
        <f aca="false">IF(ISNUMBER(週次_媒体別CP!F382),週次_媒体別CP!F382,"")</f>
        <v/>
      </c>
    </row>
    <row r="100" customFormat="false" ht="15" hidden="false" customHeight="false" outlineLevel="0" collapsed="false">
      <c r="A100" s="72" t="s">
        <v>142</v>
      </c>
      <c r="B100" s="75" t="str">
        <f aca="false">IF(ISNUMBER(週次_媒体別CP!F47),週次_媒体別CP!F47,"")</f>
        <v/>
      </c>
      <c r="C100" s="75" t="str">
        <f aca="false">IF(ISNUMBER(週次_媒体別CP!F103),週次_媒体別CP!F103,"")</f>
        <v/>
      </c>
      <c r="D100" s="75" t="str">
        <f aca="false">IF(ISNUMBER(週次_媒体別CP!F159),週次_媒体別CP!F159,"")</f>
        <v/>
      </c>
      <c r="E100" s="75" t="str">
        <f aca="false">IF(ISNUMBER(週次_媒体別CP!F215),週次_媒体別CP!F215,"")</f>
        <v/>
      </c>
      <c r="F100" s="75" t="str">
        <f aca="false">IF(ISNUMBER(週次_媒体別CP!F271),週次_媒体別CP!F271,"")</f>
        <v/>
      </c>
      <c r="G100" s="75" t="str">
        <f aca="false">IF(ISNUMBER(週次_媒体別CP!F327),週次_媒体別CP!F327,"")</f>
        <v/>
      </c>
      <c r="H100" s="75" t="str">
        <f aca="false">IF(ISNUMBER(週次_媒体別CP!F383),週次_媒体別CP!F383,"")</f>
        <v/>
      </c>
    </row>
    <row r="101" customFormat="false" ht="15" hidden="false" customHeight="false" outlineLevel="0" collapsed="false">
      <c r="A101" s="72" t="s">
        <v>144</v>
      </c>
      <c r="B101" s="75" t="str">
        <f aca="false">IF(ISNUMBER(週次_媒体別CP!F48),週次_媒体別CP!F48,"")</f>
        <v/>
      </c>
      <c r="C101" s="75" t="str">
        <f aca="false">IF(ISNUMBER(週次_媒体別CP!F104),週次_媒体別CP!F104,"")</f>
        <v/>
      </c>
      <c r="D101" s="75" t="str">
        <f aca="false">IF(ISNUMBER(週次_媒体別CP!F160),週次_媒体別CP!F160,"")</f>
        <v/>
      </c>
      <c r="E101" s="75" t="str">
        <f aca="false">IF(ISNUMBER(週次_媒体別CP!F216),週次_媒体別CP!F216,"")</f>
        <v/>
      </c>
      <c r="F101" s="75" t="str">
        <f aca="false">IF(ISNUMBER(週次_媒体別CP!F272),週次_媒体別CP!F272,"")</f>
        <v/>
      </c>
      <c r="G101" s="75" t="str">
        <f aca="false">IF(ISNUMBER(週次_媒体別CP!F328),週次_媒体別CP!F328,"")</f>
        <v/>
      </c>
      <c r="H101" s="75" t="str">
        <f aca="false">IF(ISNUMBER(週次_媒体別CP!F384),週次_媒体別CP!F384,"")</f>
        <v/>
      </c>
    </row>
    <row r="102" customFormat="false" ht="15" hidden="false" customHeight="false" outlineLevel="0" collapsed="false">
      <c r="A102" s="72" t="s">
        <v>146</v>
      </c>
      <c r="B102" s="75" t="str">
        <f aca="false">IF(ISNUMBER(週次_媒体別CP!F49),週次_媒体別CP!F49,"")</f>
        <v/>
      </c>
      <c r="C102" s="75" t="str">
        <f aca="false">IF(ISNUMBER(週次_媒体別CP!F105),週次_媒体別CP!F105,"")</f>
        <v/>
      </c>
      <c r="D102" s="75" t="str">
        <f aca="false">IF(ISNUMBER(週次_媒体別CP!F161),週次_媒体別CP!F161,"")</f>
        <v/>
      </c>
      <c r="E102" s="75" t="str">
        <f aca="false">IF(ISNUMBER(週次_媒体別CP!F217),週次_媒体別CP!F217,"")</f>
        <v/>
      </c>
      <c r="F102" s="75" t="str">
        <f aca="false">IF(ISNUMBER(週次_媒体別CP!F273),週次_媒体別CP!F273,"")</f>
        <v/>
      </c>
      <c r="G102" s="75" t="str">
        <f aca="false">IF(ISNUMBER(週次_媒体別CP!F329),週次_媒体別CP!F329,"")</f>
        <v/>
      </c>
      <c r="H102" s="75" t="str">
        <f aca="false">IF(ISNUMBER(週次_媒体別CP!F385),週次_媒体別CP!F385,"")</f>
        <v/>
      </c>
    </row>
    <row r="103" customFormat="false" ht="15" hidden="false" customHeight="false" outlineLevel="0" collapsed="false">
      <c r="A103" s="72" t="s">
        <v>148</v>
      </c>
      <c r="B103" s="75" t="str">
        <f aca="false">IF(ISNUMBER(週次_媒体別CP!F50),週次_媒体別CP!F50,"")</f>
        <v/>
      </c>
      <c r="C103" s="75" t="str">
        <f aca="false">IF(ISNUMBER(週次_媒体別CP!F106),週次_媒体別CP!F106,"")</f>
        <v/>
      </c>
      <c r="D103" s="75" t="str">
        <f aca="false">IF(ISNUMBER(週次_媒体別CP!F162),週次_媒体別CP!F162,"")</f>
        <v/>
      </c>
      <c r="E103" s="75" t="str">
        <f aca="false">IF(ISNUMBER(週次_媒体別CP!F218),週次_媒体別CP!F218,"")</f>
        <v/>
      </c>
      <c r="F103" s="75" t="str">
        <f aca="false">IF(ISNUMBER(週次_媒体別CP!F274),週次_媒体別CP!F274,"")</f>
        <v/>
      </c>
      <c r="G103" s="75" t="str">
        <f aca="false">IF(ISNUMBER(週次_媒体別CP!F330),週次_媒体別CP!F330,"")</f>
        <v/>
      </c>
      <c r="H103" s="75" t="str">
        <f aca="false">IF(ISNUMBER(週次_媒体別CP!F386),週次_媒体別CP!F386,"")</f>
        <v/>
      </c>
    </row>
    <row r="104" customFormat="false" ht="15" hidden="false" customHeight="false" outlineLevel="0" collapsed="false">
      <c r="A104" s="72" t="s">
        <v>150</v>
      </c>
      <c r="B104" s="75" t="str">
        <f aca="false">IF(ISNUMBER(週次_媒体別CP!F51),週次_媒体別CP!F51,"")</f>
        <v/>
      </c>
      <c r="C104" s="75" t="str">
        <f aca="false">IF(ISNUMBER(週次_媒体別CP!F107),週次_媒体別CP!F107,"")</f>
        <v/>
      </c>
      <c r="D104" s="75" t="str">
        <f aca="false">IF(ISNUMBER(週次_媒体別CP!F163),週次_媒体別CP!F163,"")</f>
        <v/>
      </c>
      <c r="E104" s="75" t="str">
        <f aca="false">IF(ISNUMBER(週次_媒体別CP!F219),週次_媒体別CP!F219,"")</f>
        <v/>
      </c>
      <c r="F104" s="75" t="str">
        <f aca="false">IF(ISNUMBER(週次_媒体別CP!F275),週次_媒体別CP!F275,"")</f>
        <v/>
      </c>
      <c r="G104" s="75" t="str">
        <f aca="false">IF(ISNUMBER(週次_媒体別CP!F331),週次_媒体別CP!F331,"")</f>
        <v/>
      </c>
      <c r="H104" s="75" t="str">
        <f aca="false">IF(ISNUMBER(週次_媒体別CP!F387),週次_媒体別CP!F387,"")</f>
        <v/>
      </c>
    </row>
    <row r="105" customFormat="false" ht="15" hidden="false" customHeight="false" outlineLevel="0" collapsed="false">
      <c r="A105" s="72" t="s">
        <v>152</v>
      </c>
      <c r="B105" s="75" t="str">
        <f aca="false">IF(ISNUMBER(週次_媒体別CP!F52),週次_媒体別CP!F52,"")</f>
        <v/>
      </c>
      <c r="C105" s="75" t="str">
        <f aca="false">IF(ISNUMBER(週次_媒体別CP!F108),週次_媒体別CP!F108,"")</f>
        <v/>
      </c>
      <c r="D105" s="75" t="str">
        <f aca="false">IF(ISNUMBER(週次_媒体別CP!F164),週次_媒体別CP!F164,"")</f>
        <v/>
      </c>
      <c r="E105" s="75" t="str">
        <f aca="false">IF(ISNUMBER(週次_媒体別CP!F220),週次_媒体別CP!F220,"")</f>
        <v/>
      </c>
      <c r="F105" s="75" t="str">
        <f aca="false">IF(ISNUMBER(週次_媒体別CP!F276),週次_媒体別CP!F276,"")</f>
        <v/>
      </c>
      <c r="G105" s="75" t="str">
        <f aca="false">IF(ISNUMBER(週次_媒体別CP!F332),週次_媒体別CP!F332,"")</f>
        <v/>
      </c>
      <c r="H105" s="75" t="str">
        <f aca="false">IF(ISNUMBER(週次_媒体別CP!F388),週次_媒体別CP!F388,"")</f>
        <v/>
      </c>
    </row>
    <row r="106" customFormat="false" ht="15" hidden="false" customHeight="false" outlineLevel="0" collapsed="false">
      <c r="A106" s="72" t="s">
        <v>154</v>
      </c>
      <c r="B106" s="75" t="str">
        <f aca="false">IF(ISNUMBER(週次_媒体別CP!F53),週次_媒体別CP!F53,"")</f>
        <v/>
      </c>
      <c r="C106" s="75" t="str">
        <f aca="false">IF(ISNUMBER(週次_媒体別CP!F109),週次_媒体別CP!F109,"")</f>
        <v/>
      </c>
      <c r="D106" s="75" t="str">
        <f aca="false">IF(ISNUMBER(週次_媒体別CP!F165),週次_媒体別CP!F165,"")</f>
        <v/>
      </c>
      <c r="E106" s="75" t="str">
        <f aca="false">IF(ISNUMBER(週次_媒体別CP!F221),週次_媒体別CP!F221,"")</f>
        <v/>
      </c>
      <c r="F106" s="75" t="str">
        <f aca="false">IF(ISNUMBER(週次_媒体別CP!F277),週次_媒体別CP!F277,"")</f>
        <v/>
      </c>
      <c r="G106" s="75" t="str">
        <f aca="false">IF(ISNUMBER(週次_媒体別CP!F333),週次_媒体別CP!F333,"")</f>
        <v/>
      </c>
      <c r="H106" s="75" t="str">
        <f aca="false">IF(ISNUMBER(週次_媒体別CP!F389),週次_媒体別CP!F389,"")</f>
        <v/>
      </c>
    </row>
    <row r="107" customFormat="false" ht="15" hidden="false" customHeight="false" outlineLevel="0" collapsed="false">
      <c r="A107" s="72" t="s">
        <v>156</v>
      </c>
      <c r="B107" s="75" t="str">
        <f aca="false">IF(ISNUMBER(週次_媒体別CP!F54),週次_媒体別CP!F54,"")</f>
        <v/>
      </c>
      <c r="C107" s="75" t="str">
        <f aca="false">IF(ISNUMBER(週次_媒体別CP!F110),週次_媒体別CP!F110,"")</f>
        <v/>
      </c>
      <c r="D107" s="75" t="str">
        <f aca="false">IF(ISNUMBER(週次_媒体別CP!F166),週次_媒体別CP!F166,"")</f>
        <v/>
      </c>
      <c r="E107" s="75" t="str">
        <f aca="false">IF(ISNUMBER(週次_媒体別CP!F222),週次_媒体別CP!F222,"")</f>
        <v/>
      </c>
      <c r="F107" s="75" t="str">
        <f aca="false">IF(ISNUMBER(週次_媒体別CP!F278),週次_媒体別CP!F278,"")</f>
        <v/>
      </c>
      <c r="G107" s="75" t="str">
        <f aca="false">IF(ISNUMBER(週次_媒体別CP!F334),週次_媒体別CP!F334,"")</f>
        <v/>
      </c>
      <c r="H107" s="75" t="str">
        <f aca="false">IF(ISNUMBER(週次_媒体別CP!F390),週次_媒体別CP!F390,"")</f>
        <v/>
      </c>
    </row>
    <row r="108" customFormat="false" ht="15" hidden="false" customHeight="false" outlineLevel="0" collapsed="false">
      <c r="A108" s="72" t="s">
        <v>158</v>
      </c>
      <c r="B108" s="75" t="str">
        <f aca="false">IF(ISNUMBER(週次_媒体別CP!F55),週次_媒体別CP!F55,"")</f>
        <v/>
      </c>
      <c r="C108" s="75" t="str">
        <f aca="false">IF(ISNUMBER(週次_媒体別CP!F111),週次_媒体別CP!F111,"")</f>
        <v/>
      </c>
      <c r="D108" s="75" t="str">
        <f aca="false">IF(ISNUMBER(週次_媒体別CP!F167),週次_媒体別CP!F167,"")</f>
        <v/>
      </c>
      <c r="E108" s="75" t="str">
        <f aca="false">IF(ISNUMBER(週次_媒体別CP!F223),週次_媒体別CP!F223,"")</f>
        <v/>
      </c>
      <c r="F108" s="75" t="str">
        <f aca="false">IF(ISNUMBER(週次_媒体別CP!F279),週次_媒体別CP!F279,"")</f>
        <v/>
      </c>
      <c r="G108" s="75" t="str">
        <f aca="false">IF(ISNUMBER(週次_媒体別CP!F335),週次_媒体別CP!F335,"")</f>
        <v/>
      </c>
      <c r="H108" s="75" t="str">
        <f aca="false">IF(ISNUMBER(週次_媒体別CP!F391),週次_媒体別CP!F391,"")</f>
        <v/>
      </c>
    </row>
    <row r="109" customFormat="false" ht="15" hidden="false" customHeight="false" outlineLevel="0" collapsed="false">
      <c r="A109" s="72" t="s">
        <v>160</v>
      </c>
      <c r="B109" s="75" t="str">
        <f aca="false">IF(ISNUMBER(週次_媒体別CP!F56),週次_媒体別CP!F56,"")</f>
        <v/>
      </c>
      <c r="C109" s="75" t="str">
        <f aca="false">IF(ISNUMBER(週次_媒体別CP!F112),週次_媒体別CP!F112,"")</f>
        <v/>
      </c>
      <c r="D109" s="75" t="str">
        <f aca="false">IF(ISNUMBER(週次_媒体別CP!F168),週次_媒体別CP!F168,"")</f>
        <v/>
      </c>
      <c r="E109" s="75" t="str">
        <f aca="false">IF(ISNUMBER(週次_媒体別CP!F224),週次_媒体別CP!F224,"")</f>
        <v/>
      </c>
      <c r="F109" s="75" t="str">
        <f aca="false">IF(ISNUMBER(週次_媒体別CP!F280),週次_媒体別CP!F280,"")</f>
        <v/>
      </c>
      <c r="G109" s="75" t="str">
        <f aca="false">IF(ISNUMBER(週次_媒体別CP!F336),週次_媒体別CP!F336,"")</f>
        <v/>
      </c>
      <c r="H109" s="75" t="str">
        <f aca="false">IF(ISNUMBER(週次_媒体別CP!F392),週次_媒体別CP!F392,"")</f>
        <v/>
      </c>
    </row>
    <row r="110" customFormat="false" ht="15" hidden="false" customHeight="false" outlineLevel="0" collapsed="false">
      <c r="A110" s="72" t="s">
        <v>162</v>
      </c>
      <c r="B110" s="75" t="str">
        <f aca="false">IF(ISNUMBER(週次_媒体別CP!F57),週次_媒体別CP!F57,"")</f>
        <v/>
      </c>
      <c r="C110" s="75" t="str">
        <f aca="false">IF(ISNUMBER(週次_媒体別CP!F113),週次_媒体別CP!F113,"")</f>
        <v/>
      </c>
      <c r="D110" s="75" t="str">
        <f aca="false">IF(ISNUMBER(週次_媒体別CP!F169),週次_媒体別CP!F169,"")</f>
        <v/>
      </c>
      <c r="E110" s="75" t="str">
        <f aca="false">IF(ISNUMBER(週次_媒体別CP!F225),週次_媒体別CP!F225,"")</f>
        <v/>
      </c>
      <c r="F110" s="75" t="str">
        <f aca="false">IF(ISNUMBER(週次_媒体別CP!F281),週次_媒体別CP!F281,"")</f>
        <v/>
      </c>
      <c r="G110" s="75" t="str">
        <f aca="false">IF(ISNUMBER(週次_媒体別CP!F337),週次_媒体別CP!F337,"")</f>
        <v/>
      </c>
      <c r="H110" s="75" t="str">
        <f aca="false">IF(ISNUMBER(週次_媒体別CP!F393),週次_媒体別CP!F393,"")</f>
        <v/>
      </c>
    </row>
    <row r="112" customFormat="false" ht="15" hidden="false" customHeight="false" outlineLevel="0" collapsed="false">
      <c r="A112" s="74" t="s">
        <v>54</v>
      </c>
    </row>
    <row r="113" customFormat="false" ht="37.3" hidden="false" customHeight="false" outlineLevel="0" collapsed="false">
      <c r="A113" s="70" t="s">
        <v>48</v>
      </c>
      <c r="B113" s="71" t="s">
        <v>243</v>
      </c>
      <c r="C113" s="71" t="s">
        <v>244</v>
      </c>
      <c r="D113" s="71" t="s">
        <v>245</v>
      </c>
      <c r="E113" s="71" t="s">
        <v>246</v>
      </c>
      <c r="F113" s="71" t="s">
        <v>247</v>
      </c>
      <c r="G113" s="71" t="s">
        <v>248</v>
      </c>
      <c r="H113" s="71" t="s">
        <v>249</v>
      </c>
    </row>
    <row r="114" customFormat="false" ht="15" hidden="false" customHeight="false" outlineLevel="0" collapsed="false">
      <c r="A114" s="72" t="s">
        <v>59</v>
      </c>
      <c r="B114" s="73" t="n">
        <f aca="false">IF(ISNUMBER(週次_媒体別CP!K6),週次_媒体別CP!K6,"")</f>
        <v>2509.97142857143</v>
      </c>
      <c r="C114" s="73" t="n">
        <f aca="false">IF(ISNUMBER(週次_媒体別CP!K62),週次_媒体別CP!K62,"")</f>
        <v>5824.94444444444</v>
      </c>
      <c r="D114" s="73" t="str">
        <f aca="false">IF(ISNUMBER(週次_媒体別CP!K118),週次_媒体別CP!K118,"")</f>
        <v/>
      </c>
      <c r="E114" s="73" t="str">
        <f aca="false">IF(ISNUMBER(週次_媒体別CP!K174),週次_媒体別CP!K174,"")</f>
        <v/>
      </c>
      <c r="F114" s="73" t="str">
        <f aca="false">IF(ISNUMBER(週次_媒体別CP!K230),週次_媒体別CP!K230,"")</f>
        <v/>
      </c>
      <c r="G114" s="73" t="str">
        <f aca="false">IF(ISNUMBER(週次_媒体別CP!K286),週次_媒体別CP!K286,"")</f>
        <v/>
      </c>
      <c r="H114" s="73" t="str">
        <f aca="false">IF(ISNUMBER(週次_媒体別CP!K342),週次_媒体別CP!K342,"")</f>
        <v/>
      </c>
    </row>
    <row r="115" customFormat="false" ht="15" hidden="false" customHeight="false" outlineLevel="0" collapsed="false">
      <c r="A115" s="72" t="s">
        <v>61</v>
      </c>
      <c r="B115" s="73" t="n">
        <f aca="false">IF(ISNUMBER(週次_媒体別CP!K7),週次_媒体別CP!K7,"")</f>
        <v>2487.47058823529</v>
      </c>
      <c r="C115" s="73" t="n">
        <f aca="false">IF(ISNUMBER(週次_媒体別CP!K63),週次_媒体別CP!K63,"")</f>
        <v>898.56862745098</v>
      </c>
      <c r="D115" s="73" t="str">
        <f aca="false">IF(ISNUMBER(週次_媒体別CP!K119),週次_媒体別CP!K119,"")</f>
        <v/>
      </c>
      <c r="E115" s="73" t="n">
        <f aca="false">IF(ISNUMBER(週次_媒体別CP!K175),週次_媒体別CP!K175,"")</f>
        <v>2697</v>
      </c>
      <c r="F115" s="73" t="n">
        <f aca="false">IF(ISNUMBER(週次_媒体別CP!K231),週次_媒体別CP!K231,"")</f>
        <v>2027</v>
      </c>
      <c r="G115" s="73" t="str">
        <f aca="false">IF(ISNUMBER(週次_媒体別CP!K287),週次_媒体別CP!K287,"")</f>
        <v/>
      </c>
      <c r="H115" s="73" t="str">
        <f aca="false">IF(ISNUMBER(週次_媒体別CP!K343),週次_媒体別CP!K343,"")</f>
        <v/>
      </c>
    </row>
    <row r="116" customFormat="false" ht="15" hidden="false" customHeight="false" outlineLevel="0" collapsed="false">
      <c r="A116" s="72" t="s">
        <v>63</v>
      </c>
      <c r="B116" s="73" t="n">
        <f aca="false">IF(ISNUMBER(週次_媒体別CP!K8),週次_媒体別CP!K8,"")</f>
        <v>3100</v>
      </c>
      <c r="C116" s="73" t="n">
        <f aca="false">IF(ISNUMBER(週次_媒体別CP!K64),週次_媒体別CP!K64,"")</f>
        <v>2661.63636363636</v>
      </c>
      <c r="D116" s="73" t="str">
        <f aca="false">IF(ISNUMBER(週次_媒体別CP!K120),週次_媒体別CP!K120,"")</f>
        <v/>
      </c>
      <c r="E116" s="73" t="n">
        <f aca="false">IF(ISNUMBER(週次_媒体別CP!K176),週次_媒体別CP!K176,"")</f>
        <v>10607</v>
      </c>
      <c r="F116" s="73" t="n">
        <f aca="false">IF(ISNUMBER(週次_媒体別CP!K232),週次_媒体別CP!K232,"")</f>
        <v>4884</v>
      </c>
      <c r="G116" s="73" t="str">
        <f aca="false">IF(ISNUMBER(週次_媒体別CP!K288),週次_媒体別CP!K288,"")</f>
        <v/>
      </c>
      <c r="H116" s="73" t="str">
        <f aca="false">IF(ISNUMBER(週次_媒体別CP!K344),週次_媒体別CP!K344,"")</f>
        <v/>
      </c>
    </row>
    <row r="117" customFormat="false" ht="15" hidden="false" customHeight="false" outlineLevel="0" collapsed="false">
      <c r="A117" s="72" t="s">
        <v>65</v>
      </c>
      <c r="B117" s="73" t="str">
        <f aca="false">IF(ISNUMBER(週次_媒体別CP!K9),週次_媒体別CP!K9,"")</f>
        <v/>
      </c>
      <c r="C117" s="73" t="n">
        <f aca="false">IF(ISNUMBER(週次_媒体別CP!K65),週次_媒体別CP!K65,"")</f>
        <v>2345.02941176471</v>
      </c>
      <c r="D117" s="73" t="str">
        <f aca="false">IF(ISNUMBER(週次_媒体別CP!K121),週次_媒体別CP!K121,"")</f>
        <v/>
      </c>
      <c r="E117" s="73" t="str">
        <f aca="false">IF(ISNUMBER(週次_媒体別CP!K177),週次_媒体別CP!K177,"")</f>
        <v/>
      </c>
      <c r="F117" s="73" t="n">
        <f aca="false">IF(ISNUMBER(週次_媒体別CP!K233),週次_媒体別CP!K233,"")</f>
        <v>4279</v>
      </c>
      <c r="G117" s="73" t="str">
        <f aca="false">IF(ISNUMBER(週次_媒体別CP!K289),週次_媒体別CP!K289,"")</f>
        <v/>
      </c>
      <c r="H117" s="73" t="str">
        <f aca="false">IF(ISNUMBER(週次_媒体別CP!K345),週次_媒体別CP!K345,"")</f>
        <v/>
      </c>
    </row>
    <row r="118" customFormat="false" ht="15" hidden="false" customHeight="false" outlineLevel="0" collapsed="false">
      <c r="A118" s="72" t="s">
        <v>68</v>
      </c>
      <c r="B118" s="73" t="str">
        <f aca="false">IF(ISNUMBER(週次_媒体別CP!K10),週次_媒体別CP!K10,"")</f>
        <v/>
      </c>
      <c r="C118" s="73" t="n">
        <f aca="false">IF(ISNUMBER(週次_媒体別CP!K66),週次_媒体別CP!K66,"")</f>
        <v>3021.4</v>
      </c>
      <c r="D118" s="73" t="str">
        <f aca="false">IF(ISNUMBER(週次_媒体別CP!K122),週次_媒体別CP!K122,"")</f>
        <v/>
      </c>
      <c r="E118" s="73" t="str">
        <f aca="false">IF(ISNUMBER(週次_媒体別CP!K178),週次_媒体別CP!K178,"")</f>
        <v/>
      </c>
      <c r="F118" s="73" t="n">
        <f aca="false">IF(ISNUMBER(週次_媒体別CP!K234),週次_媒体別CP!K234,"")</f>
        <v>2503</v>
      </c>
      <c r="G118" s="73" t="str">
        <f aca="false">IF(ISNUMBER(週次_媒体別CP!K290),週次_媒体別CP!K290,"")</f>
        <v/>
      </c>
      <c r="H118" s="73" t="str">
        <f aca="false">IF(ISNUMBER(週次_媒体別CP!K346),週次_媒体別CP!K346,"")</f>
        <v/>
      </c>
    </row>
    <row r="119" customFormat="false" ht="15" hidden="false" customHeight="false" outlineLevel="0" collapsed="false">
      <c r="A119" s="72" t="s">
        <v>70</v>
      </c>
      <c r="B119" s="73" t="str">
        <f aca="false">IF(ISNUMBER(週次_媒体別CP!K11),週次_媒体別CP!K11,"")</f>
        <v/>
      </c>
      <c r="C119" s="73" t="n">
        <f aca="false">IF(ISNUMBER(週次_媒体別CP!K67),週次_媒体別CP!K67,"")</f>
        <v>3394.09677419355</v>
      </c>
      <c r="D119" s="73" t="str">
        <f aca="false">IF(ISNUMBER(週次_媒体別CP!K123),週次_媒体別CP!K123,"")</f>
        <v/>
      </c>
      <c r="E119" s="73" t="str">
        <f aca="false">IF(ISNUMBER(週次_媒体別CP!K179),週次_媒体別CP!K179,"")</f>
        <v/>
      </c>
      <c r="F119" s="73" t="str">
        <f aca="false">IF(ISNUMBER(週次_媒体別CP!K235),週次_媒体別CP!K235,"")</f>
        <v/>
      </c>
      <c r="G119" s="73" t="str">
        <f aca="false">IF(ISNUMBER(週次_媒体別CP!K291),週次_媒体別CP!K291,"")</f>
        <v/>
      </c>
      <c r="H119" s="73" t="str">
        <f aca="false">IF(ISNUMBER(週次_媒体別CP!K347),週次_媒体別CP!K347,"")</f>
        <v/>
      </c>
    </row>
    <row r="120" customFormat="false" ht="15" hidden="false" customHeight="false" outlineLevel="0" collapsed="false">
      <c r="A120" s="72" t="s">
        <v>72</v>
      </c>
      <c r="B120" s="73" t="str">
        <f aca="false">IF(ISNUMBER(週次_媒体別CP!K12),週次_媒体別CP!K12,"")</f>
        <v/>
      </c>
      <c r="C120" s="73" t="n">
        <f aca="false">IF(ISNUMBER(週次_媒体別CP!K68),週次_媒体別CP!K68,"")</f>
        <v>2576.68292682927</v>
      </c>
      <c r="D120" s="73" t="n">
        <f aca="false">IF(ISNUMBER(週次_媒体別CP!K124),週次_媒体別CP!K124,"")</f>
        <v>1448.07692307692</v>
      </c>
      <c r="E120" s="73" t="str">
        <f aca="false">IF(ISNUMBER(週次_媒体別CP!K180),週次_媒体別CP!K180,"")</f>
        <v/>
      </c>
      <c r="F120" s="73" t="str">
        <f aca="false">IF(ISNUMBER(週次_媒体別CP!K236),週次_媒体別CP!K236,"")</f>
        <v/>
      </c>
      <c r="G120" s="73" t="str">
        <f aca="false">IF(ISNUMBER(週次_媒体別CP!K292),週次_媒体別CP!K292,"")</f>
        <v/>
      </c>
      <c r="H120" s="73" t="str">
        <f aca="false">IF(ISNUMBER(週次_媒体別CP!K348),週次_媒体別CP!K348,"")</f>
        <v/>
      </c>
    </row>
    <row r="121" customFormat="false" ht="15" hidden="false" customHeight="false" outlineLevel="0" collapsed="false">
      <c r="A121" s="72" t="s">
        <v>74</v>
      </c>
      <c r="B121" s="73" t="n">
        <f aca="false">IF(ISNUMBER(週次_媒体別CP!K13),週次_媒体別CP!K13,"")</f>
        <v>1303.48979591837</v>
      </c>
      <c r="C121" s="73" t="n">
        <f aca="false">IF(ISNUMBER(週次_媒体別CP!K69),週次_媒体別CP!K69,"")</f>
        <v>4136.96</v>
      </c>
      <c r="D121" s="73" t="n">
        <f aca="false">IF(ISNUMBER(週次_媒体別CP!K125),週次_媒体別CP!K125,"")</f>
        <v>1891.78260869565</v>
      </c>
      <c r="E121" s="73" t="str">
        <f aca="false">IF(ISNUMBER(週次_媒体別CP!K181),週次_媒体別CP!K181,"")</f>
        <v/>
      </c>
      <c r="F121" s="73" t="str">
        <f aca="false">IF(ISNUMBER(週次_媒体別CP!K237),週次_媒体別CP!K237,"")</f>
        <v/>
      </c>
      <c r="G121" s="73" t="str">
        <f aca="false">IF(ISNUMBER(週次_媒体別CP!K293),週次_媒体別CP!K293,"")</f>
        <v/>
      </c>
      <c r="H121" s="73" t="str">
        <f aca="false">IF(ISNUMBER(週次_媒体別CP!K349),週次_媒体別CP!K349,"")</f>
        <v/>
      </c>
    </row>
    <row r="122" customFormat="false" ht="15" hidden="false" customHeight="false" outlineLevel="0" collapsed="false">
      <c r="A122" s="72" t="s">
        <v>76</v>
      </c>
      <c r="B122" s="73" t="n">
        <f aca="false">IF(ISNUMBER(週次_媒体別CP!K14),週次_媒体別CP!K14,"")</f>
        <v>1518.83823529412</v>
      </c>
      <c r="C122" s="73" t="n">
        <f aca="false">IF(ISNUMBER(週次_媒体別CP!K70),週次_媒体別CP!K70,"")</f>
        <v>4899.5</v>
      </c>
      <c r="D122" s="73" t="n">
        <f aca="false">IF(ISNUMBER(週次_媒体別CP!K126),週次_媒体別CP!K126,"")</f>
        <v>1592.2</v>
      </c>
      <c r="E122" s="73" t="str">
        <f aca="false">IF(ISNUMBER(週次_媒体別CP!K182),週次_媒体別CP!K182,"")</f>
        <v/>
      </c>
      <c r="F122" s="73" t="str">
        <f aca="false">IF(ISNUMBER(週次_媒体別CP!K238),週次_媒体別CP!K238,"")</f>
        <v/>
      </c>
      <c r="G122" s="73" t="str">
        <f aca="false">IF(ISNUMBER(週次_媒体別CP!K294),週次_媒体別CP!K294,"")</f>
        <v/>
      </c>
      <c r="H122" s="73" t="str">
        <f aca="false">IF(ISNUMBER(週次_媒体別CP!K350),週次_媒体別CP!K350,"")</f>
        <v/>
      </c>
    </row>
    <row r="123" customFormat="false" ht="15" hidden="false" customHeight="false" outlineLevel="0" collapsed="false">
      <c r="A123" s="72" t="s">
        <v>78</v>
      </c>
      <c r="B123" s="73" t="n">
        <f aca="false">IF(ISNUMBER(週次_媒体別CP!K15),週次_媒体別CP!K15,"")</f>
        <v>1112.63636363636</v>
      </c>
      <c r="C123" s="73" t="n">
        <f aca="false">IF(ISNUMBER(週次_媒体別CP!K71),週次_媒体別CP!K71,"")</f>
        <v>5165.36842105263</v>
      </c>
      <c r="D123" s="73" t="n">
        <f aca="false">IF(ISNUMBER(週次_媒体別CP!K127),週次_媒体別CP!K127,"")</f>
        <v>1320.06451612903</v>
      </c>
      <c r="E123" s="73" t="str">
        <f aca="false">IF(ISNUMBER(週次_媒体別CP!K183),週次_媒体別CP!K183,"")</f>
        <v/>
      </c>
      <c r="F123" s="73" t="str">
        <f aca="false">IF(ISNUMBER(週次_媒体別CP!K239),週次_媒体別CP!K239,"")</f>
        <v/>
      </c>
      <c r="G123" s="73" t="str">
        <f aca="false">IF(ISNUMBER(週次_媒体別CP!K295),週次_媒体別CP!K295,"")</f>
        <v/>
      </c>
      <c r="H123" s="73" t="str">
        <f aca="false">IF(ISNUMBER(週次_媒体別CP!K351),週次_媒体別CP!K351,"")</f>
        <v/>
      </c>
    </row>
    <row r="124" customFormat="false" ht="15" hidden="false" customHeight="false" outlineLevel="0" collapsed="false">
      <c r="A124" s="72" t="s">
        <v>80</v>
      </c>
      <c r="B124" s="73" t="n">
        <f aca="false">IF(ISNUMBER(週次_媒体別CP!K16),週次_媒体別CP!K16,"")</f>
        <v>3265.21428571429</v>
      </c>
      <c r="C124" s="73" t="n">
        <f aca="false">IF(ISNUMBER(週次_媒体別CP!K72),週次_媒体別CP!K72,"")</f>
        <v>3950.26923076923</v>
      </c>
      <c r="D124" s="73" t="n">
        <f aca="false">IF(ISNUMBER(週次_媒体別CP!K128),週次_媒体別CP!K128,"")</f>
        <v>1445.48148148148</v>
      </c>
      <c r="E124" s="73" t="str">
        <f aca="false">IF(ISNUMBER(週次_媒体別CP!K184),週次_媒体別CP!K184,"")</f>
        <v/>
      </c>
      <c r="F124" s="73" t="str">
        <f aca="false">IF(ISNUMBER(週次_媒体別CP!K240),週次_媒体別CP!K240,"")</f>
        <v/>
      </c>
      <c r="G124" s="73" t="str">
        <f aca="false">IF(ISNUMBER(週次_媒体別CP!K296),週次_媒体別CP!K296,"")</f>
        <v/>
      </c>
      <c r="H124" s="73" t="str">
        <f aca="false">IF(ISNUMBER(週次_媒体別CP!K352),週次_媒体別CP!K352,"")</f>
        <v/>
      </c>
    </row>
    <row r="125" customFormat="false" ht="15" hidden="false" customHeight="false" outlineLevel="0" collapsed="false">
      <c r="A125" s="72" t="s">
        <v>82</v>
      </c>
      <c r="B125" s="73" t="str">
        <f aca="false">IF(ISNUMBER(週次_媒体別CP!K17),週次_媒体別CP!K17,"")</f>
        <v/>
      </c>
      <c r="C125" s="73" t="str">
        <f aca="false">IF(ISNUMBER(週次_媒体別CP!K73),週次_媒体別CP!K73,"")</f>
        <v/>
      </c>
      <c r="D125" s="73" t="str">
        <f aca="false">IF(ISNUMBER(週次_媒体別CP!K129),週次_媒体別CP!K129,"")</f>
        <v/>
      </c>
      <c r="E125" s="73" t="str">
        <f aca="false">IF(ISNUMBER(週次_媒体別CP!K185),週次_媒体別CP!K185,"")</f>
        <v/>
      </c>
      <c r="F125" s="73" t="str">
        <f aca="false">IF(ISNUMBER(週次_媒体別CP!K241),週次_媒体別CP!K241,"")</f>
        <v/>
      </c>
      <c r="G125" s="73" t="str">
        <f aca="false">IF(ISNUMBER(週次_媒体別CP!K297),週次_媒体別CP!K297,"")</f>
        <v/>
      </c>
      <c r="H125" s="73" t="str">
        <f aca="false">IF(ISNUMBER(週次_媒体別CP!K353),週次_媒体別CP!K353,"")</f>
        <v/>
      </c>
    </row>
    <row r="126" customFormat="false" ht="15" hidden="false" customHeight="false" outlineLevel="0" collapsed="false">
      <c r="A126" s="72" t="s">
        <v>84</v>
      </c>
      <c r="B126" s="73" t="str">
        <f aca="false">IF(ISNUMBER(週次_媒体別CP!K18),週次_媒体別CP!K18,"")</f>
        <v/>
      </c>
      <c r="C126" s="73" t="str">
        <f aca="false">IF(ISNUMBER(週次_媒体別CP!K74),週次_媒体別CP!K74,"")</f>
        <v/>
      </c>
      <c r="D126" s="73" t="str">
        <f aca="false">IF(ISNUMBER(週次_媒体別CP!K130),週次_媒体別CP!K130,"")</f>
        <v/>
      </c>
      <c r="E126" s="73" t="str">
        <f aca="false">IF(ISNUMBER(週次_媒体別CP!K186),週次_媒体別CP!K186,"")</f>
        <v/>
      </c>
      <c r="F126" s="73" t="str">
        <f aca="false">IF(ISNUMBER(週次_媒体別CP!K242),週次_媒体別CP!K242,"")</f>
        <v/>
      </c>
      <c r="G126" s="73" t="str">
        <f aca="false">IF(ISNUMBER(週次_媒体別CP!K298),週次_媒体別CP!K298,"")</f>
        <v/>
      </c>
      <c r="H126" s="73" t="str">
        <f aca="false">IF(ISNUMBER(週次_媒体別CP!K354),週次_媒体別CP!K354,"")</f>
        <v/>
      </c>
    </row>
    <row r="127" customFormat="false" ht="15" hidden="false" customHeight="false" outlineLevel="0" collapsed="false">
      <c r="A127" s="72" t="s">
        <v>86</v>
      </c>
      <c r="B127" s="73" t="str">
        <f aca="false">IF(ISNUMBER(週次_媒体別CP!K19),週次_媒体別CP!K19,"")</f>
        <v/>
      </c>
      <c r="C127" s="73" t="str">
        <f aca="false">IF(ISNUMBER(週次_媒体別CP!K75),週次_媒体別CP!K75,"")</f>
        <v/>
      </c>
      <c r="D127" s="73" t="str">
        <f aca="false">IF(ISNUMBER(週次_媒体別CP!K131),週次_媒体別CP!K131,"")</f>
        <v/>
      </c>
      <c r="E127" s="73" t="str">
        <f aca="false">IF(ISNUMBER(週次_媒体別CP!K187),週次_媒体別CP!K187,"")</f>
        <v/>
      </c>
      <c r="F127" s="73" t="str">
        <f aca="false">IF(ISNUMBER(週次_媒体別CP!K243),週次_媒体別CP!K243,"")</f>
        <v/>
      </c>
      <c r="G127" s="73" t="str">
        <f aca="false">IF(ISNUMBER(週次_媒体別CP!K299),週次_媒体別CP!K299,"")</f>
        <v/>
      </c>
      <c r="H127" s="73" t="str">
        <f aca="false">IF(ISNUMBER(週次_媒体別CP!K355),週次_媒体別CP!K355,"")</f>
        <v/>
      </c>
    </row>
    <row r="128" customFormat="false" ht="15" hidden="false" customHeight="false" outlineLevel="0" collapsed="false">
      <c r="A128" s="72" t="s">
        <v>88</v>
      </c>
      <c r="B128" s="73" t="str">
        <f aca="false">IF(ISNUMBER(週次_媒体別CP!K20),週次_媒体別CP!K20,"")</f>
        <v/>
      </c>
      <c r="C128" s="73" t="str">
        <f aca="false">IF(ISNUMBER(週次_媒体別CP!K76),週次_媒体別CP!K76,"")</f>
        <v/>
      </c>
      <c r="D128" s="73" t="str">
        <f aca="false">IF(ISNUMBER(週次_媒体別CP!K132),週次_媒体別CP!K132,"")</f>
        <v/>
      </c>
      <c r="E128" s="73" t="str">
        <f aca="false">IF(ISNUMBER(週次_媒体別CP!K188),週次_媒体別CP!K188,"")</f>
        <v/>
      </c>
      <c r="F128" s="73" t="str">
        <f aca="false">IF(ISNUMBER(週次_媒体別CP!K244),週次_媒体別CP!K244,"")</f>
        <v/>
      </c>
      <c r="G128" s="73" t="str">
        <f aca="false">IF(ISNUMBER(週次_媒体別CP!K300),週次_媒体別CP!K300,"")</f>
        <v/>
      </c>
      <c r="H128" s="73" t="str">
        <f aca="false">IF(ISNUMBER(週次_媒体別CP!K356),週次_媒体別CP!K356,"")</f>
        <v/>
      </c>
    </row>
    <row r="129" customFormat="false" ht="15" hidden="false" customHeight="false" outlineLevel="0" collapsed="false">
      <c r="A129" s="72" t="s">
        <v>90</v>
      </c>
      <c r="B129" s="73" t="str">
        <f aca="false">IF(ISNUMBER(週次_媒体別CP!K21),週次_媒体別CP!K21,"")</f>
        <v/>
      </c>
      <c r="C129" s="73" t="str">
        <f aca="false">IF(ISNUMBER(週次_媒体別CP!K77),週次_媒体別CP!K77,"")</f>
        <v/>
      </c>
      <c r="D129" s="73" t="str">
        <f aca="false">IF(ISNUMBER(週次_媒体別CP!K133),週次_媒体別CP!K133,"")</f>
        <v/>
      </c>
      <c r="E129" s="73" t="str">
        <f aca="false">IF(ISNUMBER(週次_媒体別CP!K189),週次_媒体別CP!K189,"")</f>
        <v/>
      </c>
      <c r="F129" s="73" t="str">
        <f aca="false">IF(ISNUMBER(週次_媒体別CP!K245),週次_媒体別CP!K245,"")</f>
        <v/>
      </c>
      <c r="G129" s="73" t="str">
        <f aca="false">IF(ISNUMBER(週次_媒体別CP!K301),週次_媒体別CP!K301,"")</f>
        <v/>
      </c>
      <c r="H129" s="73" t="str">
        <f aca="false">IF(ISNUMBER(週次_媒体別CP!K357),週次_媒体別CP!K357,"")</f>
        <v/>
      </c>
    </row>
    <row r="130" customFormat="false" ht="15" hidden="false" customHeight="false" outlineLevel="0" collapsed="false">
      <c r="A130" s="72" t="s">
        <v>92</v>
      </c>
      <c r="B130" s="73" t="str">
        <f aca="false">IF(ISNUMBER(週次_媒体別CP!K22),週次_媒体別CP!K22,"")</f>
        <v/>
      </c>
      <c r="C130" s="73" t="str">
        <f aca="false">IF(ISNUMBER(週次_媒体別CP!K78),週次_媒体別CP!K78,"")</f>
        <v/>
      </c>
      <c r="D130" s="73" t="str">
        <f aca="false">IF(ISNUMBER(週次_媒体別CP!K134),週次_媒体別CP!K134,"")</f>
        <v/>
      </c>
      <c r="E130" s="73" t="str">
        <f aca="false">IF(ISNUMBER(週次_媒体別CP!K190),週次_媒体別CP!K190,"")</f>
        <v/>
      </c>
      <c r="F130" s="73" t="str">
        <f aca="false">IF(ISNUMBER(週次_媒体別CP!K246),週次_媒体別CP!K246,"")</f>
        <v/>
      </c>
      <c r="G130" s="73" t="str">
        <f aca="false">IF(ISNUMBER(週次_媒体別CP!K302),週次_媒体別CP!K302,"")</f>
        <v/>
      </c>
      <c r="H130" s="73" t="str">
        <f aca="false">IF(ISNUMBER(週次_媒体別CP!K358),週次_媒体別CP!K358,"")</f>
        <v/>
      </c>
    </row>
    <row r="131" customFormat="false" ht="15" hidden="false" customHeight="false" outlineLevel="0" collapsed="false">
      <c r="A131" s="72" t="s">
        <v>94</v>
      </c>
      <c r="B131" s="73" t="str">
        <f aca="false">IF(ISNUMBER(週次_媒体別CP!K23),週次_媒体別CP!K23,"")</f>
        <v/>
      </c>
      <c r="C131" s="73" t="str">
        <f aca="false">IF(ISNUMBER(週次_媒体別CP!K79),週次_媒体別CP!K79,"")</f>
        <v/>
      </c>
      <c r="D131" s="73" t="str">
        <f aca="false">IF(ISNUMBER(週次_媒体別CP!K135),週次_媒体別CP!K135,"")</f>
        <v/>
      </c>
      <c r="E131" s="73" t="str">
        <f aca="false">IF(ISNUMBER(週次_媒体別CP!K191),週次_媒体別CP!K191,"")</f>
        <v/>
      </c>
      <c r="F131" s="73" t="str">
        <f aca="false">IF(ISNUMBER(週次_媒体別CP!K247),週次_媒体別CP!K247,"")</f>
        <v/>
      </c>
      <c r="G131" s="73" t="str">
        <f aca="false">IF(ISNUMBER(週次_媒体別CP!K303),週次_媒体別CP!K303,"")</f>
        <v/>
      </c>
      <c r="H131" s="73" t="str">
        <f aca="false">IF(ISNUMBER(週次_媒体別CP!K359),週次_媒体別CP!K359,"")</f>
        <v/>
      </c>
    </row>
    <row r="132" customFormat="false" ht="15" hidden="false" customHeight="false" outlineLevel="0" collapsed="false">
      <c r="A132" s="72" t="s">
        <v>96</v>
      </c>
      <c r="B132" s="73" t="str">
        <f aca="false">IF(ISNUMBER(週次_媒体別CP!K24),週次_媒体別CP!K24,"")</f>
        <v/>
      </c>
      <c r="C132" s="73" t="str">
        <f aca="false">IF(ISNUMBER(週次_媒体別CP!K80),週次_媒体別CP!K80,"")</f>
        <v/>
      </c>
      <c r="D132" s="73" t="str">
        <f aca="false">IF(ISNUMBER(週次_媒体別CP!K136),週次_媒体別CP!K136,"")</f>
        <v/>
      </c>
      <c r="E132" s="73" t="str">
        <f aca="false">IF(ISNUMBER(週次_媒体別CP!K192),週次_媒体別CP!K192,"")</f>
        <v/>
      </c>
      <c r="F132" s="73" t="str">
        <f aca="false">IF(ISNUMBER(週次_媒体別CP!K248),週次_媒体別CP!K248,"")</f>
        <v/>
      </c>
      <c r="G132" s="73" t="str">
        <f aca="false">IF(ISNUMBER(週次_媒体別CP!K304),週次_媒体別CP!K304,"")</f>
        <v/>
      </c>
      <c r="H132" s="73" t="str">
        <f aca="false">IF(ISNUMBER(週次_媒体別CP!K360),週次_媒体別CP!K360,"")</f>
        <v/>
      </c>
    </row>
    <row r="133" customFormat="false" ht="15" hidden="false" customHeight="false" outlineLevel="0" collapsed="false">
      <c r="A133" s="72" t="s">
        <v>98</v>
      </c>
      <c r="B133" s="73" t="str">
        <f aca="false">IF(ISNUMBER(週次_媒体別CP!K25),週次_媒体別CP!K25,"")</f>
        <v/>
      </c>
      <c r="C133" s="73" t="str">
        <f aca="false">IF(ISNUMBER(週次_媒体別CP!K81),週次_媒体別CP!K81,"")</f>
        <v/>
      </c>
      <c r="D133" s="73" t="str">
        <f aca="false">IF(ISNUMBER(週次_媒体別CP!K137),週次_媒体別CP!K137,"")</f>
        <v/>
      </c>
      <c r="E133" s="73" t="str">
        <f aca="false">IF(ISNUMBER(週次_媒体別CP!K193),週次_媒体別CP!K193,"")</f>
        <v/>
      </c>
      <c r="F133" s="73" t="str">
        <f aca="false">IF(ISNUMBER(週次_媒体別CP!K249),週次_媒体別CP!K249,"")</f>
        <v/>
      </c>
      <c r="G133" s="73" t="str">
        <f aca="false">IF(ISNUMBER(週次_媒体別CP!K305),週次_媒体別CP!K305,"")</f>
        <v/>
      </c>
      <c r="H133" s="73" t="str">
        <f aca="false">IF(ISNUMBER(週次_媒体別CP!K361),週次_媒体別CP!K361,"")</f>
        <v/>
      </c>
    </row>
    <row r="134" customFormat="false" ht="15" hidden="false" customHeight="false" outlineLevel="0" collapsed="false">
      <c r="A134" s="72" t="s">
        <v>100</v>
      </c>
      <c r="B134" s="73" t="str">
        <f aca="false">IF(ISNUMBER(週次_媒体別CP!K26),週次_媒体別CP!K26,"")</f>
        <v/>
      </c>
      <c r="C134" s="73" t="str">
        <f aca="false">IF(ISNUMBER(週次_媒体別CP!K82),週次_媒体別CP!K82,"")</f>
        <v/>
      </c>
      <c r="D134" s="73" t="str">
        <f aca="false">IF(ISNUMBER(週次_媒体別CP!K138),週次_媒体別CP!K138,"")</f>
        <v/>
      </c>
      <c r="E134" s="73" t="str">
        <f aca="false">IF(ISNUMBER(週次_媒体別CP!K194),週次_媒体別CP!K194,"")</f>
        <v/>
      </c>
      <c r="F134" s="73" t="str">
        <f aca="false">IF(ISNUMBER(週次_媒体別CP!K250),週次_媒体別CP!K250,"")</f>
        <v/>
      </c>
      <c r="G134" s="73" t="str">
        <f aca="false">IF(ISNUMBER(週次_媒体別CP!K306),週次_媒体別CP!K306,"")</f>
        <v/>
      </c>
      <c r="H134" s="73" t="str">
        <f aca="false">IF(ISNUMBER(週次_媒体別CP!K362),週次_媒体別CP!K362,"")</f>
        <v/>
      </c>
    </row>
    <row r="135" customFormat="false" ht="15" hidden="false" customHeight="false" outlineLevel="0" collapsed="false">
      <c r="A135" s="72" t="s">
        <v>102</v>
      </c>
      <c r="B135" s="73" t="str">
        <f aca="false">IF(ISNUMBER(週次_媒体別CP!K27),週次_媒体別CP!K27,"")</f>
        <v/>
      </c>
      <c r="C135" s="73" t="str">
        <f aca="false">IF(ISNUMBER(週次_媒体別CP!K83),週次_媒体別CP!K83,"")</f>
        <v/>
      </c>
      <c r="D135" s="73" t="str">
        <f aca="false">IF(ISNUMBER(週次_媒体別CP!K139),週次_媒体別CP!K139,"")</f>
        <v/>
      </c>
      <c r="E135" s="73" t="str">
        <f aca="false">IF(ISNUMBER(週次_媒体別CP!K195),週次_媒体別CP!K195,"")</f>
        <v/>
      </c>
      <c r="F135" s="73" t="str">
        <f aca="false">IF(ISNUMBER(週次_媒体別CP!K251),週次_媒体別CP!K251,"")</f>
        <v/>
      </c>
      <c r="G135" s="73" t="str">
        <f aca="false">IF(ISNUMBER(週次_媒体別CP!K307),週次_媒体別CP!K307,"")</f>
        <v/>
      </c>
      <c r="H135" s="73" t="str">
        <f aca="false">IF(ISNUMBER(週次_媒体別CP!K363),週次_媒体別CP!K363,"")</f>
        <v/>
      </c>
    </row>
    <row r="136" customFormat="false" ht="15" hidden="false" customHeight="false" outlineLevel="0" collapsed="false">
      <c r="A136" s="72" t="s">
        <v>104</v>
      </c>
      <c r="B136" s="73" t="str">
        <f aca="false">IF(ISNUMBER(週次_媒体別CP!K28),週次_媒体別CP!K28,"")</f>
        <v/>
      </c>
      <c r="C136" s="73" t="str">
        <f aca="false">IF(ISNUMBER(週次_媒体別CP!K84),週次_媒体別CP!K84,"")</f>
        <v/>
      </c>
      <c r="D136" s="73" t="str">
        <f aca="false">IF(ISNUMBER(週次_媒体別CP!K140),週次_媒体別CP!K140,"")</f>
        <v/>
      </c>
      <c r="E136" s="73" t="str">
        <f aca="false">IF(ISNUMBER(週次_媒体別CP!K196),週次_媒体別CP!K196,"")</f>
        <v/>
      </c>
      <c r="F136" s="73" t="str">
        <f aca="false">IF(ISNUMBER(週次_媒体別CP!K252),週次_媒体別CP!K252,"")</f>
        <v/>
      </c>
      <c r="G136" s="73" t="str">
        <f aca="false">IF(ISNUMBER(週次_媒体別CP!K308),週次_媒体別CP!K308,"")</f>
        <v/>
      </c>
      <c r="H136" s="73" t="str">
        <f aca="false">IF(ISNUMBER(週次_媒体別CP!K364),週次_媒体別CP!K364,"")</f>
        <v/>
      </c>
    </row>
    <row r="137" customFormat="false" ht="15" hidden="false" customHeight="false" outlineLevel="0" collapsed="false">
      <c r="A137" s="72" t="s">
        <v>106</v>
      </c>
      <c r="B137" s="73" t="str">
        <f aca="false">IF(ISNUMBER(週次_媒体別CP!K29),週次_媒体別CP!K29,"")</f>
        <v/>
      </c>
      <c r="C137" s="73" t="str">
        <f aca="false">IF(ISNUMBER(週次_媒体別CP!K85),週次_媒体別CP!K85,"")</f>
        <v/>
      </c>
      <c r="D137" s="73" t="str">
        <f aca="false">IF(ISNUMBER(週次_媒体別CP!K141),週次_媒体別CP!K141,"")</f>
        <v/>
      </c>
      <c r="E137" s="73" t="str">
        <f aca="false">IF(ISNUMBER(週次_媒体別CP!K197),週次_媒体別CP!K197,"")</f>
        <v/>
      </c>
      <c r="F137" s="73" t="str">
        <f aca="false">IF(ISNUMBER(週次_媒体別CP!K253),週次_媒体別CP!K253,"")</f>
        <v/>
      </c>
      <c r="G137" s="73" t="str">
        <f aca="false">IF(ISNUMBER(週次_媒体別CP!K309),週次_媒体別CP!K309,"")</f>
        <v/>
      </c>
      <c r="H137" s="73" t="str">
        <f aca="false">IF(ISNUMBER(週次_媒体別CP!K365),週次_媒体別CP!K365,"")</f>
        <v/>
      </c>
    </row>
    <row r="138" customFormat="false" ht="15" hidden="false" customHeight="false" outlineLevel="0" collapsed="false">
      <c r="A138" s="72" t="s">
        <v>108</v>
      </c>
      <c r="B138" s="73" t="str">
        <f aca="false">IF(ISNUMBER(週次_媒体別CP!K30),週次_媒体別CP!K30,"")</f>
        <v/>
      </c>
      <c r="C138" s="73" t="str">
        <f aca="false">IF(ISNUMBER(週次_媒体別CP!K86),週次_媒体別CP!K86,"")</f>
        <v/>
      </c>
      <c r="D138" s="73" t="str">
        <f aca="false">IF(ISNUMBER(週次_媒体別CP!K142),週次_媒体別CP!K142,"")</f>
        <v/>
      </c>
      <c r="E138" s="73" t="str">
        <f aca="false">IF(ISNUMBER(週次_媒体別CP!K198),週次_媒体別CP!K198,"")</f>
        <v/>
      </c>
      <c r="F138" s="73" t="str">
        <f aca="false">IF(ISNUMBER(週次_媒体別CP!K254),週次_媒体別CP!K254,"")</f>
        <v/>
      </c>
      <c r="G138" s="73" t="str">
        <f aca="false">IF(ISNUMBER(週次_媒体別CP!K310),週次_媒体別CP!K310,"")</f>
        <v/>
      </c>
      <c r="H138" s="73" t="str">
        <f aca="false">IF(ISNUMBER(週次_媒体別CP!K366),週次_媒体別CP!K366,"")</f>
        <v/>
      </c>
    </row>
    <row r="139" customFormat="false" ht="15" hidden="false" customHeight="false" outlineLevel="0" collapsed="false">
      <c r="A139" s="72" t="s">
        <v>110</v>
      </c>
      <c r="B139" s="73" t="str">
        <f aca="false">IF(ISNUMBER(週次_媒体別CP!K31),週次_媒体別CP!K31,"")</f>
        <v/>
      </c>
      <c r="C139" s="73" t="str">
        <f aca="false">IF(ISNUMBER(週次_媒体別CP!K87),週次_媒体別CP!K87,"")</f>
        <v/>
      </c>
      <c r="D139" s="73" t="str">
        <f aca="false">IF(ISNUMBER(週次_媒体別CP!K143),週次_媒体別CP!K143,"")</f>
        <v/>
      </c>
      <c r="E139" s="73" t="str">
        <f aca="false">IF(ISNUMBER(週次_媒体別CP!K199),週次_媒体別CP!K199,"")</f>
        <v/>
      </c>
      <c r="F139" s="73" t="str">
        <f aca="false">IF(ISNUMBER(週次_媒体別CP!K255),週次_媒体別CP!K255,"")</f>
        <v/>
      </c>
      <c r="G139" s="73" t="str">
        <f aca="false">IF(ISNUMBER(週次_媒体別CP!K311),週次_媒体別CP!K311,"")</f>
        <v/>
      </c>
      <c r="H139" s="73" t="str">
        <f aca="false">IF(ISNUMBER(週次_媒体別CP!K367),週次_媒体別CP!K367,"")</f>
        <v/>
      </c>
    </row>
    <row r="140" customFormat="false" ht="15" hidden="false" customHeight="false" outlineLevel="0" collapsed="false">
      <c r="A140" s="72" t="s">
        <v>112</v>
      </c>
      <c r="B140" s="73" t="str">
        <f aca="false">IF(ISNUMBER(週次_媒体別CP!K32),週次_媒体別CP!K32,"")</f>
        <v/>
      </c>
      <c r="C140" s="73" t="str">
        <f aca="false">IF(ISNUMBER(週次_媒体別CP!K88),週次_媒体別CP!K88,"")</f>
        <v/>
      </c>
      <c r="D140" s="73" t="str">
        <f aca="false">IF(ISNUMBER(週次_媒体別CP!K144),週次_媒体別CP!K144,"")</f>
        <v/>
      </c>
      <c r="E140" s="73" t="str">
        <f aca="false">IF(ISNUMBER(週次_媒体別CP!K200),週次_媒体別CP!K200,"")</f>
        <v/>
      </c>
      <c r="F140" s="73" t="str">
        <f aca="false">IF(ISNUMBER(週次_媒体別CP!K256),週次_媒体別CP!K256,"")</f>
        <v/>
      </c>
      <c r="G140" s="73" t="str">
        <f aca="false">IF(ISNUMBER(週次_媒体別CP!K312),週次_媒体別CP!K312,"")</f>
        <v/>
      </c>
      <c r="H140" s="73" t="str">
        <f aca="false">IF(ISNUMBER(週次_媒体別CP!K368),週次_媒体別CP!K368,"")</f>
        <v/>
      </c>
    </row>
    <row r="141" customFormat="false" ht="15" hidden="false" customHeight="false" outlineLevel="0" collapsed="false">
      <c r="A141" s="72" t="s">
        <v>114</v>
      </c>
      <c r="B141" s="73" t="str">
        <f aca="false">IF(ISNUMBER(週次_媒体別CP!K33),週次_媒体別CP!K33,"")</f>
        <v/>
      </c>
      <c r="C141" s="73" t="str">
        <f aca="false">IF(ISNUMBER(週次_媒体別CP!K89),週次_媒体別CP!K89,"")</f>
        <v/>
      </c>
      <c r="D141" s="73" t="str">
        <f aca="false">IF(ISNUMBER(週次_媒体別CP!K145),週次_媒体別CP!K145,"")</f>
        <v/>
      </c>
      <c r="E141" s="73" t="str">
        <f aca="false">IF(ISNUMBER(週次_媒体別CP!K201),週次_媒体別CP!K201,"")</f>
        <v/>
      </c>
      <c r="F141" s="73" t="str">
        <f aca="false">IF(ISNUMBER(週次_媒体別CP!K257),週次_媒体別CP!K257,"")</f>
        <v/>
      </c>
      <c r="G141" s="73" t="str">
        <f aca="false">IF(ISNUMBER(週次_媒体別CP!K313),週次_媒体別CP!K313,"")</f>
        <v/>
      </c>
      <c r="H141" s="73" t="str">
        <f aca="false">IF(ISNUMBER(週次_媒体別CP!K369),週次_媒体別CP!K369,"")</f>
        <v/>
      </c>
    </row>
    <row r="142" customFormat="false" ht="15" hidden="false" customHeight="false" outlineLevel="0" collapsed="false">
      <c r="A142" s="72" t="s">
        <v>116</v>
      </c>
      <c r="B142" s="73" t="str">
        <f aca="false">IF(ISNUMBER(週次_媒体別CP!K34),週次_媒体別CP!K34,"")</f>
        <v/>
      </c>
      <c r="C142" s="73" t="str">
        <f aca="false">IF(ISNUMBER(週次_媒体別CP!K90),週次_媒体別CP!K90,"")</f>
        <v/>
      </c>
      <c r="D142" s="73" t="str">
        <f aca="false">IF(ISNUMBER(週次_媒体別CP!K146),週次_媒体別CP!K146,"")</f>
        <v/>
      </c>
      <c r="E142" s="73" t="str">
        <f aca="false">IF(ISNUMBER(週次_媒体別CP!K202),週次_媒体別CP!K202,"")</f>
        <v/>
      </c>
      <c r="F142" s="73" t="str">
        <f aca="false">IF(ISNUMBER(週次_媒体別CP!K258),週次_媒体別CP!K258,"")</f>
        <v/>
      </c>
      <c r="G142" s="73" t="str">
        <f aca="false">IF(ISNUMBER(週次_媒体別CP!K314),週次_媒体別CP!K314,"")</f>
        <v/>
      </c>
      <c r="H142" s="73" t="str">
        <f aca="false">IF(ISNUMBER(週次_媒体別CP!K370),週次_媒体別CP!K370,"")</f>
        <v/>
      </c>
    </row>
    <row r="143" customFormat="false" ht="15" hidden="false" customHeight="false" outlineLevel="0" collapsed="false">
      <c r="A143" s="72" t="s">
        <v>118</v>
      </c>
      <c r="B143" s="73" t="str">
        <f aca="false">IF(ISNUMBER(週次_媒体別CP!K35),週次_媒体別CP!K35,"")</f>
        <v/>
      </c>
      <c r="C143" s="73" t="str">
        <f aca="false">IF(ISNUMBER(週次_媒体別CP!K91),週次_媒体別CP!K91,"")</f>
        <v/>
      </c>
      <c r="D143" s="73" t="str">
        <f aca="false">IF(ISNUMBER(週次_媒体別CP!K147),週次_媒体別CP!K147,"")</f>
        <v/>
      </c>
      <c r="E143" s="73" t="str">
        <f aca="false">IF(ISNUMBER(週次_媒体別CP!K203),週次_媒体別CP!K203,"")</f>
        <v/>
      </c>
      <c r="F143" s="73" t="str">
        <f aca="false">IF(ISNUMBER(週次_媒体別CP!K259),週次_媒体別CP!K259,"")</f>
        <v/>
      </c>
      <c r="G143" s="73" t="str">
        <f aca="false">IF(ISNUMBER(週次_媒体別CP!K315),週次_媒体別CP!K315,"")</f>
        <v/>
      </c>
      <c r="H143" s="73" t="str">
        <f aca="false">IF(ISNUMBER(週次_媒体別CP!K371),週次_媒体別CP!K371,"")</f>
        <v/>
      </c>
    </row>
    <row r="144" customFormat="false" ht="15" hidden="false" customHeight="false" outlineLevel="0" collapsed="false">
      <c r="A144" s="72" t="s">
        <v>120</v>
      </c>
      <c r="B144" s="73" t="str">
        <f aca="false">IF(ISNUMBER(週次_媒体別CP!K36),週次_媒体別CP!K36,"")</f>
        <v/>
      </c>
      <c r="C144" s="73" t="str">
        <f aca="false">IF(ISNUMBER(週次_媒体別CP!K92),週次_媒体別CP!K92,"")</f>
        <v/>
      </c>
      <c r="D144" s="73" t="str">
        <f aca="false">IF(ISNUMBER(週次_媒体別CP!K148),週次_媒体別CP!K148,"")</f>
        <v/>
      </c>
      <c r="E144" s="73" t="str">
        <f aca="false">IF(ISNUMBER(週次_媒体別CP!K204),週次_媒体別CP!K204,"")</f>
        <v/>
      </c>
      <c r="F144" s="73" t="str">
        <f aca="false">IF(ISNUMBER(週次_媒体別CP!K260),週次_媒体別CP!K260,"")</f>
        <v/>
      </c>
      <c r="G144" s="73" t="str">
        <f aca="false">IF(ISNUMBER(週次_媒体別CP!K316),週次_媒体別CP!K316,"")</f>
        <v/>
      </c>
      <c r="H144" s="73" t="str">
        <f aca="false">IF(ISNUMBER(週次_媒体別CP!K372),週次_媒体別CP!K372,"")</f>
        <v/>
      </c>
    </row>
    <row r="145" customFormat="false" ht="15" hidden="false" customHeight="false" outlineLevel="0" collapsed="false">
      <c r="A145" s="72" t="s">
        <v>122</v>
      </c>
      <c r="B145" s="73" t="str">
        <f aca="false">IF(ISNUMBER(週次_媒体別CP!K37),週次_媒体別CP!K37,"")</f>
        <v/>
      </c>
      <c r="C145" s="73" t="str">
        <f aca="false">IF(ISNUMBER(週次_媒体別CP!K93),週次_媒体別CP!K93,"")</f>
        <v/>
      </c>
      <c r="D145" s="73" t="str">
        <f aca="false">IF(ISNUMBER(週次_媒体別CP!K149),週次_媒体別CP!K149,"")</f>
        <v/>
      </c>
      <c r="E145" s="73" t="str">
        <f aca="false">IF(ISNUMBER(週次_媒体別CP!K205),週次_媒体別CP!K205,"")</f>
        <v/>
      </c>
      <c r="F145" s="73" t="str">
        <f aca="false">IF(ISNUMBER(週次_媒体別CP!K261),週次_媒体別CP!K261,"")</f>
        <v/>
      </c>
      <c r="G145" s="73" t="str">
        <f aca="false">IF(ISNUMBER(週次_媒体別CP!K317),週次_媒体別CP!K317,"")</f>
        <v/>
      </c>
      <c r="H145" s="73" t="str">
        <f aca="false">IF(ISNUMBER(週次_媒体別CP!K373),週次_媒体別CP!K373,"")</f>
        <v/>
      </c>
    </row>
    <row r="146" customFormat="false" ht="15" hidden="false" customHeight="false" outlineLevel="0" collapsed="false">
      <c r="A146" s="72" t="s">
        <v>124</v>
      </c>
      <c r="B146" s="73" t="str">
        <f aca="false">IF(ISNUMBER(週次_媒体別CP!K38),週次_媒体別CP!K38,"")</f>
        <v/>
      </c>
      <c r="C146" s="73" t="str">
        <f aca="false">IF(ISNUMBER(週次_媒体別CP!K94),週次_媒体別CP!K94,"")</f>
        <v/>
      </c>
      <c r="D146" s="73" t="str">
        <f aca="false">IF(ISNUMBER(週次_媒体別CP!K150),週次_媒体別CP!K150,"")</f>
        <v/>
      </c>
      <c r="E146" s="73" t="str">
        <f aca="false">IF(ISNUMBER(週次_媒体別CP!K206),週次_媒体別CP!K206,"")</f>
        <v/>
      </c>
      <c r="F146" s="73" t="str">
        <f aca="false">IF(ISNUMBER(週次_媒体別CP!K262),週次_媒体別CP!K262,"")</f>
        <v/>
      </c>
      <c r="G146" s="73" t="str">
        <f aca="false">IF(ISNUMBER(週次_媒体別CP!K318),週次_媒体別CP!K318,"")</f>
        <v/>
      </c>
      <c r="H146" s="73" t="str">
        <f aca="false">IF(ISNUMBER(週次_媒体別CP!K374),週次_媒体別CP!K374,"")</f>
        <v/>
      </c>
    </row>
    <row r="147" customFormat="false" ht="15" hidden="false" customHeight="false" outlineLevel="0" collapsed="false">
      <c r="A147" s="72" t="s">
        <v>126</v>
      </c>
      <c r="B147" s="73" t="str">
        <f aca="false">IF(ISNUMBER(週次_媒体別CP!K39),週次_媒体別CP!K39,"")</f>
        <v/>
      </c>
      <c r="C147" s="73" t="str">
        <f aca="false">IF(ISNUMBER(週次_媒体別CP!K95),週次_媒体別CP!K95,"")</f>
        <v/>
      </c>
      <c r="D147" s="73" t="str">
        <f aca="false">IF(ISNUMBER(週次_媒体別CP!K151),週次_媒体別CP!K151,"")</f>
        <v/>
      </c>
      <c r="E147" s="73" t="str">
        <f aca="false">IF(ISNUMBER(週次_媒体別CP!K207),週次_媒体別CP!K207,"")</f>
        <v/>
      </c>
      <c r="F147" s="73" t="str">
        <f aca="false">IF(ISNUMBER(週次_媒体別CP!K263),週次_媒体別CP!K263,"")</f>
        <v/>
      </c>
      <c r="G147" s="73" t="str">
        <f aca="false">IF(ISNUMBER(週次_媒体別CP!K319),週次_媒体別CP!K319,"")</f>
        <v/>
      </c>
      <c r="H147" s="73" t="str">
        <f aca="false">IF(ISNUMBER(週次_媒体別CP!K375),週次_媒体別CP!K375,"")</f>
        <v/>
      </c>
    </row>
    <row r="148" customFormat="false" ht="15" hidden="false" customHeight="false" outlineLevel="0" collapsed="false">
      <c r="A148" s="72" t="s">
        <v>128</v>
      </c>
      <c r="B148" s="73" t="str">
        <f aca="false">IF(ISNUMBER(週次_媒体別CP!K40),週次_媒体別CP!K40,"")</f>
        <v/>
      </c>
      <c r="C148" s="73" t="str">
        <f aca="false">IF(ISNUMBER(週次_媒体別CP!K96),週次_媒体別CP!K96,"")</f>
        <v/>
      </c>
      <c r="D148" s="73" t="str">
        <f aca="false">IF(ISNUMBER(週次_媒体別CP!K152),週次_媒体別CP!K152,"")</f>
        <v/>
      </c>
      <c r="E148" s="73" t="str">
        <f aca="false">IF(ISNUMBER(週次_媒体別CP!K208),週次_媒体別CP!K208,"")</f>
        <v/>
      </c>
      <c r="F148" s="73" t="str">
        <f aca="false">IF(ISNUMBER(週次_媒体別CP!K264),週次_媒体別CP!K264,"")</f>
        <v/>
      </c>
      <c r="G148" s="73" t="str">
        <f aca="false">IF(ISNUMBER(週次_媒体別CP!K320),週次_媒体別CP!K320,"")</f>
        <v/>
      </c>
      <c r="H148" s="73" t="str">
        <f aca="false">IF(ISNUMBER(週次_媒体別CP!K376),週次_媒体別CP!K376,"")</f>
        <v/>
      </c>
    </row>
    <row r="149" customFormat="false" ht="15" hidden="false" customHeight="false" outlineLevel="0" collapsed="false">
      <c r="A149" s="72" t="s">
        <v>130</v>
      </c>
      <c r="B149" s="73" t="str">
        <f aca="false">IF(ISNUMBER(週次_媒体別CP!K41),週次_媒体別CP!K41,"")</f>
        <v/>
      </c>
      <c r="C149" s="73" t="str">
        <f aca="false">IF(ISNUMBER(週次_媒体別CP!K97),週次_媒体別CP!K97,"")</f>
        <v/>
      </c>
      <c r="D149" s="73" t="str">
        <f aca="false">IF(ISNUMBER(週次_媒体別CP!K153),週次_媒体別CP!K153,"")</f>
        <v/>
      </c>
      <c r="E149" s="73" t="str">
        <f aca="false">IF(ISNUMBER(週次_媒体別CP!K209),週次_媒体別CP!K209,"")</f>
        <v/>
      </c>
      <c r="F149" s="73" t="str">
        <f aca="false">IF(ISNUMBER(週次_媒体別CP!K265),週次_媒体別CP!K265,"")</f>
        <v/>
      </c>
      <c r="G149" s="73" t="str">
        <f aca="false">IF(ISNUMBER(週次_媒体別CP!K321),週次_媒体別CP!K321,"")</f>
        <v/>
      </c>
      <c r="H149" s="73" t="str">
        <f aca="false">IF(ISNUMBER(週次_媒体別CP!K377),週次_媒体別CP!K377,"")</f>
        <v/>
      </c>
    </row>
    <row r="150" customFormat="false" ht="15" hidden="false" customHeight="false" outlineLevel="0" collapsed="false">
      <c r="A150" s="72" t="s">
        <v>132</v>
      </c>
      <c r="B150" s="73" t="str">
        <f aca="false">IF(ISNUMBER(週次_媒体別CP!K42),週次_媒体別CP!K42,"")</f>
        <v/>
      </c>
      <c r="C150" s="73" t="str">
        <f aca="false">IF(ISNUMBER(週次_媒体別CP!K98),週次_媒体別CP!K98,"")</f>
        <v/>
      </c>
      <c r="D150" s="73" t="str">
        <f aca="false">IF(ISNUMBER(週次_媒体別CP!K154),週次_媒体別CP!K154,"")</f>
        <v/>
      </c>
      <c r="E150" s="73" t="str">
        <f aca="false">IF(ISNUMBER(週次_媒体別CP!K210),週次_媒体別CP!K210,"")</f>
        <v/>
      </c>
      <c r="F150" s="73" t="str">
        <f aca="false">IF(ISNUMBER(週次_媒体別CP!K266),週次_媒体別CP!K266,"")</f>
        <v/>
      </c>
      <c r="G150" s="73" t="str">
        <f aca="false">IF(ISNUMBER(週次_媒体別CP!K322),週次_媒体別CP!K322,"")</f>
        <v/>
      </c>
      <c r="H150" s="73" t="str">
        <f aca="false">IF(ISNUMBER(週次_媒体別CP!K378),週次_媒体別CP!K378,"")</f>
        <v/>
      </c>
    </row>
    <row r="151" customFormat="false" ht="15" hidden="false" customHeight="false" outlineLevel="0" collapsed="false">
      <c r="A151" s="72" t="s">
        <v>134</v>
      </c>
      <c r="B151" s="73" t="str">
        <f aca="false">IF(ISNUMBER(週次_媒体別CP!K43),週次_媒体別CP!K43,"")</f>
        <v/>
      </c>
      <c r="C151" s="73" t="str">
        <f aca="false">IF(ISNUMBER(週次_媒体別CP!K99),週次_媒体別CP!K99,"")</f>
        <v/>
      </c>
      <c r="D151" s="73" t="str">
        <f aca="false">IF(ISNUMBER(週次_媒体別CP!K155),週次_媒体別CP!K155,"")</f>
        <v/>
      </c>
      <c r="E151" s="73" t="str">
        <f aca="false">IF(ISNUMBER(週次_媒体別CP!K211),週次_媒体別CP!K211,"")</f>
        <v/>
      </c>
      <c r="F151" s="73" t="str">
        <f aca="false">IF(ISNUMBER(週次_媒体別CP!K267),週次_媒体別CP!K267,"")</f>
        <v/>
      </c>
      <c r="G151" s="73" t="str">
        <f aca="false">IF(ISNUMBER(週次_媒体別CP!K323),週次_媒体別CP!K323,"")</f>
        <v/>
      </c>
      <c r="H151" s="73" t="str">
        <f aca="false">IF(ISNUMBER(週次_媒体別CP!K379),週次_媒体別CP!K379,"")</f>
        <v/>
      </c>
    </row>
    <row r="152" customFormat="false" ht="15" hidden="false" customHeight="false" outlineLevel="0" collapsed="false">
      <c r="A152" s="72" t="s">
        <v>136</v>
      </c>
      <c r="B152" s="73" t="str">
        <f aca="false">IF(ISNUMBER(週次_媒体別CP!K44),週次_媒体別CP!K44,"")</f>
        <v/>
      </c>
      <c r="C152" s="73" t="str">
        <f aca="false">IF(ISNUMBER(週次_媒体別CP!K100),週次_媒体別CP!K100,"")</f>
        <v/>
      </c>
      <c r="D152" s="73" t="str">
        <f aca="false">IF(ISNUMBER(週次_媒体別CP!K156),週次_媒体別CP!K156,"")</f>
        <v/>
      </c>
      <c r="E152" s="73" t="str">
        <f aca="false">IF(ISNUMBER(週次_媒体別CP!K212),週次_媒体別CP!K212,"")</f>
        <v/>
      </c>
      <c r="F152" s="73" t="str">
        <f aca="false">IF(ISNUMBER(週次_媒体別CP!K268),週次_媒体別CP!K268,"")</f>
        <v/>
      </c>
      <c r="G152" s="73" t="str">
        <f aca="false">IF(ISNUMBER(週次_媒体別CP!K324),週次_媒体別CP!K324,"")</f>
        <v/>
      </c>
      <c r="H152" s="73" t="str">
        <f aca="false">IF(ISNUMBER(週次_媒体別CP!K380),週次_媒体別CP!K380,"")</f>
        <v/>
      </c>
    </row>
    <row r="153" customFormat="false" ht="15" hidden="false" customHeight="false" outlineLevel="0" collapsed="false">
      <c r="A153" s="72" t="s">
        <v>138</v>
      </c>
      <c r="B153" s="73" t="str">
        <f aca="false">IF(ISNUMBER(週次_媒体別CP!K45),週次_媒体別CP!K45,"")</f>
        <v/>
      </c>
      <c r="C153" s="73" t="str">
        <f aca="false">IF(ISNUMBER(週次_媒体別CP!K101),週次_媒体別CP!K101,"")</f>
        <v/>
      </c>
      <c r="D153" s="73" t="str">
        <f aca="false">IF(ISNUMBER(週次_媒体別CP!K157),週次_媒体別CP!K157,"")</f>
        <v/>
      </c>
      <c r="E153" s="73" t="str">
        <f aca="false">IF(ISNUMBER(週次_媒体別CP!K213),週次_媒体別CP!K213,"")</f>
        <v/>
      </c>
      <c r="F153" s="73" t="str">
        <f aca="false">IF(ISNUMBER(週次_媒体別CP!K269),週次_媒体別CP!K269,"")</f>
        <v/>
      </c>
      <c r="G153" s="73" t="str">
        <f aca="false">IF(ISNUMBER(週次_媒体別CP!K325),週次_媒体別CP!K325,"")</f>
        <v/>
      </c>
      <c r="H153" s="73" t="str">
        <f aca="false">IF(ISNUMBER(週次_媒体別CP!K381),週次_媒体別CP!K381,"")</f>
        <v/>
      </c>
    </row>
    <row r="154" customFormat="false" ht="15" hidden="false" customHeight="false" outlineLevel="0" collapsed="false">
      <c r="A154" s="72" t="s">
        <v>140</v>
      </c>
      <c r="B154" s="73" t="str">
        <f aca="false">IF(ISNUMBER(週次_媒体別CP!K46),週次_媒体別CP!K46,"")</f>
        <v/>
      </c>
      <c r="C154" s="73" t="str">
        <f aca="false">IF(ISNUMBER(週次_媒体別CP!K102),週次_媒体別CP!K102,"")</f>
        <v/>
      </c>
      <c r="D154" s="73" t="str">
        <f aca="false">IF(ISNUMBER(週次_媒体別CP!K158),週次_媒体別CP!K158,"")</f>
        <v/>
      </c>
      <c r="E154" s="73" t="str">
        <f aca="false">IF(ISNUMBER(週次_媒体別CP!K214),週次_媒体別CP!K214,"")</f>
        <v/>
      </c>
      <c r="F154" s="73" t="str">
        <f aca="false">IF(ISNUMBER(週次_媒体別CP!K270),週次_媒体別CP!K270,"")</f>
        <v/>
      </c>
      <c r="G154" s="73" t="str">
        <f aca="false">IF(ISNUMBER(週次_媒体別CP!K326),週次_媒体別CP!K326,"")</f>
        <v/>
      </c>
      <c r="H154" s="73" t="str">
        <f aca="false">IF(ISNUMBER(週次_媒体別CP!K382),週次_媒体別CP!K382,"")</f>
        <v/>
      </c>
    </row>
    <row r="155" customFormat="false" ht="15" hidden="false" customHeight="false" outlineLevel="0" collapsed="false">
      <c r="A155" s="72" t="s">
        <v>142</v>
      </c>
      <c r="B155" s="73" t="str">
        <f aca="false">IF(ISNUMBER(週次_媒体別CP!K47),週次_媒体別CP!K47,"")</f>
        <v/>
      </c>
      <c r="C155" s="73" t="str">
        <f aca="false">IF(ISNUMBER(週次_媒体別CP!K103),週次_媒体別CP!K103,"")</f>
        <v/>
      </c>
      <c r="D155" s="73" t="str">
        <f aca="false">IF(ISNUMBER(週次_媒体別CP!K159),週次_媒体別CP!K159,"")</f>
        <v/>
      </c>
      <c r="E155" s="73" t="str">
        <f aca="false">IF(ISNUMBER(週次_媒体別CP!K215),週次_媒体別CP!K215,"")</f>
        <v/>
      </c>
      <c r="F155" s="73" t="str">
        <f aca="false">IF(ISNUMBER(週次_媒体別CP!K271),週次_媒体別CP!K271,"")</f>
        <v/>
      </c>
      <c r="G155" s="73" t="str">
        <f aca="false">IF(ISNUMBER(週次_媒体別CP!K327),週次_媒体別CP!K327,"")</f>
        <v/>
      </c>
      <c r="H155" s="73" t="str">
        <f aca="false">IF(ISNUMBER(週次_媒体別CP!K383),週次_媒体別CP!K383,"")</f>
        <v/>
      </c>
    </row>
    <row r="156" customFormat="false" ht="15" hidden="false" customHeight="false" outlineLevel="0" collapsed="false">
      <c r="A156" s="72" t="s">
        <v>144</v>
      </c>
      <c r="B156" s="73" t="str">
        <f aca="false">IF(ISNUMBER(週次_媒体別CP!K48),週次_媒体別CP!K48,"")</f>
        <v/>
      </c>
      <c r="C156" s="73" t="str">
        <f aca="false">IF(ISNUMBER(週次_媒体別CP!K104),週次_媒体別CP!K104,"")</f>
        <v/>
      </c>
      <c r="D156" s="73" t="str">
        <f aca="false">IF(ISNUMBER(週次_媒体別CP!K160),週次_媒体別CP!K160,"")</f>
        <v/>
      </c>
      <c r="E156" s="73" t="str">
        <f aca="false">IF(ISNUMBER(週次_媒体別CP!K216),週次_媒体別CP!K216,"")</f>
        <v/>
      </c>
      <c r="F156" s="73" t="str">
        <f aca="false">IF(ISNUMBER(週次_媒体別CP!K272),週次_媒体別CP!K272,"")</f>
        <v/>
      </c>
      <c r="G156" s="73" t="str">
        <f aca="false">IF(ISNUMBER(週次_媒体別CP!K328),週次_媒体別CP!K328,"")</f>
        <v/>
      </c>
      <c r="H156" s="73" t="str">
        <f aca="false">IF(ISNUMBER(週次_媒体別CP!K384),週次_媒体別CP!K384,"")</f>
        <v/>
      </c>
    </row>
    <row r="157" customFormat="false" ht="15" hidden="false" customHeight="false" outlineLevel="0" collapsed="false">
      <c r="A157" s="72" t="s">
        <v>146</v>
      </c>
      <c r="B157" s="73" t="str">
        <f aca="false">IF(ISNUMBER(週次_媒体別CP!K49),週次_媒体別CP!K49,"")</f>
        <v/>
      </c>
      <c r="C157" s="73" t="str">
        <f aca="false">IF(ISNUMBER(週次_媒体別CP!K105),週次_媒体別CP!K105,"")</f>
        <v/>
      </c>
      <c r="D157" s="73" t="str">
        <f aca="false">IF(ISNUMBER(週次_媒体別CP!K161),週次_媒体別CP!K161,"")</f>
        <v/>
      </c>
      <c r="E157" s="73" t="str">
        <f aca="false">IF(ISNUMBER(週次_媒体別CP!K217),週次_媒体別CP!K217,"")</f>
        <v/>
      </c>
      <c r="F157" s="73" t="str">
        <f aca="false">IF(ISNUMBER(週次_媒体別CP!K273),週次_媒体別CP!K273,"")</f>
        <v/>
      </c>
      <c r="G157" s="73" t="str">
        <f aca="false">IF(ISNUMBER(週次_媒体別CP!K329),週次_媒体別CP!K329,"")</f>
        <v/>
      </c>
      <c r="H157" s="73" t="str">
        <f aca="false">IF(ISNUMBER(週次_媒体別CP!K385),週次_媒体別CP!K385,"")</f>
        <v/>
      </c>
    </row>
    <row r="158" customFormat="false" ht="15" hidden="false" customHeight="false" outlineLevel="0" collapsed="false">
      <c r="A158" s="72" t="s">
        <v>148</v>
      </c>
      <c r="B158" s="73" t="str">
        <f aca="false">IF(ISNUMBER(週次_媒体別CP!K50),週次_媒体別CP!K50,"")</f>
        <v/>
      </c>
      <c r="C158" s="73" t="str">
        <f aca="false">IF(ISNUMBER(週次_媒体別CP!K106),週次_媒体別CP!K106,"")</f>
        <v/>
      </c>
      <c r="D158" s="73" t="str">
        <f aca="false">IF(ISNUMBER(週次_媒体別CP!K162),週次_媒体別CP!K162,"")</f>
        <v/>
      </c>
      <c r="E158" s="73" t="str">
        <f aca="false">IF(ISNUMBER(週次_媒体別CP!K218),週次_媒体別CP!K218,"")</f>
        <v/>
      </c>
      <c r="F158" s="73" t="str">
        <f aca="false">IF(ISNUMBER(週次_媒体別CP!K274),週次_媒体別CP!K274,"")</f>
        <v/>
      </c>
      <c r="G158" s="73" t="str">
        <f aca="false">IF(ISNUMBER(週次_媒体別CP!K330),週次_媒体別CP!K330,"")</f>
        <v/>
      </c>
      <c r="H158" s="73" t="str">
        <f aca="false">IF(ISNUMBER(週次_媒体別CP!K386),週次_媒体別CP!K386,"")</f>
        <v/>
      </c>
    </row>
    <row r="159" customFormat="false" ht="15" hidden="false" customHeight="false" outlineLevel="0" collapsed="false">
      <c r="A159" s="72" t="s">
        <v>150</v>
      </c>
      <c r="B159" s="73" t="str">
        <f aca="false">IF(ISNUMBER(週次_媒体別CP!K51),週次_媒体別CP!K51,"")</f>
        <v/>
      </c>
      <c r="C159" s="73" t="str">
        <f aca="false">IF(ISNUMBER(週次_媒体別CP!K107),週次_媒体別CP!K107,"")</f>
        <v/>
      </c>
      <c r="D159" s="73" t="str">
        <f aca="false">IF(ISNUMBER(週次_媒体別CP!K163),週次_媒体別CP!K163,"")</f>
        <v/>
      </c>
      <c r="E159" s="73" t="str">
        <f aca="false">IF(ISNUMBER(週次_媒体別CP!K219),週次_媒体別CP!K219,"")</f>
        <v/>
      </c>
      <c r="F159" s="73" t="str">
        <f aca="false">IF(ISNUMBER(週次_媒体別CP!K275),週次_媒体別CP!K275,"")</f>
        <v/>
      </c>
      <c r="G159" s="73" t="str">
        <f aca="false">IF(ISNUMBER(週次_媒体別CP!K331),週次_媒体別CP!K331,"")</f>
        <v/>
      </c>
      <c r="H159" s="73" t="str">
        <f aca="false">IF(ISNUMBER(週次_媒体別CP!K387),週次_媒体別CP!K387,"")</f>
        <v/>
      </c>
    </row>
    <row r="160" customFormat="false" ht="15" hidden="false" customHeight="false" outlineLevel="0" collapsed="false">
      <c r="A160" s="72" t="s">
        <v>152</v>
      </c>
      <c r="B160" s="73" t="str">
        <f aca="false">IF(ISNUMBER(週次_媒体別CP!K52),週次_媒体別CP!K52,"")</f>
        <v/>
      </c>
      <c r="C160" s="73" t="str">
        <f aca="false">IF(ISNUMBER(週次_媒体別CP!K108),週次_媒体別CP!K108,"")</f>
        <v/>
      </c>
      <c r="D160" s="73" t="str">
        <f aca="false">IF(ISNUMBER(週次_媒体別CP!K164),週次_媒体別CP!K164,"")</f>
        <v/>
      </c>
      <c r="E160" s="73" t="str">
        <f aca="false">IF(ISNUMBER(週次_媒体別CP!K220),週次_媒体別CP!K220,"")</f>
        <v/>
      </c>
      <c r="F160" s="73" t="str">
        <f aca="false">IF(ISNUMBER(週次_媒体別CP!K276),週次_媒体別CP!K276,"")</f>
        <v/>
      </c>
      <c r="G160" s="73" t="str">
        <f aca="false">IF(ISNUMBER(週次_媒体別CP!K332),週次_媒体別CP!K332,"")</f>
        <v/>
      </c>
      <c r="H160" s="73" t="str">
        <f aca="false">IF(ISNUMBER(週次_媒体別CP!K388),週次_媒体別CP!K388,"")</f>
        <v/>
      </c>
    </row>
    <row r="161" customFormat="false" ht="15" hidden="false" customHeight="false" outlineLevel="0" collapsed="false">
      <c r="A161" s="72" t="s">
        <v>154</v>
      </c>
      <c r="B161" s="73" t="str">
        <f aca="false">IF(ISNUMBER(週次_媒体別CP!K53),週次_媒体別CP!K53,"")</f>
        <v/>
      </c>
      <c r="C161" s="73" t="str">
        <f aca="false">IF(ISNUMBER(週次_媒体別CP!K109),週次_媒体別CP!K109,"")</f>
        <v/>
      </c>
      <c r="D161" s="73" t="str">
        <f aca="false">IF(ISNUMBER(週次_媒体別CP!K165),週次_媒体別CP!K165,"")</f>
        <v/>
      </c>
      <c r="E161" s="73" t="str">
        <f aca="false">IF(ISNUMBER(週次_媒体別CP!K221),週次_媒体別CP!K221,"")</f>
        <v/>
      </c>
      <c r="F161" s="73" t="str">
        <f aca="false">IF(ISNUMBER(週次_媒体別CP!K277),週次_媒体別CP!K277,"")</f>
        <v/>
      </c>
      <c r="G161" s="73" t="str">
        <f aca="false">IF(ISNUMBER(週次_媒体別CP!K333),週次_媒体別CP!K333,"")</f>
        <v/>
      </c>
      <c r="H161" s="73" t="str">
        <f aca="false">IF(ISNUMBER(週次_媒体別CP!K389),週次_媒体別CP!K389,"")</f>
        <v/>
      </c>
    </row>
    <row r="162" customFormat="false" ht="15" hidden="false" customHeight="false" outlineLevel="0" collapsed="false">
      <c r="A162" s="72" t="s">
        <v>156</v>
      </c>
      <c r="B162" s="73" t="str">
        <f aca="false">IF(ISNUMBER(週次_媒体別CP!K54),週次_媒体別CP!K54,"")</f>
        <v/>
      </c>
      <c r="C162" s="73" t="str">
        <f aca="false">IF(ISNUMBER(週次_媒体別CP!K110),週次_媒体別CP!K110,"")</f>
        <v/>
      </c>
      <c r="D162" s="73" t="str">
        <f aca="false">IF(ISNUMBER(週次_媒体別CP!K166),週次_媒体別CP!K166,"")</f>
        <v/>
      </c>
      <c r="E162" s="73" t="str">
        <f aca="false">IF(ISNUMBER(週次_媒体別CP!K222),週次_媒体別CP!K222,"")</f>
        <v/>
      </c>
      <c r="F162" s="73" t="str">
        <f aca="false">IF(ISNUMBER(週次_媒体別CP!K278),週次_媒体別CP!K278,"")</f>
        <v/>
      </c>
      <c r="G162" s="73" t="str">
        <f aca="false">IF(ISNUMBER(週次_媒体別CP!K334),週次_媒体別CP!K334,"")</f>
        <v/>
      </c>
      <c r="H162" s="73" t="str">
        <f aca="false">IF(ISNUMBER(週次_媒体別CP!K390),週次_媒体別CP!K390,"")</f>
        <v/>
      </c>
    </row>
    <row r="163" customFormat="false" ht="15" hidden="false" customHeight="false" outlineLevel="0" collapsed="false">
      <c r="A163" s="72" t="s">
        <v>158</v>
      </c>
      <c r="B163" s="73" t="str">
        <f aca="false">IF(ISNUMBER(週次_媒体別CP!K55),週次_媒体別CP!K55,"")</f>
        <v/>
      </c>
      <c r="C163" s="73" t="str">
        <f aca="false">IF(ISNUMBER(週次_媒体別CP!K111),週次_媒体別CP!K111,"")</f>
        <v/>
      </c>
      <c r="D163" s="73" t="str">
        <f aca="false">IF(ISNUMBER(週次_媒体別CP!K167),週次_媒体別CP!K167,"")</f>
        <v/>
      </c>
      <c r="E163" s="73" t="str">
        <f aca="false">IF(ISNUMBER(週次_媒体別CP!K223),週次_媒体別CP!K223,"")</f>
        <v/>
      </c>
      <c r="F163" s="73" t="str">
        <f aca="false">IF(ISNUMBER(週次_媒体別CP!K279),週次_媒体別CP!K279,"")</f>
        <v/>
      </c>
      <c r="G163" s="73" t="str">
        <f aca="false">IF(ISNUMBER(週次_媒体別CP!K335),週次_媒体別CP!K335,"")</f>
        <v/>
      </c>
      <c r="H163" s="73" t="str">
        <f aca="false">IF(ISNUMBER(週次_媒体別CP!K391),週次_媒体別CP!K391,"")</f>
        <v/>
      </c>
    </row>
    <row r="164" customFormat="false" ht="15" hidden="false" customHeight="false" outlineLevel="0" collapsed="false">
      <c r="A164" s="72" t="s">
        <v>160</v>
      </c>
      <c r="B164" s="73" t="str">
        <f aca="false">IF(ISNUMBER(週次_媒体別CP!K56),週次_媒体別CP!K56,"")</f>
        <v/>
      </c>
      <c r="C164" s="73" t="str">
        <f aca="false">IF(ISNUMBER(週次_媒体別CP!K112),週次_媒体別CP!K112,"")</f>
        <v/>
      </c>
      <c r="D164" s="73" t="str">
        <f aca="false">IF(ISNUMBER(週次_媒体別CP!K168),週次_媒体別CP!K168,"")</f>
        <v/>
      </c>
      <c r="E164" s="73" t="str">
        <f aca="false">IF(ISNUMBER(週次_媒体別CP!K224),週次_媒体別CP!K224,"")</f>
        <v/>
      </c>
      <c r="F164" s="73" t="str">
        <f aca="false">IF(ISNUMBER(週次_媒体別CP!K280),週次_媒体別CP!K280,"")</f>
        <v/>
      </c>
      <c r="G164" s="73" t="str">
        <f aca="false">IF(ISNUMBER(週次_媒体別CP!K336),週次_媒体別CP!K336,"")</f>
        <v/>
      </c>
      <c r="H164" s="73" t="str">
        <f aca="false">IF(ISNUMBER(週次_媒体別CP!K392),週次_媒体別CP!K392,"")</f>
        <v/>
      </c>
    </row>
    <row r="165" customFormat="false" ht="15" hidden="false" customHeight="false" outlineLevel="0" collapsed="false">
      <c r="A165" s="72" t="s">
        <v>162</v>
      </c>
      <c r="B165" s="73" t="str">
        <f aca="false">IF(ISNUMBER(週次_媒体別CP!K57),週次_媒体別CP!K57,"")</f>
        <v/>
      </c>
      <c r="C165" s="73" t="str">
        <f aca="false">IF(ISNUMBER(週次_媒体別CP!K113),週次_媒体別CP!K113,"")</f>
        <v/>
      </c>
      <c r="D165" s="73" t="str">
        <f aca="false">IF(ISNUMBER(週次_媒体別CP!K169),週次_媒体別CP!K169,"")</f>
        <v/>
      </c>
      <c r="E165" s="73" t="str">
        <f aca="false">IF(ISNUMBER(週次_媒体別CP!K225),週次_媒体別CP!K225,"")</f>
        <v/>
      </c>
      <c r="F165" s="73" t="str">
        <f aca="false">IF(ISNUMBER(週次_媒体別CP!K281),週次_媒体別CP!K281,"")</f>
        <v/>
      </c>
      <c r="G165" s="73" t="str">
        <f aca="false">IF(ISNUMBER(週次_媒体別CP!K337),週次_媒体別CP!K337,"")</f>
        <v/>
      </c>
      <c r="H165" s="73" t="str">
        <f aca="false">IF(ISNUMBER(週次_媒体別CP!K393),週次_媒体別CP!K393,"")</f>
        <v/>
      </c>
    </row>
    <row r="167" customFormat="false" ht="15" hidden="false" customHeight="false" outlineLevel="0" collapsed="false">
      <c r="A167" s="74" t="s">
        <v>52</v>
      </c>
    </row>
    <row r="168" customFormat="false" ht="37.3" hidden="false" customHeight="false" outlineLevel="0" collapsed="false">
      <c r="A168" s="70" t="s">
        <v>48</v>
      </c>
      <c r="B168" s="71" t="s">
        <v>243</v>
      </c>
      <c r="C168" s="71" t="s">
        <v>244</v>
      </c>
      <c r="D168" s="71" t="s">
        <v>245</v>
      </c>
      <c r="E168" s="71" t="s">
        <v>246</v>
      </c>
      <c r="F168" s="71" t="s">
        <v>247</v>
      </c>
      <c r="G168" s="71" t="s">
        <v>248</v>
      </c>
      <c r="H168" s="71" t="s">
        <v>249</v>
      </c>
    </row>
    <row r="169" customFormat="false" ht="15" hidden="false" customHeight="false" outlineLevel="0" collapsed="false">
      <c r="A169" s="72" t="s">
        <v>59</v>
      </c>
      <c r="B169" s="73" t="n">
        <f aca="false">IF(ISNUMBER(週次_媒体別CP!I6),週次_媒体別CP!I6,"")</f>
        <v>2306.89845329692</v>
      </c>
      <c r="C169" s="73" t="n">
        <f aca="false">IF(ISNUMBER(週次_媒体別CP!I62),週次_媒体別CP!I62,"")</f>
        <v>906.512078297107</v>
      </c>
      <c r="D169" s="73" t="str">
        <f aca="false">IF(ISNUMBER(週次_媒体別CP!I118),週次_媒体別CP!I118,"")</f>
        <v/>
      </c>
      <c r="E169" s="73" t="n">
        <f aca="false">IF(ISNUMBER(週次_媒体別CP!I174),週次_媒体別CP!I174,"")</f>
        <v>14986.6814650388</v>
      </c>
      <c r="F169" s="73" t="n">
        <f aca="false">IF(ISNUMBER(週次_媒体別CP!I230),週次_媒体別CP!I230,"")</f>
        <v>14857.1428571429</v>
      </c>
      <c r="G169" s="73" t="n">
        <f aca="false">IF(ISNUMBER(週次_媒体別CP!I286),週次_媒体別CP!I286,"")</f>
        <v>47.8675557465467</v>
      </c>
      <c r="H169" s="73" t="n">
        <f aca="false">IF(ISNUMBER(週次_媒体別CP!I342),週次_媒体別CP!I342,"")</f>
        <v>59.8833775015572</v>
      </c>
    </row>
    <row r="170" customFormat="false" ht="15" hidden="false" customHeight="false" outlineLevel="0" collapsed="false">
      <c r="A170" s="72" t="s">
        <v>61</v>
      </c>
      <c r="B170" s="73" t="n">
        <f aca="false">IF(ISNUMBER(週次_媒体別CP!I7),週次_媒体別CP!I7,"")</f>
        <v>2570.87272395659</v>
      </c>
      <c r="C170" s="73" t="n">
        <f aca="false">IF(ISNUMBER(週次_媒体別CP!I63),週次_媒体別CP!I63,"")</f>
        <v>2302.17019993972</v>
      </c>
      <c r="D170" s="73" t="str">
        <f aca="false">IF(ISNUMBER(週次_媒体別CP!I119),週次_媒体別CP!I119,"")</f>
        <v/>
      </c>
      <c r="E170" s="73" t="n">
        <f aca="false">IF(ISNUMBER(週次_媒体別CP!I175),週次_媒体別CP!I175,"")</f>
        <v>8514.60142067877</v>
      </c>
      <c r="F170" s="73" t="n">
        <f aca="false">IF(ISNUMBER(週次_媒体別CP!I231),週次_媒体別CP!I231,"")</f>
        <v>20474.7474747475</v>
      </c>
      <c r="G170" s="73" t="n">
        <f aca="false">IF(ISNUMBER(週次_媒体別CP!I287),週次_媒体別CP!I287,"")</f>
        <v>48.6078831969502</v>
      </c>
      <c r="H170" s="73" t="n">
        <f aca="false">IF(ISNUMBER(週次_媒体別CP!I343),週次_媒体別CP!I343,"")</f>
        <v>41.4387914548253</v>
      </c>
    </row>
    <row r="171" customFormat="false" ht="15" hidden="false" customHeight="false" outlineLevel="0" collapsed="false">
      <c r="A171" s="72" t="s">
        <v>63</v>
      </c>
      <c r="B171" s="73" t="n">
        <f aca="false">IF(ISNUMBER(週次_媒体別CP!I8),週次_媒体別CP!I8,"")</f>
        <v>3438.17931768777</v>
      </c>
      <c r="C171" s="73" t="n">
        <f aca="false">IF(ISNUMBER(週次_媒体別CP!I64),週次_媒体別CP!I64,"")</f>
        <v>3086.93130897781</v>
      </c>
      <c r="D171" s="73" t="str">
        <f aca="false">IF(ISNUMBER(週次_媒体別CP!I120),週次_媒体別CP!I120,"")</f>
        <v/>
      </c>
      <c r="E171" s="73" t="n">
        <f aca="false">IF(ISNUMBER(週次_媒体別CP!I176),週次_媒体別CP!I176,"")</f>
        <v>19534.0699815838</v>
      </c>
      <c r="F171" s="73" t="n">
        <f aca="false">IF(ISNUMBER(週次_媒体別CP!I232),週次_媒体別CP!I232,"")</f>
        <v>25393.4142114385</v>
      </c>
      <c r="G171" s="73" t="n">
        <f aca="false">IF(ISNUMBER(週次_媒体別CP!I288),週次_媒体別CP!I288,"")</f>
        <v>74.0733872134297</v>
      </c>
      <c r="H171" s="73" t="n">
        <f aca="false">IF(ISNUMBER(週次_媒体別CP!I344),週次_媒体別CP!I344,"")</f>
        <v>44.5349803301334</v>
      </c>
    </row>
    <row r="172" customFormat="false" ht="15" hidden="false" customHeight="false" outlineLevel="0" collapsed="false">
      <c r="A172" s="72" t="s">
        <v>65</v>
      </c>
      <c r="B172" s="73" t="str">
        <f aca="false">IF(ISNUMBER(週次_媒体別CP!I9),週次_媒体別CP!I9,"")</f>
        <v/>
      </c>
      <c r="C172" s="73" t="n">
        <f aca="false">IF(ISNUMBER(週次_媒体別CP!I65),週次_媒体別CP!I65,"")</f>
        <v>3289.77554051824</v>
      </c>
      <c r="D172" s="73" t="str">
        <f aca="false">IF(ISNUMBER(週次_媒体別CP!I121),週次_媒体別CP!I121,"")</f>
        <v/>
      </c>
      <c r="E172" s="73" t="str">
        <f aca="false">IF(ISNUMBER(週次_媒体別CP!I177),週次_媒体別CP!I177,"")</f>
        <v/>
      </c>
      <c r="F172" s="73" t="n">
        <f aca="false">IF(ISNUMBER(週次_媒体別CP!I233),週次_媒体別CP!I233,"")</f>
        <v>26251.5337423313</v>
      </c>
      <c r="G172" s="73" t="str">
        <f aca="false">IF(ISNUMBER(週次_媒体別CP!I289),週次_媒体別CP!I289,"")</f>
        <v/>
      </c>
      <c r="H172" s="73" t="n">
        <f aca="false">IF(ISNUMBER(週次_媒体別CP!I345),週次_媒体別CP!I345,"")</f>
        <v>57.1933112296382</v>
      </c>
    </row>
    <row r="173" customFormat="false" ht="15" hidden="false" customHeight="false" outlineLevel="0" collapsed="false">
      <c r="A173" s="72" t="s">
        <v>68</v>
      </c>
      <c r="B173" s="73" t="str">
        <f aca="false">IF(ISNUMBER(週次_媒体別CP!I10),週次_媒体別CP!I10,"")</f>
        <v/>
      </c>
      <c r="C173" s="73" t="n">
        <f aca="false">IF(ISNUMBER(週次_媒体別CP!I66),週次_媒体別CP!I66,"")</f>
        <v>3957.22785615388</v>
      </c>
      <c r="D173" s="73" t="str">
        <f aca="false">IF(ISNUMBER(週次_媒体別CP!I122),週次_媒体別CP!I122,"")</f>
        <v/>
      </c>
      <c r="E173" s="73" t="str">
        <f aca="false">IF(ISNUMBER(週次_媒体別CP!I178),週次_媒体別CP!I178,"")</f>
        <v/>
      </c>
      <c r="F173" s="73" t="n">
        <f aca="false">IF(ISNUMBER(週次_媒体別CP!I234),週次_媒体別CP!I234,"")</f>
        <v>41716.6666666667</v>
      </c>
      <c r="G173" s="73" t="str">
        <f aca="false">IF(ISNUMBER(週次_媒体別CP!I290),週次_媒体別CP!I290,"")</f>
        <v/>
      </c>
      <c r="H173" s="73" t="str">
        <f aca="false">IF(ISNUMBER(週次_媒体別CP!I346),週次_媒体別CP!I346,"")</f>
        <v/>
      </c>
    </row>
    <row r="174" customFormat="false" ht="15" hidden="false" customHeight="false" outlineLevel="0" collapsed="false">
      <c r="A174" s="72" t="s">
        <v>70</v>
      </c>
      <c r="B174" s="73" t="str">
        <f aca="false">IF(ISNUMBER(週次_媒体別CP!I11),週次_媒体別CP!I11,"")</f>
        <v/>
      </c>
      <c r="C174" s="73" t="n">
        <f aca="false">IF(ISNUMBER(週次_媒体別CP!I67),週次_媒体別CP!I67,"")</f>
        <v>4483.42423725925</v>
      </c>
      <c r="D174" s="73" t="n">
        <f aca="false">IF(ISNUMBER(週次_媒体別CP!I123),週次_媒体別CP!I123,"")</f>
        <v>2571.42857142857</v>
      </c>
      <c r="E174" s="73" t="str">
        <f aca="false">IF(ISNUMBER(週次_媒体別CP!I179),週次_媒体別CP!I179,"")</f>
        <v/>
      </c>
      <c r="F174" s="73" t="str">
        <f aca="false">IF(ISNUMBER(週次_媒体別CP!I235),週次_媒体別CP!I235,"")</f>
        <v/>
      </c>
      <c r="G174" s="73" t="str">
        <f aca="false">IF(ISNUMBER(週次_媒体別CP!I291),週次_媒体別CP!I291,"")</f>
        <v/>
      </c>
      <c r="H174" s="73" t="str">
        <f aca="false">IF(ISNUMBER(週次_媒体別CP!I347),週次_媒体別CP!I347,"")</f>
        <v/>
      </c>
    </row>
    <row r="175" customFormat="false" ht="15" hidden="false" customHeight="false" outlineLevel="0" collapsed="false">
      <c r="A175" s="72" t="s">
        <v>72</v>
      </c>
      <c r="B175" s="73" t="str">
        <f aca="false">IF(ISNUMBER(週次_媒体別CP!I12),週次_媒体別CP!I12,"")</f>
        <v/>
      </c>
      <c r="C175" s="73" t="n">
        <f aca="false">IF(ISNUMBER(週次_媒体別CP!I68),週次_媒体別CP!I68,"")</f>
        <v>4715.19750055791</v>
      </c>
      <c r="D175" s="73" t="n">
        <f aca="false">IF(ISNUMBER(週次_媒体別CP!I124),週次_媒体別CP!I124,"")</f>
        <v>4506.82307876466</v>
      </c>
      <c r="E175" s="73" t="str">
        <f aca="false">IF(ISNUMBER(週次_媒体別CP!I180),週次_媒体別CP!I180,"")</f>
        <v/>
      </c>
      <c r="F175" s="73" t="str">
        <f aca="false">IF(ISNUMBER(週次_媒体別CP!I236),週次_媒体別CP!I236,"")</f>
        <v/>
      </c>
      <c r="G175" s="73" t="str">
        <f aca="false">IF(ISNUMBER(週次_媒体別CP!I292),週次_媒体別CP!I292,"")</f>
        <v/>
      </c>
      <c r="H175" s="73" t="str">
        <f aca="false">IF(ISNUMBER(週次_媒体別CP!I348),週次_媒体別CP!I348,"")</f>
        <v/>
      </c>
    </row>
    <row r="176" customFormat="false" ht="15" hidden="false" customHeight="false" outlineLevel="0" collapsed="false">
      <c r="A176" s="72" t="s">
        <v>74</v>
      </c>
      <c r="B176" s="73" t="n">
        <f aca="false">IF(ISNUMBER(週次_媒体別CP!I13),週次_媒体別CP!I13,"")</f>
        <v>3507.66104673513</v>
      </c>
      <c r="C176" s="73" t="n">
        <f aca="false">IF(ISNUMBER(週次_媒体別CP!I69),週次_媒体別CP!I69,"")</f>
        <v>4982.60827672592</v>
      </c>
      <c r="D176" s="73" t="n">
        <f aca="false">IF(ISNUMBER(週次_媒体別CP!I125),週次_媒体別CP!I125,"")</f>
        <v>1854.37265598363</v>
      </c>
      <c r="E176" s="73" t="str">
        <f aca="false">IF(ISNUMBER(週次_媒体別CP!I181),週次_媒体別CP!I181,"")</f>
        <v/>
      </c>
      <c r="F176" s="73" t="str">
        <f aca="false">IF(ISNUMBER(週次_媒体別CP!I237),週次_媒体別CP!I237,"")</f>
        <v/>
      </c>
      <c r="G176" s="73" t="str">
        <f aca="false">IF(ISNUMBER(週次_媒体別CP!I293),週次_媒体別CP!I293,"")</f>
        <v/>
      </c>
      <c r="H176" s="73" t="str">
        <f aca="false">IF(ISNUMBER(週次_媒体別CP!I349),週次_媒体別CP!I349,"")</f>
        <v/>
      </c>
    </row>
    <row r="177" customFormat="false" ht="15" hidden="false" customHeight="false" outlineLevel="0" collapsed="false">
      <c r="A177" s="72" t="s">
        <v>76</v>
      </c>
      <c r="B177" s="73" t="n">
        <f aca="false">IF(ISNUMBER(週次_媒体別CP!I14),週次_媒体別CP!I14,"")</f>
        <v>2523.85025169835</v>
      </c>
      <c r="C177" s="73" t="n">
        <f aca="false">IF(ISNUMBER(週次_媒体別CP!I70),週次_媒体別CP!I70,"")</f>
        <v>5097.38787946346</v>
      </c>
      <c r="D177" s="73" t="n">
        <f aca="false">IF(ISNUMBER(週次_媒体別CP!I126),週次_媒体別CP!I126,"")</f>
        <v>3338.64541832669</v>
      </c>
      <c r="E177" s="73" t="str">
        <f aca="false">IF(ISNUMBER(週次_媒体別CP!I182),週次_媒体別CP!I182,"")</f>
        <v/>
      </c>
      <c r="F177" s="73" t="str">
        <f aca="false">IF(ISNUMBER(週次_媒体別CP!I238),週次_媒体別CP!I238,"")</f>
        <v/>
      </c>
      <c r="G177" s="73" t="str">
        <f aca="false">IF(ISNUMBER(週次_媒体別CP!I294),週次_媒体別CP!I294,"")</f>
        <v/>
      </c>
      <c r="H177" s="73" t="str">
        <f aca="false">IF(ISNUMBER(週次_媒体別CP!I350),週次_媒体別CP!I350,"")</f>
        <v/>
      </c>
    </row>
    <row r="178" customFormat="false" ht="15" hidden="false" customHeight="false" outlineLevel="0" collapsed="false">
      <c r="A178" s="72" t="s">
        <v>78</v>
      </c>
      <c r="B178" s="73" t="n">
        <f aca="false">IF(ISNUMBER(週次_媒体別CP!I15),週次_媒体別CP!I15,"")</f>
        <v>2864.71093079504</v>
      </c>
      <c r="C178" s="73" t="n">
        <f aca="false">IF(ISNUMBER(週次_媒体別CP!I71),週次_媒体別CP!I71,"")</f>
        <v>5819.96086105675</v>
      </c>
      <c r="D178" s="73" t="n">
        <f aca="false">IF(ISNUMBER(週次_媒体別CP!I127),週次_媒体別CP!I127,"")</f>
        <v>2538.2706860191</v>
      </c>
      <c r="E178" s="73" t="str">
        <f aca="false">IF(ISNUMBER(週次_媒体別CP!I183),週次_媒体別CP!I183,"")</f>
        <v/>
      </c>
      <c r="F178" s="73" t="str">
        <f aca="false">IF(ISNUMBER(週次_媒体別CP!I239),週次_媒体別CP!I239,"")</f>
        <v/>
      </c>
      <c r="G178" s="73" t="str">
        <f aca="false">IF(ISNUMBER(週次_媒体別CP!I295),週次_媒体別CP!I295,"")</f>
        <v/>
      </c>
      <c r="H178" s="73" t="str">
        <f aca="false">IF(ISNUMBER(週次_媒体別CP!I351),週次_媒体別CP!I351,"")</f>
        <v/>
      </c>
    </row>
    <row r="179" customFormat="false" ht="15" hidden="false" customHeight="false" outlineLevel="0" collapsed="false">
      <c r="A179" s="72" t="s">
        <v>80</v>
      </c>
      <c r="B179" s="73" t="n">
        <f aca="false">IF(ISNUMBER(週次_媒体別CP!I16),週次_媒体別CP!I16,"")</f>
        <v>2878.19927593263</v>
      </c>
      <c r="C179" s="73" t="n">
        <f aca="false">IF(ISNUMBER(週次_媒体別CP!I72),週次_媒体別CP!I72,"")</f>
        <v>3181.55628523635</v>
      </c>
      <c r="D179" s="73" t="n">
        <f aca="false">IF(ISNUMBER(週次_媒体別CP!I128),週次_媒体別CP!I128,"")</f>
        <v>2460.1613716591</v>
      </c>
      <c r="E179" s="73" t="str">
        <f aca="false">IF(ISNUMBER(週次_媒体別CP!I184),週次_媒体別CP!I184,"")</f>
        <v/>
      </c>
      <c r="F179" s="73" t="str">
        <f aca="false">IF(ISNUMBER(週次_媒体別CP!I240),週次_媒体別CP!I240,"")</f>
        <v/>
      </c>
      <c r="G179" s="73" t="str">
        <f aca="false">IF(ISNUMBER(週次_媒体別CP!I296),週次_媒体別CP!I296,"")</f>
        <v/>
      </c>
      <c r="H179" s="73" t="str">
        <f aca="false">IF(ISNUMBER(週次_媒体別CP!I352),週次_媒体別CP!I352,"")</f>
        <v/>
      </c>
    </row>
    <row r="180" customFormat="false" ht="15" hidden="false" customHeight="false" outlineLevel="0" collapsed="false">
      <c r="A180" s="72" t="s">
        <v>82</v>
      </c>
      <c r="B180" s="73" t="str">
        <f aca="false">IF(ISNUMBER(週次_媒体別CP!I17),週次_媒体別CP!I17,"")</f>
        <v/>
      </c>
      <c r="C180" s="73" t="str">
        <f aca="false">IF(ISNUMBER(週次_媒体別CP!I73),週次_媒体別CP!I73,"")</f>
        <v/>
      </c>
      <c r="D180" s="73" t="str">
        <f aca="false">IF(ISNUMBER(週次_媒体別CP!I129),週次_媒体別CP!I129,"")</f>
        <v/>
      </c>
      <c r="E180" s="73" t="str">
        <f aca="false">IF(ISNUMBER(週次_媒体別CP!I185),週次_媒体別CP!I185,"")</f>
        <v/>
      </c>
      <c r="F180" s="73" t="str">
        <f aca="false">IF(ISNUMBER(週次_媒体別CP!I241),週次_媒体別CP!I241,"")</f>
        <v/>
      </c>
      <c r="G180" s="73" t="str">
        <f aca="false">IF(ISNUMBER(週次_媒体別CP!I297),週次_媒体別CP!I297,"")</f>
        <v/>
      </c>
      <c r="H180" s="73" t="str">
        <f aca="false">IF(ISNUMBER(週次_媒体別CP!I353),週次_媒体別CP!I353,"")</f>
        <v/>
      </c>
    </row>
    <row r="181" customFormat="false" ht="15" hidden="false" customHeight="false" outlineLevel="0" collapsed="false">
      <c r="A181" s="72" t="s">
        <v>84</v>
      </c>
      <c r="B181" s="73" t="str">
        <f aca="false">IF(ISNUMBER(週次_媒体別CP!I18),週次_媒体別CP!I18,"")</f>
        <v/>
      </c>
      <c r="C181" s="73" t="str">
        <f aca="false">IF(ISNUMBER(週次_媒体別CP!I74),週次_媒体別CP!I74,"")</f>
        <v/>
      </c>
      <c r="D181" s="73" t="str">
        <f aca="false">IF(ISNUMBER(週次_媒体別CP!I130),週次_媒体別CP!I130,"")</f>
        <v/>
      </c>
      <c r="E181" s="73" t="str">
        <f aca="false">IF(ISNUMBER(週次_媒体別CP!I186),週次_媒体別CP!I186,"")</f>
        <v/>
      </c>
      <c r="F181" s="73" t="str">
        <f aca="false">IF(ISNUMBER(週次_媒体別CP!I242),週次_媒体別CP!I242,"")</f>
        <v/>
      </c>
      <c r="G181" s="73" t="str">
        <f aca="false">IF(ISNUMBER(週次_媒体別CP!I298),週次_媒体別CP!I298,"")</f>
        <v/>
      </c>
      <c r="H181" s="73" t="str">
        <f aca="false">IF(ISNUMBER(週次_媒体別CP!I354),週次_媒体別CP!I354,"")</f>
        <v/>
      </c>
    </row>
    <row r="182" customFormat="false" ht="15" hidden="false" customHeight="false" outlineLevel="0" collapsed="false">
      <c r="A182" s="72" t="s">
        <v>86</v>
      </c>
      <c r="B182" s="73" t="str">
        <f aca="false">IF(ISNUMBER(週次_媒体別CP!I19),週次_媒体別CP!I19,"")</f>
        <v/>
      </c>
      <c r="C182" s="73" t="str">
        <f aca="false">IF(ISNUMBER(週次_媒体別CP!I75),週次_媒体別CP!I75,"")</f>
        <v/>
      </c>
      <c r="D182" s="73" t="str">
        <f aca="false">IF(ISNUMBER(週次_媒体別CP!I131),週次_媒体別CP!I131,"")</f>
        <v/>
      </c>
      <c r="E182" s="73" t="str">
        <f aca="false">IF(ISNUMBER(週次_媒体別CP!I187),週次_媒体別CP!I187,"")</f>
        <v/>
      </c>
      <c r="F182" s="73" t="str">
        <f aca="false">IF(ISNUMBER(週次_媒体別CP!I243),週次_媒体別CP!I243,"")</f>
        <v/>
      </c>
      <c r="G182" s="73" t="str">
        <f aca="false">IF(ISNUMBER(週次_媒体別CP!I299),週次_媒体別CP!I299,"")</f>
        <v/>
      </c>
      <c r="H182" s="73" t="str">
        <f aca="false">IF(ISNUMBER(週次_媒体別CP!I355),週次_媒体別CP!I355,"")</f>
        <v/>
      </c>
    </row>
    <row r="183" customFormat="false" ht="15" hidden="false" customHeight="false" outlineLevel="0" collapsed="false">
      <c r="A183" s="72" t="s">
        <v>88</v>
      </c>
      <c r="B183" s="73" t="str">
        <f aca="false">IF(ISNUMBER(週次_媒体別CP!I20),週次_媒体別CP!I20,"")</f>
        <v/>
      </c>
      <c r="C183" s="73" t="str">
        <f aca="false">IF(ISNUMBER(週次_媒体別CP!I76),週次_媒体別CP!I76,"")</f>
        <v/>
      </c>
      <c r="D183" s="73" t="str">
        <f aca="false">IF(ISNUMBER(週次_媒体別CP!I132),週次_媒体別CP!I132,"")</f>
        <v/>
      </c>
      <c r="E183" s="73" t="str">
        <f aca="false">IF(ISNUMBER(週次_媒体別CP!I188),週次_媒体別CP!I188,"")</f>
        <v/>
      </c>
      <c r="F183" s="73" t="str">
        <f aca="false">IF(ISNUMBER(週次_媒体別CP!I244),週次_媒体別CP!I244,"")</f>
        <v/>
      </c>
      <c r="G183" s="73" t="str">
        <f aca="false">IF(ISNUMBER(週次_媒体別CP!I300),週次_媒体別CP!I300,"")</f>
        <v/>
      </c>
      <c r="H183" s="73" t="str">
        <f aca="false">IF(ISNUMBER(週次_媒体別CP!I356),週次_媒体別CP!I356,"")</f>
        <v/>
      </c>
    </row>
    <row r="184" customFormat="false" ht="15" hidden="false" customHeight="false" outlineLevel="0" collapsed="false">
      <c r="A184" s="72" t="s">
        <v>90</v>
      </c>
      <c r="B184" s="73" t="str">
        <f aca="false">IF(ISNUMBER(週次_媒体別CP!I21),週次_媒体別CP!I21,"")</f>
        <v/>
      </c>
      <c r="C184" s="73" t="str">
        <f aca="false">IF(ISNUMBER(週次_媒体別CP!I77),週次_媒体別CP!I77,"")</f>
        <v/>
      </c>
      <c r="D184" s="73" t="str">
        <f aca="false">IF(ISNUMBER(週次_媒体別CP!I133),週次_媒体別CP!I133,"")</f>
        <v/>
      </c>
      <c r="E184" s="73" t="str">
        <f aca="false">IF(ISNUMBER(週次_媒体別CP!I189),週次_媒体別CP!I189,"")</f>
        <v/>
      </c>
      <c r="F184" s="73" t="str">
        <f aca="false">IF(ISNUMBER(週次_媒体別CP!I245),週次_媒体別CP!I245,"")</f>
        <v/>
      </c>
      <c r="G184" s="73" t="str">
        <f aca="false">IF(ISNUMBER(週次_媒体別CP!I301),週次_媒体別CP!I301,"")</f>
        <v/>
      </c>
      <c r="H184" s="73" t="str">
        <f aca="false">IF(ISNUMBER(週次_媒体別CP!I357),週次_媒体別CP!I357,"")</f>
        <v/>
      </c>
    </row>
    <row r="185" customFormat="false" ht="15" hidden="false" customHeight="false" outlineLevel="0" collapsed="false">
      <c r="A185" s="72" t="s">
        <v>92</v>
      </c>
      <c r="B185" s="73" t="str">
        <f aca="false">IF(ISNUMBER(週次_媒体別CP!I22),週次_媒体別CP!I22,"")</f>
        <v/>
      </c>
      <c r="C185" s="73" t="str">
        <f aca="false">IF(ISNUMBER(週次_媒体別CP!I78),週次_媒体別CP!I78,"")</f>
        <v/>
      </c>
      <c r="D185" s="73" t="str">
        <f aca="false">IF(ISNUMBER(週次_媒体別CP!I134),週次_媒体別CP!I134,"")</f>
        <v/>
      </c>
      <c r="E185" s="73" t="str">
        <f aca="false">IF(ISNUMBER(週次_媒体別CP!I190),週次_媒体別CP!I190,"")</f>
        <v/>
      </c>
      <c r="F185" s="73" t="str">
        <f aca="false">IF(ISNUMBER(週次_媒体別CP!I246),週次_媒体別CP!I246,"")</f>
        <v/>
      </c>
      <c r="G185" s="73" t="str">
        <f aca="false">IF(ISNUMBER(週次_媒体別CP!I302),週次_媒体別CP!I302,"")</f>
        <v/>
      </c>
      <c r="H185" s="73" t="str">
        <f aca="false">IF(ISNUMBER(週次_媒体別CP!I358),週次_媒体別CP!I358,"")</f>
        <v/>
      </c>
    </row>
    <row r="186" customFormat="false" ht="15" hidden="false" customHeight="false" outlineLevel="0" collapsed="false">
      <c r="A186" s="72" t="s">
        <v>94</v>
      </c>
      <c r="B186" s="73" t="str">
        <f aca="false">IF(ISNUMBER(週次_媒体別CP!I23),週次_媒体別CP!I23,"")</f>
        <v/>
      </c>
      <c r="C186" s="73" t="str">
        <f aca="false">IF(ISNUMBER(週次_媒体別CP!I79),週次_媒体別CP!I79,"")</f>
        <v/>
      </c>
      <c r="D186" s="73" t="str">
        <f aca="false">IF(ISNUMBER(週次_媒体別CP!I135),週次_媒体別CP!I135,"")</f>
        <v/>
      </c>
      <c r="E186" s="73" t="str">
        <f aca="false">IF(ISNUMBER(週次_媒体別CP!I191),週次_媒体別CP!I191,"")</f>
        <v/>
      </c>
      <c r="F186" s="73" t="str">
        <f aca="false">IF(ISNUMBER(週次_媒体別CP!I247),週次_媒体別CP!I247,"")</f>
        <v/>
      </c>
      <c r="G186" s="73" t="str">
        <f aca="false">IF(ISNUMBER(週次_媒体別CP!I303),週次_媒体別CP!I303,"")</f>
        <v/>
      </c>
      <c r="H186" s="73" t="str">
        <f aca="false">IF(ISNUMBER(週次_媒体別CP!I359),週次_媒体別CP!I359,"")</f>
        <v/>
      </c>
    </row>
    <row r="187" customFormat="false" ht="15" hidden="false" customHeight="false" outlineLevel="0" collapsed="false">
      <c r="A187" s="72" t="s">
        <v>96</v>
      </c>
      <c r="B187" s="73" t="str">
        <f aca="false">IF(ISNUMBER(週次_媒体別CP!I24),週次_媒体別CP!I24,"")</f>
        <v/>
      </c>
      <c r="C187" s="73" t="str">
        <f aca="false">IF(ISNUMBER(週次_媒体別CP!I80),週次_媒体別CP!I80,"")</f>
        <v/>
      </c>
      <c r="D187" s="73" t="str">
        <f aca="false">IF(ISNUMBER(週次_媒体別CP!I136),週次_媒体別CP!I136,"")</f>
        <v/>
      </c>
      <c r="E187" s="73" t="str">
        <f aca="false">IF(ISNUMBER(週次_媒体別CP!I192),週次_媒体別CP!I192,"")</f>
        <v/>
      </c>
      <c r="F187" s="73" t="str">
        <f aca="false">IF(ISNUMBER(週次_媒体別CP!I248),週次_媒体別CP!I248,"")</f>
        <v/>
      </c>
      <c r="G187" s="73" t="str">
        <f aca="false">IF(ISNUMBER(週次_媒体別CP!I304),週次_媒体別CP!I304,"")</f>
        <v/>
      </c>
      <c r="H187" s="73" t="str">
        <f aca="false">IF(ISNUMBER(週次_媒体別CP!I360),週次_媒体別CP!I360,"")</f>
        <v/>
      </c>
    </row>
    <row r="188" customFormat="false" ht="15" hidden="false" customHeight="false" outlineLevel="0" collapsed="false">
      <c r="A188" s="72" t="s">
        <v>98</v>
      </c>
      <c r="B188" s="73" t="str">
        <f aca="false">IF(ISNUMBER(週次_媒体別CP!I25),週次_媒体別CP!I25,"")</f>
        <v/>
      </c>
      <c r="C188" s="73" t="str">
        <f aca="false">IF(ISNUMBER(週次_媒体別CP!I81),週次_媒体別CP!I81,"")</f>
        <v/>
      </c>
      <c r="D188" s="73" t="str">
        <f aca="false">IF(ISNUMBER(週次_媒体別CP!I137),週次_媒体別CP!I137,"")</f>
        <v/>
      </c>
      <c r="E188" s="73" t="str">
        <f aca="false">IF(ISNUMBER(週次_媒体別CP!I193),週次_媒体別CP!I193,"")</f>
        <v/>
      </c>
      <c r="F188" s="73" t="str">
        <f aca="false">IF(ISNUMBER(週次_媒体別CP!I249),週次_媒体別CP!I249,"")</f>
        <v/>
      </c>
      <c r="G188" s="73" t="str">
        <f aca="false">IF(ISNUMBER(週次_媒体別CP!I305),週次_媒体別CP!I305,"")</f>
        <v/>
      </c>
      <c r="H188" s="73" t="str">
        <f aca="false">IF(ISNUMBER(週次_媒体別CP!I361),週次_媒体別CP!I361,"")</f>
        <v/>
      </c>
    </row>
    <row r="189" customFormat="false" ht="15" hidden="false" customHeight="false" outlineLevel="0" collapsed="false">
      <c r="A189" s="72" t="s">
        <v>100</v>
      </c>
      <c r="B189" s="73" t="str">
        <f aca="false">IF(ISNUMBER(週次_媒体別CP!I26),週次_媒体別CP!I26,"")</f>
        <v/>
      </c>
      <c r="C189" s="73" t="str">
        <f aca="false">IF(ISNUMBER(週次_媒体別CP!I82),週次_媒体別CP!I82,"")</f>
        <v/>
      </c>
      <c r="D189" s="73" t="str">
        <f aca="false">IF(ISNUMBER(週次_媒体別CP!I138),週次_媒体別CP!I138,"")</f>
        <v/>
      </c>
      <c r="E189" s="73" t="str">
        <f aca="false">IF(ISNUMBER(週次_媒体別CP!I194),週次_媒体別CP!I194,"")</f>
        <v/>
      </c>
      <c r="F189" s="73" t="str">
        <f aca="false">IF(ISNUMBER(週次_媒体別CP!I250),週次_媒体別CP!I250,"")</f>
        <v/>
      </c>
      <c r="G189" s="73" t="str">
        <f aca="false">IF(ISNUMBER(週次_媒体別CP!I306),週次_媒体別CP!I306,"")</f>
        <v/>
      </c>
      <c r="H189" s="73" t="str">
        <f aca="false">IF(ISNUMBER(週次_媒体別CP!I362),週次_媒体別CP!I362,"")</f>
        <v/>
      </c>
    </row>
    <row r="190" customFormat="false" ht="15" hidden="false" customHeight="false" outlineLevel="0" collapsed="false">
      <c r="A190" s="72" t="s">
        <v>102</v>
      </c>
      <c r="B190" s="73" t="str">
        <f aca="false">IF(ISNUMBER(週次_媒体別CP!I27),週次_媒体別CP!I27,"")</f>
        <v/>
      </c>
      <c r="C190" s="73" t="str">
        <f aca="false">IF(ISNUMBER(週次_媒体別CP!I83),週次_媒体別CP!I83,"")</f>
        <v/>
      </c>
      <c r="D190" s="73" t="str">
        <f aca="false">IF(ISNUMBER(週次_媒体別CP!I139),週次_媒体別CP!I139,"")</f>
        <v/>
      </c>
      <c r="E190" s="73" t="str">
        <f aca="false">IF(ISNUMBER(週次_媒体別CP!I195),週次_媒体別CP!I195,"")</f>
        <v/>
      </c>
      <c r="F190" s="73" t="str">
        <f aca="false">IF(ISNUMBER(週次_媒体別CP!I251),週次_媒体別CP!I251,"")</f>
        <v/>
      </c>
      <c r="G190" s="73" t="str">
        <f aca="false">IF(ISNUMBER(週次_媒体別CP!I307),週次_媒体別CP!I307,"")</f>
        <v/>
      </c>
      <c r="H190" s="73" t="str">
        <f aca="false">IF(ISNUMBER(週次_媒体別CP!I363),週次_媒体別CP!I363,"")</f>
        <v/>
      </c>
    </row>
    <row r="191" customFormat="false" ht="15" hidden="false" customHeight="false" outlineLevel="0" collapsed="false">
      <c r="A191" s="72" t="s">
        <v>104</v>
      </c>
      <c r="B191" s="73" t="str">
        <f aca="false">IF(ISNUMBER(週次_媒体別CP!I28),週次_媒体別CP!I28,"")</f>
        <v/>
      </c>
      <c r="C191" s="73" t="str">
        <f aca="false">IF(ISNUMBER(週次_媒体別CP!I84),週次_媒体別CP!I84,"")</f>
        <v/>
      </c>
      <c r="D191" s="73" t="str">
        <f aca="false">IF(ISNUMBER(週次_媒体別CP!I140),週次_媒体別CP!I140,"")</f>
        <v/>
      </c>
      <c r="E191" s="73" t="str">
        <f aca="false">IF(ISNUMBER(週次_媒体別CP!I196),週次_媒体別CP!I196,"")</f>
        <v/>
      </c>
      <c r="F191" s="73" t="str">
        <f aca="false">IF(ISNUMBER(週次_媒体別CP!I252),週次_媒体別CP!I252,"")</f>
        <v/>
      </c>
      <c r="G191" s="73" t="str">
        <f aca="false">IF(ISNUMBER(週次_媒体別CP!I308),週次_媒体別CP!I308,"")</f>
        <v/>
      </c>
      <c r="H191" s="73" t="str">
        <f aca="false">IF(ISNUMBER(週次_媒体別CP!I364),週次_媒体別CP!I364,"")</f>
        <v/>
      </c>
    </row>
    <row r="192" customFormat="false" ht="15" hidden="false" customHeight="false" outlineLevel="0" collapsed="false">
      <c r="A192" s="72" t="s">
        <v>106</v>
      </c>
      <c r="B192" s="73" t="str">
        <f aca="false">IF(ISNUMBER(週次_媒体別CP!I29),週次_媒体別CP!I29,"")</f>
        <v/>
      </c>
      <c r="C192" s="73" t="str">
        <f aca="false">IF(ISNUMBER(週次_媒体別CP!I85),週次_媒体別CP!I85,"")</f>
        <v/>
      </c>
      <c r="D192" s="73" t="str">
        <f aca="false">IF(ISNUMBER(週次_媒体別CP!I141),週次_媒体別CP!I141,"")</f>
        <v/>
      </c>
      <c r="E192" s="73" t="str">
        <f aca="false">IF(ISNUMBER(週次_媒体別CP!I197),週次_媒体別CP!I197,"")</f>
        <v/>
      </c>
      <c r="F192" s="73" t="str">
        <f aca="false">IF(ISNUMBER(週次_媒体別CP!I253),週次_媒体別CP!I253,"")</f>
        <v/>
      </c>
      <c r="G192" s="73" t="str">
        <f aca="false">IF(ISNUMBER(週次_媒体別CP!I309),週次_媒体別CP!I309,"")</f>
        <v/>
      </c>
      <c r="H192" s="73" t="str">
        <f aca="false">IF(ISNUMBER(週次_媒体別CP!I365),週次_媒体別CP!I365,"")</f>
        <v/>
      </c>
    </row>
    <row r="193" customFormat="false" ht="15" hidden="false" customHeight="false" outlineLevel="0" collapsed="false">
      <c r="A193" s="72" t="s">
        <v>108</v>
      </c>
      <c r="B193" s="73" t="str">
        <f aca="false">IF(ISNUMBER(週次_媒体別CP!I30),週次_媒体別CP!I30,"")</f>
        <v/>
      </c>
      <c r="C193" s="73" t="str">
        <f aca="false">IF(ISNUMBER(週次_媒体別CP!I86),週次_媒体別CP!I86,"")</f>
        <v/>
      </c>
      <c r="D193" s="73" t="str">
        <f aca="false">IF(ISNUMBER(週次_媒体別CP!I142),週次_媒体別CP!I142,"")</f>
        <v/>
      </c>
      <c r="E193" s="73" t="str">
        <f aca="false">IF(ISNUMBER(週次_媒体別CP!I198),週次_媒体別CP!I198,"")</f>
        <v/>
      </c>
      <c r="F193" s="73" t="str">
        <f aca="false">IF(ISNUMBER(週次_媒体別CP!I254),週次_媒体別CP!I254,"")</f>
        <v/>
      </c>
      <c r="G193" s="73" t="str">
        <f aca="false">IF(ISNUMBER(週次_媒体別CP!I310),週次_媒体別CP!I310,"")</f>
        <v/>
      </c>
      <c r="H193" s="73" t="str">
        <f aca="false">IF(ISNUMBER(週次_媒体別CP!I366),週次_媒体別CP!I366,"")</f>
        <v/>
      </c>
    </row>
    <row r="194" customFormat="false" ht="15" hidden="false" customHeight="false" outlineLevel="0" collapsed="false">
      <c r="A194" s="72" t="s">
        <v>110</v>
      </c>
      <c r="B194" s="73" t="str">
        <f aca="false">IF(ISNUMBER(週次_媒体別CP!I31),週次_媒体別CP!I31,"")</f>
        <v/>
      </c>
      <c r="C194" s="73" t="str">
        <f aca="false">IF(ISNUMBER(週次_媒体別CP!I87),週次_媒体別CP!I87,"")</f>
        <v/>
      </c>
      <c r="D194" s="73" t="str">
        <f aca="false">IF(ISNUMBER(週次_媒体別CP!I143),週次_媒体別CP!I143,"")</f>
        <v/>
      </c>
      <c r="E194" s="73" t="str">
        <f aca="false">IF(ISNUMBER(週次_媒体別CP!I199),週次_媒体別CP!I199,"")</f>
        <v/>
      </c>
      <c r="F194" s="73" t="str">
        <f aca="false">IF(ISNUMBER(週次_媒体別CP!I255),週次_媒体別CP!I255,"")</f>
        <v/>
      </c>
      <c r="G194" s="73" t="str">
        <f aca="false">IF(ISNUMBER(週次_媒体別CP!I311),週次_媒体別CP!I311,"")</f>
        <v/>
      </c>
      <c r="H194" s="73" t="str">
        <f aca="false">IF(ISNUMBER(週次_媒体別CP!I367),週次_媒体別CP!I367,"")</f>
        <v/>
      </c>
    </row>
    <row r="195" customFormat="false" ht="15" hidden="false" customHeight="false" outlineLevel="0" collapsed="false">
      <c r="A195" s="72" t="s">
        <v>112</v>
      </c>
      <c r="B195" s="73" t="str">
        <f aca="false">IF(ISNUMBER(週次_媒体別CP!I32),週次_媒体別CP!I32,"")</f>
        <v/>
      </c>
      <c r="C195" s="73" t="str">
        <f aca="false">IF(ISNUMBER(週次_媒体別CP!I88),週次_媒体別CP!I88,"")</f>
        <v/>
      </c>
      <c r="D195" s="73" t="str">
        <f aca="false">IF(ISNUMBER(週次_媒体別CP!I144),週次_媒体別CP!I144,"")</f>
        <v/>
      </c>
      <c r="E195" s="73" t="str">
        <f aca="false">IF(ISNUMBER(週次_媒体別CP!I200),週次_媒体別CP!I200,"")</f>
        <v/>
      </c>
      <c r="F195" s="73" t="str">
        <f aca="false">IF(ISNUMBER(週次_媒体別CP!I256),週次_媒体別CP!I256,"")</f>
        <v/>
      </c>
      <c r="G195" s="73" t="str">
        <f aca="false">IF(ISNUMBER(週次_媒体別CP!I312),週次_媒体別CP!I312,"")</f>
        <v/>
      </c>
      <c r="H195" s="73" t="str">
        <f aca="false">IF(ISNUMBER(週次_媒体別CP!I368),週次_媒体別CP!I368,"")</f>
        <v/>
      </c>
    </row>
    <row r="196" customFormat="false" ht="15" hidden="false" customHeight="false" outlineLevel="0" collapsed="false">
      <c r="A196" s="72" t="s">
        <v>114</v>
      </c>
      <c r="B196" s="73" t="str">
        <f aca="false">IF(ISNUMBER(週次_媒体別CP!I33),週次_媒体別CP!I33,"")</f>
        <v/>
      </c>
      <c r="C196" s="73" t="str">
        <f aca="false">IF(ISNUMBER(週次_媒体別CP!I89),週次_媒体別CP!I89,"")</f>
        <v/>
      </c>
      <c r="D196" s="73" t="str">
        <f aca="false">IF(ISNUMBER(週次_媒体別CP!I145),週次_媒体別CP!I145,"")</f>
        <v/>
      </c>
      <c r="E196" s="73" t="str">
        <f aca="false">IF(ISNUMBER(週次_媒体別CP!I201),週次_媒体別CP!I201,"")</f>
        <v/>
      </c>
      <c r="F196" s="73" t="str">
        <f aca="false">IF(ISNUMBER(週次_媒体別CP!I257),週次_媒体別CP!I257,"")</f>
        <v/>
      </c>
      <c r="G196" s="73" t="str">
        <f aca="false">IF(ISNUMBER(週次_媒体別CP!I313),週次_媒体別CP!I313,"")</f>
        <v/>
      </c>
      <c r="H196" s="73" t="str">
        <f aca="false">IF(ISNUMBER(週次_媒体別CP!I369),週次_媒体別CP!I369,"")</f>
        <v/>
      </c>
    </row>
    <row r="197" customFormat="false" ht="15" hidden="false" customHeight="false" outlineLevel="0" collapsed="false">
      <c r="A197" s="72" t="s">
        <v>116</v>
      </c>
      <c r="B197" s="73" t="str">
        <f aca="false">IF(ISNUMBER(週次_媒体別CP!I34),週次_媒体別CP!I34,"")</f>
        <v/>
      </c>
      <c r="C197" s="73" t="str">
        <f aca="false">IF(ISNUMBER(週次_媒体別CP!I90),週次_媒体別CP!I90,"")</f>
        <v/>
      </c>
      <c r="D197" s="73" t="str">
        <f aca="false">IF(ISNUMBER(週次_媒体別CP!I146),週次_媒体別CP!I146,"")</f>
        <v/>
      </c>
      <c r="E197" s="73" t="str">
        <f aca="false">IF(ISNUMBER(週次_媒体別CP!I202),週次_媒体別CP!I202,"")</f>
        <v/>
      </c>
      <c r="F197" s="73" t="str">
        <f aca="false">IF(ISNUMBER(週次_媒体別CP!I258),週次_媒体別CP!I258,"")</f>
        <v/>
      </c>
      <c r="G197" s="73" t="str">
        <f aca="false">IF(ISNUMBER(週次_媒体別CP!I314),週次_媒体別CP!I314,"")</f>
        <v/>
      </c>
      <c r="H197" s="73" t="str">
        <f aca="false">IF(ISNUMBER(週次_媒体別CP!I370),週次_媒体別CP!I370,"")</f>
        <v/>
      </c>
    </row>
    <row r="198" customFormat="false" ht="15" hidden="false" customHeight="false" outlineLevel="0" collapsed="false">
      <c r="A198" s="72" t="s">
        <v>118</v>
      </c>
      <c r="B198" s="73" t="str">
        <f aca="false">IF(ISNUMBER(週次_媒体別CP!I35),週次_媒体別CP!I35,"")</f>
        <v/>
      </c>
      <c r="C198" s="73" t="str">
        <f aca="false">IF(ISNUMBER(週次_媒体別CP!I91),週次_媒体別CP!I91,"")</f>
        <v/>
      </c>
      <c r="D198" s="73" t="str">
        <f aca="false">IF(ISNUMBER(週次_媒体別CP!I147),週次_媒体別CP!I147,"")</f>
        <v/>
      </c>
      <c r="E198" s="73" t="str">
        <f aca="false">IF(ISNUMBER(週次_媒体別CP!I203),週次_媒体別CP!I203,"")</f>
        <v/>
      </c>
      <c r="F198" s="73" t="str">
        <f aca="false">IF(ISNUMBER(週次_媒体別CP!I259),週次_媒体別CP!I259,"")</f>
        <v/>
      </c>
      <c r="G198" s="73" t="str">
        <f aca="false">IF(ISNUMBER(週次_媒体別CP!I315),週次_媒体別CP!I315,"")</f>
        <v/>
      </c>
      <c r="H198" s="73" t="str">
        <f aca="false">IF(ISNUMBER(週次_媒体別CP!I371),週次_媒体別CP!I371,"")</f>
        <v/>
      </c>
    </row>
    <row r="199" customFormat="false" ht="15" hidden="false" customHeight="false" outlineLevel="0" collapsed="false">
      <c r="A199" s="72" t="s">
        <v>120</v>
      </c>
      <c r="B199" s="73" t="str">
        <f aca="false">IF(ISNUMBER(週次_媒体別CP!I36),週次_媒体別CP!I36,"")</f>
        <v/>
      </c>
      <c r="C199" s="73" t="str">
        <f aca="false">IF(ISNUMBER(週次_媒体別CP!I92),週次_媒体別CP!I92,"")</f>
        <v/>
      </c>
      <c r="D199" s="73" t="str">
        <f aca="false">IF(ISNUMBER(週次_媒体別CP!I148),週次_媒体別CP!I148,"")</f>
        <v/>
      </c>
      <c r="E199" s="73" t="str">
        <f aca="false">IF(ISNUMBER(週次_媒体別CP!I204),週次_媒体別CP!I204,"")</f>
        <v/>
      </c>
      <c r="F199" s="73" t="str">
        <f aca="false">IF(ISNUMBER(週次_媒体別CP!I260),週次_媒体別CP!I260,"")</f>
        <v/>
      </c>
      <c r="G199" s="73" t="str">
        <f aca="false">IF(ISNUMBER(週次_媒体別CP!I316),週次_媒体別CP!I316,"")</f>
        <v/>
      </c>
      <c r="H199" s="73" t="str">
        <f aca="false">IF(ISNUMBER(週次_媒体別CP!I372),週次_媒体別CP!I372,"")</f>
        <v/>
      </c>
    </row>
    <row r="200" customFormat="false" ht="15" hidden="false" customHeight="false" outlineLevel="0" collapsed="false">
      <c r="A200" s="72" t="s">
        <v>122</v>
      </c>
      <c r="B200" s="73" t="str">
        <f aca="false">IF(ISNUMBER(週次_媒体別CP!I37),週次_媒体別CP!I37,"")</f>
        <v/>
      </c>
      <c r="C200" s="73" t="str">
        <f aca="false">IF(ISNUMBER(週次_媒体別CP!I93),週次_媒体別CP!I93,"")</f>
        <v/>
      </c>
      <c r="D200" s="73" t="str">
        <f aca="false">IF(ISNUMBER(週次_媒体別CP!I149),週次_媒体別CP!I149,"")</f>
        <v/>
      </c>
      <c r="E200" s="73" t="str">
        <f aca="false">IF(ISNUMBER(週次_媒体別CP!I205),週次_媒体別CP!I205,"")</f>
        <v/>
      </c>
      <c r="F200" s="73" t="str">
        <f aca="false">IF(ISNUMBER(週次_媒体別CP!I261),週次_媒体別CP!I261,"")</f>
        <v/>
      </c>
      <c r="G200" s="73" t="str">
        <f aca="false">IF(ISNUMBER(週次_媒体別CP!I317),週次_媒体別CP!I317,"")</f>
        <v/>
      </c>
      <c r="H200" s="73" t="str">
        <f aca="false">IF(ISNUMBER(週次_媒体別CP!I373),週次_媒体別CP!I373,"")</f>
        <v/>
      </c>
    </row>
    <row r="201" customFormat="false" ht="15" hidden="false" customHeight="false" outlineLevel="0" collapsed="false">
      <c r="A201" s="72" t="s">
        <v>124</v>
      </c>
      <c r="B201" s="73" t="str">
        <f aca="false">IF(ISNUMBER(週次_媒体別CP!I38),週次_媒体別CP!I38,"")</f>
        <v/>
      </c>
      <c r="C201" s="73" t="str">
        <f aca="false">IF(ISNUMBER(週次_媒体別CP!I94),週次_媒体別CP!I94,"")</f>
        <v/>
      </c>
      <c r="D201" s="73" t="str">
        <f aca="false">IF(ISNUMBER(週次_媒体別CP!I150),週次_媒体別CP!I150,"")</f>
        <v/>
      </c>
      <c r="E201" s="73" t="str">
        <f aca="false">IF(ISNUMBER(週次_媒体別CP!I206),週次_媒体別CP!I206,"")</f>
        <v/>
      </c>
      <c r="F201" s="73" t="str">
        <f aca="false">IF(ISNUMBER(週次_媒体別CP!I262),週次_媒体別CP!I262,"")</f>
        <v/>
      </c>
      <c r="G201" s="73" t="str">
        <f aca="false">IF(ISNUMBER(週次_媒体別CP!I318),週次_媒体別CP!I318,"")</f>
        <v/>
      </c>
      <c r="H201" s="73" t="str">
        <f aca="false">IF(ISNUMBER(週次_媒体別CP!I374),週次_媒体別CP!I374,"")</f>
        <v/>
      </c>
    </row>
    <row r="202" customFormat="false" ht="15" hidden="false" customHeight="false" outlineLevel="0" collapsed="false">
      <c r="A202" s="72" t="s">
        <v>126</v>
      </c>
      <c r="B202" s="73" t="str">
        <f aca="false">IF(ISNUMBER(週次_媒体別CP!I39),週次_媒体別CP!I39,"")</f>
        <v/>
      </c>
      <c r="C202" s="73" t="str">
        <f aca="false">IF(ISNUMBER(週次_媒体別CP!I95),週次_媒体別CP!I95,"")</f>
        <v/>
      </c>
      <c r="D202" s="73" t="str">
        <f aca="false">IF(ISNUMBER(週次_媒体別CP!I151),週次_媒体別CP!I151,"")</f>
        <v/>
      </c>
      <c r="E202" s="73" t="str">
        <f aca="false">IF(ISNUMBER(週次_媒体別CP!I207),週次_媒体別CP!I207,"")</f>
        <v/>
      </c>
      <c r="F202" s="73" t="str">
        <f aca="false">IF(ISNUMBER(週次_媒体別CP!I263),週次_媒体別CP!I263,"")</f>
        <v/>
      </c>
      <c r="G202" s="73" t="str">
        <f aca="false">IF(ISNUMBER(週次_媒体別CP!I319),週次_媒体別CP!I319,"")</f>
        <v/>
      </c>
      <c r="H202" s="73" t="str">
        <f aca="false">IF(ISNUMBER(週次_媒体別CP!I375),週次_媒体別CP!I375,"")</f>
        <v/>
      </c>
    </row>
    <row r="203" customFormat="false" ht="15" hidden="false" customHeight="false" outlineLevel="0" collapsed="false">
      <c r="A203" s="72" t="s">
        <v>128</v>
      </c>
      <c r="B203" s="73" t="str">
        <f aca="false">IF(ISNUMBER(週次_媒体別CP!I40),週次_媒体別CP!I40,"")</f>
        <v/>
      </c>
      <c r="C203" s="73" t="str">
        <f aca="false">IF(ISNUMBER(週次_媒体別CP!I96),週次_媒体別CP!I96,"")</f>
        <v/>
      </c>
      <c r="D203" s="73" t="str">
        <f aca="false">IF(ISNUMBER(週次_媒体別CP!I152),週次_媒体別CP!I152,"")</f>
        <v/>
      </c>
      <c r="E203" s="73" t="str">
        <f aca="false">IF(ISNUMBER(週次_媒体別CP!I208),週次_媒体別CP!I208,"")</f>
        <v/>
      </c>
      <c r="F203" s="73" t="str">
        <f aca="false">IF(ISNUMBER(週次_媒体別CP!I264),週次_媒体別CP!I264,"")</f>
        <v/>
      </c>
      <c r="G203" s="73" t="str">
        <f aca="false">IF(ISNUMBER(週次_媒体別CP!I320),週次_媒体別CP!I320,"")</f>
        <v/>
      </c>
      <c r="H203" s="73" t="str">
        <f aca="false">IF(ISNUMBER(週次_媒体別CP!I376),週次_媒体別CP!I376,"")</f>
        <v/>
      </c>
    </row>
    <row r="204" customFormat="false" ht="15" hidden="false" customHeight="false" outlineLevel="0" collapsed="false">
      <c r="A204" s="72" t="s">
        <v>130</v>
      </c>
      <c r="B204" s="73" t="str">
        <f aca="false">IF(ISNUMBER(週次_媒体別CP!I41),週次_媒体別CP!I41,"")</f>
        <v/>
      </c>
      <c r="C204" s="73" t="str">
        <f aca="false">IF(ISNUMBER(週次_媒体別CP!I97),週次_媒体別CP!I97,"")</f>
        <v/>
      </c>
      <c r="D204" s="73" t="str">
        <f aca="false">IF(ISNUMBER(週次_媒体別CP!I153),週次_媒体別CP!I153,"")</f>
        <v/>
      </c>
      <c r="E204" s="73" t="str">
        <f aca="false">IF(ISNUMBER(週次_媒体別CP!I209),週次_媒体別CP!I209,"")</f>
        <v/>
      </c>
      <c r="F204" s="73" t="str">
        <f aca="false">IF(ISNUMBER(週次_媒体別CP!I265),週次_媒体別CP!I265,"")</f>
        <v/>
      </c>
      <c r="G204" s="73" t="str">
        <f aca="false">IF(ISNUMBER(週次_媒体別CP!I321),週次_媒体別CP!I321,"")</f>
        <v/>
      </c>
      <c r="H204" s="73" t="str">
        <f aca="false">IF(ISNUMBER(週次_媒体別CP!I377),週次_媒体別CP!I377,"")</f>
        <v/>
      </c>
    </row>
    <row r="205" customFormat="false" ht="15" hidden="false" customHeight="false" outlineLevel="0" collapsed="false">
      <c r="A205" s="72" t="s">
        <v>132</v>
      </c>
      <c r="B205" s="73" t="str">
        <f aca="false">IF(ISNUMBER(週次_媒体別CP!I42),週次_媒体別CP!I42,"")</f>
        <v/>
      </c>
      <c r="C205" s="73" t="str">
        <f aca="false">IF(ISNUMBER(週次_媒体別CP!I98),週次_媒体別CP!I98,"")</f>
        <v/>
      </c>
      <c r="D205" s="73" t="str">
        <f aca="false">IF(ISNUMBER(週次_媒体別CP!I154),週次_媒体別CP!I154,"")</f>
        <v/>
      </c>
      <c r="E205" s="73" t="str">
        <f aca="false">IF(ISNUMBER(週次_媒体別CP!I210),週次_媒体別CP!I210,"")</f>
        <v/>
      </c>
      <c r="F205" s="73" t="str">
        <f aca="false">IF(ISNUMBER(週次_媒体別CP!I266),週次_媒体別CP!I266,"")</f>
        <v/>
      </c>
      <c r="G205" s="73" t="str">
        <f aca="false">IF(ISNUMBER(週次_媒体別CP!I322),週次_媒体別CP!I322,"")</f>
        <v/>
      </c>
      <c r="H205" s="73" t="str">
        <f aca="false">IF(ISNUMBER(週次_媒体別CP!I378),週次_媒体別CP!I378,"")</f>
        <v/>
      </c>
    </row>
    <row r="206" customFormat="false" ht="15" hidden="false" customHeight="false" outlineLevel="0" collapsed="false">
      <c r="A206" s="72" t="s">
        <v>134</v>
      </c>
      <c r="B206" s="73" t="str">
        <f aca="false">IF(ISNUMBER(週次_媒体別CP!I43),週次_媒体別CP!I43,"")</f>
        <v/>
      </c>
      <c r="C206" s="73" t="str">
        <f aca="false">IF(ISNUMBER(週次_媒体別CP!I99),週次_媒体別CP!I99,"")</f>
        <v/>
      </c>
      <c r="D206" s="73" t="str">
        <f aca="false">IF(ISNUMBER(週次_媒体別CP!I155),週次_媒体別CP!I155,"")</f>
        <v/>
      </c>
      <c r="E206" s="73" t="str">
        <f aca="false">IF(ISNUMBER(週次_媒体別CP!I211),週次_媒体別CP!I211,"")</f>
        <v/>
      </c>
      <c r="F206" s="73" t="str">
        <f aca="false">IF(ISNUMBER(週次_媒体別CP!I267),週次_媒体別CP!I267,"")</f>
        <v/>
      </c>
      <c r="G206" s="73" t="str">
        <f aca="false">IF(ISNUMBER(週次_媒体別CP!I323),週次_媒体別CP!I323,"")</f>
        <v/>
      </c>
      <c r="H206" s="73" t="str">
        <f aca="false">IF(ISNUMBER(週次_媒体別CP!I379),週次_媒体別CP!I379,"")</f>
        <v/>
      </c>
    </row>
    <row r="207" customFormat="false" ht="15" hidden="false" customHeight="false" outlineLevel="0" collapsed="false">
      <c r="A207" s="72" t="s">
        <v>136</v>
      </c>
      <c r="B207" s="73" t="str">
        <f aca="false">IF(ISNUMBER(週次_媒体別CP!I44),週次_媒体別CP!I44,"")</f>
        <v/>
      </c>
      <c r="C207" s="73" t="str">
        <f aca="false">IF(ISNUMBER(週次_媒体別CP!I100),週次_媒体別CP!I100,"")</f>
        <v/>
      </c>
      <c r="D207" s="73" t="str">
        <f aca="false">IF(ISNUMBER(週次_媒体別CP!I156),週次_媒体別CP!I156,"")</f>
        <v/>
      </c>
      <c r="E207" s="73" t="str">
        <f aca="false">IF(ISNUMBER(週次_媒体別CP!I212),週次_媒体別CP!I212,"")</f>
        <v/>
      </c>
      <c r="F207" s="73" t="str">
        <f aca="false">IF(ISNUMBER(週次_媒体別CP!I268),週次_媒体別CP!I268,"")</f>
        <v/>
      </c>
      <c r="G207" s="73" t="str">
        <f aca="false">IF(ISNUMBER(週次_媒体別CP!I324),週次_媒体別CP!I324,"")</f>
        <v/>
      </c>
      <c r="H207" s="73" t="str">
        <f aca="false">IF(ISNUMBER(週次_媒体別CP!I380),週次_媒体別CP!I380,"")</f>
        <v/>
      </c>
    </row>
    <row r="208" customFormat="false" ht="15" hidden="false" customHeight="false" outlineLevel="0" collapsed="false">
      <c r="A208" s="72" t="s">
        <v>138</v>
      </c>
      <c r="B208" s="73" t="str">
        <f aca="false">IF(ISNUMBER(週次_媒体別CP!I45),週次_媒体別CP!I45,"")</f>
        <v/>
      </c>
      <c r="C208" s="73" t="str">
        <f aca="false">IF(ISNUMBER(週次_媒体別CP!I101),週次_媒体別CP!I101,"")</f>
        <v/>
      </c>
      <c r="D208" s="73" t="str">
        <f aca="false">IF(ISNUMBER(週次_媒体別CP!I157),週次_媒体別CP!I157,"")</f>
        <v/>
      </c>
      <c r="E208" s="73" t="str">
        <f aca="false">IF(ISNUMBER(週次_媒体別CP!I213),週次_媒体別CP!I213,"")</f>
        <v/>
      </c>
      <c r="F208" s="73" t="str">
        <f aca="false">IF(ISNUMBER(週次_媒体別CP!I269),週次_媒体別CP!I269,"")</f>
        <v/>
      </c>
      <c r="G208" s="73" t="str">
        <f aca="false">IF(ISNUMBER(週次_媒体別CP!I325),週次_媒体別CP!I325,"")</f>
        <v/>
      </c>
      <c r="H208" s="73" t="str">
        <f aca="false">IF(ISNUMBER(週次_媒体別CP!I381),週次_媒体別CP!I381,"")</f>
        <v/>
      </c>
    </row>
    <row r="209" customFormat="false" ht="15" hidden="false" customHeight="false" outlineLevel="0" collapsed="false">
      <c r="A209" s="72" t="s">
        <v>140</v>
      </c>
      <c r="B209" s="73" t="str">
        <f aca="false">IF(ISNUMBER(週次_媒体別CP!I46),週次_媒体別CP!I46,"")</f>
        <v/>
      </c>
      <c r="C209" s="73" t="str">
        <f aca="false">IF(ISNUMBER(週次_媒体別CP!I102),週次_媒体別CP!I102,"")</f>
        <v/>
      </c>
      <c r="D209" s="73" t="str">
        <f aca="false">IF(ISNUMBER(週次_媒体別CP!I158),週次_媒体別CP!I158,"")</f>
        <v/>
      </c>
      <c r="E209" s="73" t="str">
        <f aca="false">IF(ISNUMBER(週次_媒体別CP!I214),週次_媒体別CP!I214,"")</f>
        <v/>
      </c>
      <c r="F209" s="73" t="str">
        <f aca="false">IF(ISNUMBER(週次_媒体別CP!I270),週次_媒体別CP!I270,"")</f>
        <v/>
      </c>
      <c r="G209" s="73" t="str">
        <f aca="false">IF(ISNUMBER(週次_媒体別CP!I326),週次_媒体別CP!I326,"")</f>
        <v/>
      </c>
      <c r="H209" s="73" t="str">
        <f aca="false">IF(ISNUMBER(週次_媒体別CP!I382),週次_媒体別CP!I382,"")</f>
        <v/>
      </c>
    </row>
    <row r="210" customFormat="false" ht="15" hidden="false" customHeight="false" outlineLevel="0" collapsed="false">
      <c r="A210" s="72" t="s">
        <v>142</v>
      </c>
      <c r="B210" s="73" t="str">
        <f aca="false">IF(ISNUMBER(週次_媒体別CP!I47),週次_媒体別CP!I47,"")</f>
        <v/>
      </c>
      <c r="C210" s="73" t="str">
        <f aca="false">IF(ISNUMBER(週次_媒体別CP!I103),週次_媒体別CP!I103,"")</f>
        <v/>
      </c>
      <c r="D210" s="73" t="str">
        <f aca="false">IF(ISNUMBER(週次_媒体別CP!I159),週次_媒体別CP!I159,"")</f>
        <v/>
      </c>
      <c r="E210" s="73" t="str">
        <f aca="false">IF(ISNUMBER(週次_媒体別CP!I215),週次_媒体別CP!I215,"")</f>
        <v/>
      </c>
      <c r="F210" s="73" t="str">
        <f aca="false">IF(ISNUMBER(週次_媒体別CP!I271),週次_媒体別CP!I271,"")</f>
        <v/>
      </c>
      <c r="G210" s="73" t="str">
        <f aca="false">IF(ISNUMBER(週次_媒体別CP!I327),週次_媒体別CP!I327,"")</f>
        <v/>
      </c>
      <c r="H210" s="73" t="str">
        <f aca="false">IF(ISNUMBER(週次_媒体別CP!I383),週次_媒体別CP!I383,"")</f>
        <v/>
      </c>
    </row>
    <row r="211" customFormat="false" ht="15" hidden="false" customHeight="false" outlineLevel="0" collapsed="false">
      <c r="A211" s="72" t="s">
        <v>144</v>
      </c>
      <c r="B211" s="73" t="str">
        <f aca="false">IF(ISNUMBER(週次_媒体別CP!I48),週次_媒体別CP!I48,"")</f>
        <v/>
      </c>
      <c r="C211" s="73" t="str">
        <f aca="false">IF(ISNUMBER(週次_媒体別CP!I104),週次_媒体別CP!I104,"")</f>
        <v/>
      </c>
      <c r="D211" s="73" t="str">
        <f aca="false">IF(ISNUMBER(週次_媒体別CP!I160),週次_媒体別CP!I160,"")</f>
        <v/>
      </c>
      <c r="E211" s="73" t="str">
        <f aca="false">IF(ISNUMBER(週次_媒体別CP!I216),週次_媒体別CP!I216,"")</f>
        <v/>
      </c>
      <c r="F211" s="73" t="str">
        <f aca="false">IF(ISNUMBER(週次_媒体別CP!I272),週次_媒体別CP!I272,"")</f>
        <v/>
      </c>
      <c r="G211" s="73" t="str">
        <f aca="false">IF(ISNUMBER(週次_媒体別CP!I328),週次_媒体別CP!I328,"")</f>
        <v/>
      </c>
      <c r="H211" s="73" t="str">
        <f aca="false">IF(ISNUMBER(週次_媒体別CP!I384),週次_媒体別CP!I384,"")</f>
        <v/>
      </c>
    </row>
    <row r="212" customFormat="false" ht="15" hidden="false" customHeight="false" outlineLevel="0" collapsed="false">
      <c r="A212" s="72" t="s">
        <v>146</v>
      </c>
      <c r="B212" s="73" t="str">
        <f aca="false">IF(ISNUMBER(週次_媒体別CP!I49),週次_媒体別CP!I49,"")</f>
        <v/>
      </c>
      <c r="C212" s="73" t="str">
        <f aca="false">IF(ISNUMBER(週次_媒体別CP!I105),週次_媒体別CP!I105,"")</f>
        <v/>
      </c>
      <c r="D212" s="73" t="str">
        <f aca="false">IF(ISNUMBER(週次_媒体別CP!I161),週次_媒体別CP!I161,"")</f>
        <v/>
      </c>
      <c r="E212" s="73" t="str">
        <f aca="false">IF(ISNUMBER(週次_媒体別CP!I217),週次_媒体別CP!I217,"")</f>
        <v/>
      </c>
      <c r="F212" s="73" t="str">
        <f aca="false">IF(ISNUMBER(週次_媒体別CP!I273),週次_媒体別CP!I273,"")</f>
        <v/>
      </c>
      <c r="G212" s="73" t="str">
        <f aca="false">IF(ISNUMBER(週次_媒体別CP!I329),週次_媒体別CP!I329,"")</f>
        <v/>
      </c>
      <c r="H212" s="73" t="str">
        <f aca="false">IF(ISNUMBER(週次_媒体別CP!I385),週次_媒体別CP!I385,"")</f>
        <v/>
      </c>
    </row>
    <row r="213" customFormat="false" ht="15" hidden="false" customHeight="false" outlineLevel="0" collapsed="false">
      <c r="A213" s="72" t="s">
        <v>148</v>
      </c>
      <c r="B213" s="73" t="str">
        <f aca="false">IF(ISNUMBER(週次_媒体別CP!I50),週次_媒体別CP!I50,"")</f>
        <v/>
      </c>
      <c r="C213" s="73" t="str">
        <f aca="false">IF(ISNUMBER(週次_媒体別CP!I106),週次_媒体別CP!I106,"")</f>
        <v/>
      </c>
      <c r="D213" s="73" t="str">
        <f aca="false">IF(ISNUMBER(週次_媒体別CP!I162),週次_媒体別CP!I162,"")</f>
        <v/>
      </c>
      <c r="E213" s="73" t="str">
        <f aca="false">IF(ISNUMBER(週次_媒体別CP!I218),週次_媒体別CP!I218,"")</f>
        <v/>
      </c>
      <c r="F213" s="73" t="str">
        <f aca="false">IF(ISNUMBER(週次_媒体別CP!I274),週次_媒体別CP!I274,"")</f>
        <v/>
      </c>
      <c r="G213" s="73" t="str">
        <f aca="false">IF(ISNUMBER(週次_媒体別CP!I330),週次_媒体別CP!I330,"")</f>
        <v/>
      </c>
      <c r="H213" s="73" t="str">
        <f aca="false">IF(ISNUMBER(週次_媒体別CP!I386),週次_媒体別CP!I386,"")</f>
        <v/>
      </c>
    </row>
    <row r="214" customFormat="false" ht="15" hidden="false" customHeight="false" outlineLevel="0" collapsed="false">
      <c r="A214" s="72" t="s">
        <v>150</v>
      </c>
      <c r="B214" s="73" t="str">
        <f aca="false">IF(ISNUMBER(週次_媒体別CP!I51),週次_媒体別CP!I51,"")</f>
        <v/>
      </c>
      <c r="C214" s="73" t="str">
        <f aca="false">IF(ISNUMBER(週次_媒体別CP!I107),週次_媒体別CP!I107,"")</f>
        <v/>
      </c>
      <c r="D214" s="73" t="str">
        <f aca="false">IF(ISNUMBER(週次_媒体別CP!I163),週次_媒体別CP!I163,"")</f>
        <v/>
      </c>
      <c r="E214" s="73" t="str">
        <f aca="false">IF(ISNUMBER(週次_媒体別CP!I219),週次_媒体別CP!I219,"")</f>
        <v/>
      </c>
      <c r="F214" s="73" t="str">
        <f aca="false">IF(ISNUMBER(週次_媒体別CP!I275),週次_媒体別CP!I275,"")</f>
        <v/>
      </c>
      <c r="G214" s="73" t="str">
        <f aca="false">IF(ISNUMBER(週次_媒体別CP!I331),週次_媒体別CP!I331,"")</f>
        <v/>
      </c>
      <c r="H214" s="73" t="str">
        <f aca="false">IF(ISNUMBER(週次_媒体別CP!I387),週次_媒体別CP!I387,"")</f>
        <v/>
      </c>
    </row>
    <row r="215" customFormat="false" ht="15" hidden="false" customHeight="false" outlineLevel="0" collapsed="false">
      <c r="A215" s="72" t="s">
        <v>152</v>
      </c>
      <c r="B215" s="73" t="str">
        <f aca="false">IF(ISNUMBER(週次_媒体別CP!I52),週次_媒体別CP!I52,"")</f>
        <v/>
      </c>
      <c r="C215" s="73" t="str">
        <f aca="false">IF(ISNUMBER(週次_媒体別CP!I108),週次_媒体別CP!I108,"")</f>
        <v/>
      </c>
      <c r="D215" s="73" t="str">
        <f aca="false">IF(ISNUMBER(週次_媒体別CP!I164),週次_媒体別CP!I164,"")</f>
        <v/>
      </c>
      <c r="E215" s="73" t="str">
        <f aca="false">IF(ISNUMBER(週次_媒体別CP!I220),週次_媒体別CP!I220,"")</f>
        <v/>
      </c>
      <c r="F215" s="73" t="str">
        <f aca="false">IF(ISNUMBER(週次_媒体別CP!I276),週次_媒体別CP!I276,"")</f>
        <v/>
      </c>
      <c r="G215" s="73" t="str">
        <f aca="false">IF(ISNUMBER(週次_媒体別CP!I332),週次_媒体別CP!I332,"")</f>
        <v/>
      </c>
      <c r="H215" s="73" t="str">
        <f aca="false">IF(ISNUMBER(週次_媒体別CP!I388),週次_媒体別CP!I388,"")</f>
        <v/>
      </c>
    </row>
    <row r="216" customFormat="false" ht="15" hidden="false" customHeight="false" outlineLevel="0" collapsed="false">
      <c r="A216" s="72" t="s">
        <v>154</v>
      </c>
      <c r="B216" s="73" t="str">
        <f aca="false">IF(ISNUMBER(週次_媒体別CP!I53),週次_媒体別CP!I53,"")</f>
        <v/>
      </c>
      <c r="C216" s="73" t="str">
        <f aca="false">IF(ISNUMBER(週次_媒体別CP!I109),週次_媒体別CP!I109,"")</f>
        <v/>
      </c>
      <c r="D216" s="73" t="str">
        <f aca="false">IF(ISNUMBER(週次_媒体別CP!I165),週次_媒体別CP!I165,"")</f>
        <v/>
      </c>
      <c r="E216" s="73" t="str">
        <f aca="false">IF(ISNUMBER(週次_媒体別CP!I221),週次_媒体別CP!I221,"")</f>
        <v/>
      </c>
      <c r="F216" s="73" t="str">
        <f aca="false">IF(ISNUMBER(週次_媒体別CP!I277),週次_媒体別CP!I277,"")</f>
        <v/>
      </c>
      <c r="G216" s="73" t="str">
        <f aca="false">IF(ISNUMBER(週次_媒体別CP!I333),週次_媒体別CP!I333,"")</f>
        <v/>
      </c>
      <c r="H216" s="73" t="str">
        <f aca="false">IF(ISNUMBER(週次_媒体別CP!I389),週次_媒体別CP!I389,"")</f>
        <v/>
      </c>
    </row>
    <row r="217" customFormat="false" ht="15" hidden="false" customHeight="false" outlineLevel="0" collapsed="false">
      <c r="A217" s="72" t="s">
        <v>156</v>
      </c>
      <c r="B217" s="73" t="str">
        <f aca="false">IF(ISNUMBER(週次_媒体別CP!I54),週次_媒体別CP!I54,"")</f>
        <v/>
      </c>
      <c r="C217" s="73" t="str">
        <f aca="false">IF(ISNUMBER(週次_媒体別CP!I110),週次_媒体別CP!I110,"")</f>
        <v/>
      </c>
      <c r="D217" s="73" t="str">
        <f aca="false">IF(ISNUMBER(週次_媒体別CP!I166),週次_媒体別CP!I166,"")</f>
        <v/>
      </c>
      <c r="E217" s="73" t="str">
        <f aca="false">IF(ISNUMBER(週次_媒体別CP!I222),週次_媒体別CP!I222,"")</f>
        <v/>
      </c>
      <c r="F217" s="73" t="str">
        <f aca="false">IF(ISNUMBER(週次_媒体別CP!I278),週次_媒体別CP!I278,"")</f>
        <v/>
      </c>
      <c r="G217" s="73" t="str">
        <f aca="false">IF(ISNUMBER(週次_媒体別CP!I334),週次_媒体別CP!I334,"")</f>
        <v/>
      </c>
      <c r="H217" s="73" t="str">
        <f aca="false">IF(ISNUMBER(週次_媒体別CP!I390),週次_媒体別CP!I390,"")</f>
        <v/>
      </c>
    </row>
    <row r="218" customFormat="false" ht="15" hidden="false" customHeight="false" outlineLevel="0" collapsed="false">
      <c r="A218" s="72" t="s">
        <v>158</v>
      </c>
      <c r="B218" s="73" t="str">
        <f aca="false">IF(ISNUMBER(週次_媒体別CP!I55),週次_媒体別CP!I55,"")</f>
        <v/>
      </c>
      <c r="C218" s="73" t="str">
        <f aca="false">IF(ISNUMBER(週次_媒体別CP!I111),週次_媒体別CP!I111,"")</f>
        <v/>
      </c>
      <c r="D218" s="73" t="str">
        <f aca="false">IF(ISNUMBER(週次_媒体別CP!I167),週次_媒体別CP!I167,"")</f>
        <v/>
      </c>
      <c r="E218" s="73" t="str">
        <f aca="false">IF(ISNUMBER(週次_媒体別CP!I223),週次_媒体別CP!I223,"")</f>
        <v/>
      </c>
      <c r="F218" s="73" t="str">
        <f aca="false">IF(ISNUMBER(週次_媒体別CP!I279),週次_媒体別CP!I279,"")</f>
        <v/>
      </c>
      <c r="G218" s="73" t="str">
        <f aca="false">IF(ISNUMBER(週次_媒体別CP!I335),週次_媒体別CP!I335,"")</f>
        <v/>
      </c>
      <c r="H218" s="73" t="str">
        <f aca="false">IF(ISNUMBER(週次_媒体別CP!I391),週次_媒体別CP!I391,"")</f>
        <v/>
      </c>
    </row>
    <row r="219" customFormat="false" ht="15" hidden="false" customHeight="false" outlineLevel="0" collapsed="false">
      <c r="A219" s="72" t="s">
        <v>160</v>
      </c>
      <c r="B219" s="73" t="str">
        <f aca="false">IF(ISNUMBER(週次_媒体別CP!I56),週次_媒体別CP!I56,"")</f>
        <v/>
      </c>
      <c r="C219" s="73" t="str">
        <f aca="false">IF(ISNUMBER(週次_媒体別CP!I112),週次_媒体別CP!I112,"")</f>
        <v/>
      </c>
      <c r="D219" s="73" t="str">
        <f aca="false">IF(ISNUMBER(週次_媒体別CP!I168),週次_媒体別CP!I168,"")</f>
        <v/>
      </c>
      <c r="E219" s="73" t="str">
        <f aca="false">IF(ISNUMBER(週次_媒体別CP!I224),週次_媒体別CP!I224,"")</f>
        <v/>
      </c>
      <c r="F219" s="73" t="str">
        <f aca="false">IF(ISNUMBER(週次_媒体別CP!I280),週次_媒体別CP!I280,"")</f>
        <v/>
      </c>
      <c r="G219" s="73" t="str">
        <f aca="false">IF(ISNUMBER(週次_媒体別CP!I336),週次_媒体別CP!I336,"")</f>
        <v/>
      </c>
      <c r="H219" s="73" t="str">
        <f aca="false">IF(ISNUMBER(週次_媒体別CP!I392),週次_媒体別CP!I392,"")</f>
        <v/>
      </c>
    </row>
    <row r="220" customFormat="false" ht="15" hidden="false" customHeight="false" outlineLevel="0" collapsed="false">
      <c r="A220" s="72" t="s">
        <v>162</v>
      </c>
      <c r="B220" s="73" t="str">
        <f aca="false">IF(ISNUMBER(週次_媒体別CP!I57),週次_媒体別CP!I57,"")</f>
        <v/>
      </c>
      <c r="C220" s="73" t="str">
        <f aca="false">IF(ISNUMBER(週次_媒体別CP!I113),週次_媒体別CP!I113,"")</f>
        <v/>
      </c>
      <c r="D220" s="73" t="str">
        <f aca="false">IF(ISNUMBER(週次_媒体別CP!I169),週次_媒体別CP!I169,"")</f>
        <v/>
      </c>
      <c r="E220" s="73" t="str">
        <f aca="false">IF(ISNUMBER(週次_媒体別CP!I225),週次_媒体別CP!I225,"")</f>
        <v/>
      </c>
      <c r="F220" s="73" t="str">
        <f aca="false">IF(ISNUMBER(週次_媒体別CP!I281),週次_媒体別CP!I281,"")</f>
        <v/>
      </c>
      <c r="G220" s="73" t="str">
        <f aca="false">IF(ISNUMBER(週次_媒体別CP!I337),週次_媒体別CP!I337,"")</f>
        <v/>
      </c>
      <c r="H220" s="73" t="str">
        <f aca="false">IF(ISNUMBER(週次_媒体別CP!I393),週次_媒体別CP!I393,"")</f>
        <v/>
      </c>
    </row>
    <row r="222" customFormat="false" ht="15" hidden="false" customHeight="false" outlineLevel="0" collapsed="false">
      <c r="A222" s="74" t="s">
        <v>50</v>
      </c>
    </row>
    <row r="223" customFormat="false" ht="37.3" hidden="false" customHeight="false" outlineLevel="0" collapsed="false">
      <c r="A223" s="70" t="s">
        <v>48</v>
      </c>
      <c r="B223" s="71" t="s">
        <v>243</v>
      </c>
      <c r="C223" s="71" t="s">
        <v>244</v>
      </c>
      <c r="D223" s="71" t="s">
        <v>245</v>
      </c>
      <c r="E223" s="71" t="s">
        <v>246</v>
      </c>
      <c r="F223" s="71" t="s">
        <v>247</v>
      </c>
      <c r="G223" s="71" t="s">
        <v>248</v>
      </c>
      <c r="H223" s="71" t="s">
        <v>249</v>
      </c>
    </row>
    <row r="224" customFormat="false" ht="15" hidden="false" customHeight="false" outlineLevel="0" collapsed="false">
      <c r="A224" s="72" t="s">
        <v>59</v>
      </c>
      <c r="B224" s="76" t="n">
        <f aca="false">IF(ISNUMBER(週次_媒体別CP!G6),週次_媒体別CP!G6,"")</f>
        <v>0.0160710065386938</v>
      </c>
      <c r="C224" s="76" t="n">
        <f aca="false">IF(ISNUMBER(週次_媒体別CP!G62),週次_媒体別CP!G62,"")</f>
        <v>0.0835019280316785</v>
      </c>
      <c r="D224" s="76" t="str">
        <f aca="false">IF(ISNUMBER(週次_媒体別CP!G118),週次_媒体別CP!G118,"")</f>
        <v/>
      </c>
      <c r="E224" s="76" t="n">
        <f aca="false">IF(ISNUMBER(週次_媒体別CP!G174),週次_媒体別CP!G174,"")</f>
        <v>0.276359600443951</v>
      </c>
      <c r="F224" s="76" t="n">
        <f aca="false">IF(ISNUMBER(週次_媒体別CP!G230),週次_媒体別CP!G230,"")</f>
        <v>0.408163265306122</v>
      </c>
      <c r="G224" s="76" t="n">
        <f aca="false">IF(ISNUMBER(週次_媒体別CP!G286),週次_媒体別CP!G286,"")</f>
        <v>0.0433044054612132</v>
      </c>
      <c r="H224" s="76" t="n">
        <f aca="false">IF(ISNUMBER(週次_媒体別CP!G342),週次_媒体別CP!G342,"")</f>
        <v>0.0538683779267673</v>
      </c>
    </row>
    <row r="225" customFormat="false" ht="15" hidden="false" customHeight="false" outlineLevel="0" collapsed="false">
      <c r="A225" s="72" t="s">
        <v>61</v>
      </c>
      <c r="B225" s="76" t="n">
        <f aca="false">IF(ISNUMBER(週次_媒体別CP!G7),週次_媒体別CP!G7,"")</f>
        <v>0.0160500957534122</v>
      </c>
      <c r="C225" s="76" t="n">
        <f aca="false">IF(ISNUMBER(週次_媒体別CP!G63),週次_媒体別CP!G63,"")</f>
        <v>0.0281824575504873</v>
      </c>
      <c r="D225" s="76" t="str">
        <f aca="false">IF(ISNUMBER(週次_媒体別CP!G119),週次_媒体別CP!G119,"")</f>
        <v/>
      </c>
      <c r="E225" s="76" t="n">
        <f aca="false">IF(ISNUMBER(週次_媒体別CP!G175),週次_媒体別CP!G175,"")</f>
        <v>0.0931333859510655</v>
      </c>
      <c r="F225" s="76" t="n">
        <f aca="false">IF(ISNUMBER(週次_媒体別CP!G231),週次_媒体別CP!G231,"")</f>
        <v>0.313131313131313</v>
      </c>
      <c r="G225" s="76" t="n">
        <f aca="false">IF(ISNUMBER(週次_媒体別CP!G287),週次_媒体別CP!G287,"")</f>
        <v>0.0545172181445409</v>
      </c>
      <c r="H225" s="76" t="n">
        <f aca="false">IF(ISNUMBER(週次_媒体別CP!G343),週次_媒体別CP!G343,"")</f>
        <v>0.028798276505434</v>
      </c>
    </row>
    <row r="226" customFormat="false" ht="15" hidden="false" customHeight="false" outlineLevel="0" collapsed="false">
      <c r="A226" s="72" t="s">
        <v>63</v>
      </c>
      <c r="B226" s="76" t="n">
        <f aca="false">IF(ISNUMBER(週次_媒体別CP!G8),週次_媒体別CP!G8,"")</f>
        <v>0.0204516214897298</v>
      </c>
      <c r="C226" s="76" t="n">
        <f aca="false">IF(ISNUMBER(週次_媒体別CP!G64),週次_媒体別CP!G64,"")</f>
        <v>0.0339501291581001</v>
      </c>
      <c r="D226" s="76" t="str">
        <f aca="false">IF(ISNUMBER(週次_媒体別CP!G120),週次_媒体別CP!G120,"")</f>
        <v/>
      </c>
      <c r="E226" s="76" t="n">
        <f aca="false">IF(ISNUMBER(週次_媒体別CP!G176),週次_媒体別CP!G176,"")</f>
        <v>0.0441988950276243</v>
      </c>
      <c r="F226" s="76" t="n">
        <f aca="false">IF(ISNUMBER(週次_媒体別CP!G232),週次_媒体別CP!G232,"")</f>
        <v>0.428076256499133</v>
      </c>
      <c r="G226" s="76" t="n">
        <f aca="false">IF(ISNUMBER(週次_媒体別CP!G288),週次_媒体別CP!G288,"")</f>
        <v>0.0528761808679913</v>
      </c>
      <c r="H226" s="76" t="n">
        <f aca="false">IF(ISNUMBER(週次_媒体別CP!G344),週次_媒体別CP!G344,"")</f>
        <v>0.0327964577556666</v>
      </c>
    </row>
    <row r="227" customFormat="false" ht="15" hidden="false" customHeight="false" outlineLevel="0" collapsed="false">
      <c r="A227" s="72" t="s">
        <v>65</v>
      </c>
      <c r="B227" s="76" t="str">
        <f aca="false">IF(ISNUMBER(週次_媒体別CP!G9),週次_媒体別CP!G9,"")</f>
        <v/>
      </c>
      <c r="C227" s="76" t="n">
        <f aca="false">IF(ISNUMBER(週次_媒体別CP!G65),週次_媒体別CP!G65,"")</f>
        <v>0.025623040105628</v>
      </c>
      <c r="D227" s="76" t="str">
        <f aca="false">IF(ISNUMBER(週次_媒体別CP!G121),週次_媒体別CP!G121,"")</f>
        <v/>
      </c>
      <c r="E227" s="76" t="str">
        <f aca="false">IF(ISNUMBER(週次_媒体別CP!G177),週次_媒体別CP!G177,"")</f>
        <v/>
      </c>
      <c r="F227" s="76" t="n">
        <f aca="false">IF(ISNUMBER(週次_媒体別CP!G233),週次_媒体別CP!G233,"")</f>
        <v>0.355828220858896</v>
      </c>
      <c r="G227" s="76" t="str">
        <f aca="false">IF(ISNUMBER(週次_媒体別CP!G289),週次_媒体別CP!G289,"")</f>
        <v/>
      </c>
      <c r="H227" s="76" t="n">
        <f aca="false">IF(ISNUMBER(週次_媒体別CP!G345),週次_媒体別CP!G345,"")</f>
        <v>0.0370432103214646</v>
      </c>
    </row>
    <row r="228" customFormat="false" ht="15" hidden="false" customHeight="false" outlineLevel="0" collapsed="false">
      <c r="A228" s="72" t="s">
        <v>68</v>
      </c>
      <c r="B228" s="76" t="str">
        <f aca="false">IF(ISNUMBER(週次_媒体別CP!G10),週次_媒体別CP!G10,"")</f>
        <v/>
      </c>
      <c r="C228" s="76" t="n">
        <f aca="false">IF(ISNUMBER(週次_媒体別CP!G66),週次_媒体別CP!G66,"")</f>
        <v>0.0324439621300004</v>
      </c>
      <c r="D228" s="76" t="str">
        <f aca="false">IF(ISNUMBER(週次_媒体別CP!G122),週次_媒体別CP!G122,"")</f>
        <v/>
      </c>
      <c r="E228" s="76" t="str">
        <f aca="false">IF(ISNUMBER(週次_媒体別CP!G178),週次_媒体別CP!G178,"")</f>
        <v/>
      </c>
      <c r="F228" s="76" t="n">
        <f aca="false">IF(ISNUMBER(週次_媒体別CP!G234),週次_媒体別CP!G234,"")</f>
        <v>0.333333333333333</v>
      </c>
      <c r="G228" s="76" t="str">
        <f aca="false">IF(ISNUMBER(週次_媒体別CP!G290),週次_媒体別CP!G290,"")</f>
        <v/>
      </c>
      <c r="H228" s="76" t="str">
        <f aca="false">IF(ISNUMBER(週次_媒体別CP!G346),週次_媒体別CP!G346,"")</f>
        <v/>
      </c>
    </row>
    <row r="229" customFormat="false" ht="15" hidden="false" customHeight="false" outlineLevel="0" collapsed="false">
      <c r="A229" s="72" t="s">
        <v>70</v>
      </c>
      <c r="B229" s="76" t="str">
        <f aca="false">IF(ISNUMBER(週次_媒体別CP!G11),週次_媒体別CP!G11,"")</f>
        <v/>
      </c>
      <c r="C229" s="76" t="n">
        <f aca="false">IF(ISNUMBER(週次_媒体別CP!G67),週次_媒体別CP!G67,"")</f>
        <v>0.0340889722174876</v>
      </c>
      <c r="D229" s="76" t="n">
        <f aca="false">IF(ISNUMBER(週次_媒体別CP!G123),週次_媒体別CP!G123,"")</f>
        <v>0.152380952380952</v>
      </c>
      <c r="E229" s="76" t="str">
        <f aca="false">IF(ISNUMBER(週次_媒体別CP!G179),週次_媒体別CP!G179,"")</f>
        <v/>
      </c>
      <c r="F229" s="76" t="str">
        <f aca="false">IF(ISNUMBER(週次_媒体別CP!G235),週次_媒体別CP!G235,"")</f>
        <v/>
      </c>
      <c r="G229" s="76" t="str">
        <f aca="false">IF(ISNUMBER(週次_媒体別CP!G291),週次_媒体別CP!G291,"")</f>
        <v/>
      </c>
      <c r="H229" s="76" t="str">
        <f aca="false">IF(ISNUMBER(週次_媒体別CP!G347),週次_媒体別CP!G347,"")</f>
        <v/>
      </c>
    </row>
    <row r="230" customFormat="false" ht="15" hidden="false" customHeight="false" outlineLevel="0" collapsed="false">
      <c r="A230" s="72" t="s">
        <v>72</v>
      </c>
      <c r="B230" s="76" t="str">
        <f aca="false">IF(ISNUMBER(週次_媒体別CP!G12),週次_媒体別CP!G12,"")</f>
        <v/>
      </c>
      <c r="C230" s="76" t="n">
        <f aca="false">IF(ISNUMBER(週次_媒体別CP!G68),週次_媒体別CP!G68,"")</f>
        <v>0.0359741129212229</v>
      </c>
      <c r="D230" s="76" t="n">
        <f aca="false">IF(ISNUMBER(週次_媒体別CP!G124),週次_媒体別CP!G124,"")</f>
        <v>0.0615274120181949</v>
      </c>
      <c r="E230" s="76" t="str">
        <f aca="false">IF(ISNUMBER(週次_媒体別CP!G180),週次_媒体別CP!G180,"")</f>
        <v/>
      </c>
      <c r="F230" s="76" t="str">
        <f aca="false">IF(ISNUMBER(週次_媒体別CP!G236),週次_媒体別CP!G236,"")</f>
        <v/>
      </c>
      <c r="G230" s="76" t="str">
        <f aca="false">IF(ISNUMBER(週次_媒体別CP!G292),週次_媒体別CP!G292,"")</f>
        <v/>
      </c>
      <c r="H230" s="76" t="str">
        <f aca="false">IF(ISNUMBER(週次_媒体別CP!G348),週次_媒体別CP!G348,"")</f>
        <v/>
      </c>
    </row>
    <row r="231" customFormat="false" ht="15" hidden="false" customHeight="false" outlineLevel="0" collapsed="false">
      <c r="A231" s="72" t="s">
        <v>74</v>
      </c>
      <c r="B231" s="76" t="n">
        <f aca="false">IF(ISNUMBER(週次_媒体別CP!G13),週次_媒体別CP!G13,"")</f>
        <v>0.0257564940414081</v>
      </c>
      <c r="C231" s="76" t="n">
        <f aca="false">IF(ISNUMBER(週次_媒体別CP!G69),週次_媒体別CP!G69,"")</f>
        <v>0.0302548537842656</v>
      </c>
      <c r="D231" s="76" t="n">
        <f aca="false">IF(ISNUMBER(週次_媒体別CP!G125),週次_媒体別CP!G125,"")</f>
        <v>0.0272332083191272</v>
      </c>
      <c r="E231" s="76" t="str">
        <f aca="false">IF(ISNUMBER(週次_媒体別CP!G181),週次_媒体別CP!G181,"")</f>
        <v/>
      </c>
      <c r="F231" s="76" t="str">
        <f aca="false">IF(ISNUMBER(週次_媒体別CP!G237),週次_媒体別CP!G237,"")</f>
        <v/>
      </c>
      <c r="G231" s="76" t="str">
        <f aca="false">IF(ISNUMBER(週次_媒体別CP!G293),週次_媒体別CP!G293,"")</f>
        <v/>
      </c>
      <c r="H231" s="76" t="str">
        <f aca="false">IF(ISNUMBER(週次_媒体別CP!G349),週次_媒体別CP!G349,"")</f>
        <v/>
      </c>
    </row>
    <row r="232" customFormat="false" ht="15" hidden="false" customHeight="false" outlineLevel="0" collapsed="false">
      <c r="A232" s="72" t="s">
        <v>76</v>
      </c>
      <c r="B232" s="76" t="n">
        <f aca="false">IF(ISNUMBER(週次_媒体別CP!G14),週次_媒体別CP!G14,"")</f>
        <v>0.0158594399100728</v>
      </c>
      <c r="C232" s="76" t="n">
        <f aca="false">IF(ISNUMBER(週次_媒体別CP!G70),週次_媒体別CP!G70,"")</f>
        <v>0.0307658009140564</v>
      </c>
      <c r="D232" s="76" t="n">
        <f aca="false">IF(ISNUMBER(週次_媒体別CP!G126),週次_媒体別CP!G126,"")</f>
        <v>0.0322219892360383</v>
      </c>
      <c r="E232" s="76" t="str">
        <f aca="false">IF(ISNUMBER(週次_媒体別CP!G182),週次_媒体別CP!G182,"")</f>
        <v/>
      </c>
      <c r="F232" s="76" t="str">
        <f aca="false">IF(ISNUMBER(週次_媒体別CP!G238),週次_媒体別CP!G238,"")</f>
        <v/>
      </c>
      <c r="G232" s="76" t="str">
        <f aca="false">IF(ISNUMBER(週次_媒体別CP!G294),週次_媒体別CP!G294,"")</f>
        <v/>
      </c>
      <c r="H232" s="76" t="str">
        <f aca="false">IF(ISNUMBER(週次_媒体別CP!G350),週次_媒体別CP!G350,"")</f>
        <v/>
      </c>
    </row>
    <row r="233" customFormat="false" ht="15" hidden="false" customHeight="false" outlineLevel="0" collapsed="false">
      <c r="A233" s="72" t="s">
        <v>78</v>
      </c>
      <c r="B233" s="76" t="n">
        <f aca="false">IF(ISNUMBER(週次_媒体別CP!G15),週次_媒体別CP!G15,"")</f>
        <v>0.0181009596629476</v>
      </c>
      <c r="C233" s="76" t="n">
        <f aca="false">IF(ISNUMBER(週次_媒体別CP!G71),週次_媒体別CP!G71,"")</f>
        <v>0.0275751645614659</v>
      </c>
      <c r="D233" s="76" t="n">
        <f aca="false">IF(ISNUMBER(週次_媒体別CP!G127),週次_媒体別CP!G127,"")</f>
        <v>0.0289046024066493</v>
      </c>
      <c r="E233" s="76" t="str">
        <f aca="false">IF(ISNUMBER(週次_媒体別CP!G183),週次_媒体別CP!G183,"")</f>
        <v/>
      </c>
      <c r="F233" s="76" t="str">
        <f aca="false">IF(ISNUMBER(週次_媒体別CP!G239),週次_媒体別CP!G239,"")</f>
        <v/>
      </c>
      <c r="G233" s="76" t="str">
        <f aca="false">IF(ISNUMBER(週次_媒体別CP!G295),週次_媒体別CP!G295,"")</f>
        <v/>
      </c>
      <c r="H233" s="76" t="str">
        <f aca="false">IF(ISNUMBER(週次_媒体別CP!G351),週次_媒体別CP!G351,"")</f>
        <v/>
      </c>
    </row>
    <row r="234" customFormat="false" ht="15" hidden="false" customHeight="false" outlineLevel="0" collapsed="false">
      <c r="A234" s="72" t="s">
        <v>80</v>
      </c>
      <c r="B234" s="76" t="n">
        <f aca="false">IF(ISNUMBER(週次_媒体別CP!G16),週次_媒体別CP!G16,"")</f>
        <v>0.0145128285849205</v>
      </c>
      <c r="C234" s="76" t="n">
        <f aca="false">IF(ISNUMBER(週次_媒体別CP!G72),週次_媒体別CP!G72,"")</f>
        <v>0.0239452326373831</v>
      </c>
      <c r="D234" s="76" t="n">
        <f aca="false">IF(ISNUMBER(週次_媒体別CP!G128),週次_媒体別CP!G128,"")</f>
        <v>0.0241427130610187</v>
      </c>
      <c r="E234" s="76" t="str">
        <f aca="false">IF(ISNUMBER(週次_媒体別CP!G184),週次_媒体別CP!G184,"")</f>
        <v/>
      </c>
      <c r="F234" s="76" t="str">
        <f aca="false">IF(ISNUMBER(週次_媒体別CP!G240),週次_媒体別CP!G240,"")</f>
        <v/>
      </c>
      <c r="G234" s="76" t="str">
        <f aca="false">IF(ISNUMBER(週次_媒体別CP!G296),週次_媒体別CP!G296,"")</f>
        <v/>
      </c>
      <c r="H234" s="76" t="str">
        <f aca="false">IF(ISNUMBER(週次_媒体別CP!G352),週次_媒体別CP!G352,"")</f>
        <v/>
      </c>
    </row>
    <row r="235" customFormat="false" ht="15" hidden="false" customHeight="false" outlineLevel="0" collapsed="false">
      <c r="A235" s="72" t="s">
        <v>82</v>
      </c>
      <c r="B235" s="76" t="str">
        <f aca="false">IF(ISNUMBER(週次_媒体別CP!G17),週次_媒体別CP!G17,"")</f>
        <v/>
      </c>
      <c r="C235" s="76" t="str">
        <f aca="false">IF(ISNUMBER(週次_媒体別CP!G73),週次_媒体別CP!G73,"")</f>
        <v/>
      </c>
      <c r="D235" s="76" t="str">
        <f aca="false">IF(ISNUMBER(週次_媒体別CP!G129),週次_媒体別CP!G129,"")</f>
        <v/>
      </c>
      <c r="E235" s="76" t="str">
        <f aca="false">IF(ISNUMBER(週次_媒体別CP!G185),週次_媒体別CP!G185,"")</f>
        <v/>
      </c>
      <c r="F235" s="76" t="str">
        <f aca="false">IF(ISNUMBER(週次_媒体別CP!G241),週次_媒体別CP!G241,"")</f>
        <v/>
      </c>
      <c r="G235" s="76" t="str">
        <f aca="false">IF(ISNUMBER(週次_媒体別CP!G297),週次_媒体別CP!G297,"")</f>
        <v/>
      </c>
      <c r="H235" s="76" t="str">
        <f aca="false">IF(ISNUMBER(週次_媒体別CP!G353),週次_媒体別CP!G353,"")</f>
        <v/>
      </c>
    </row>
    <row r="236" customFormat="false" ht="15" hidden="false" customHeight="false" outlineLevel="0" collapsed="false">
      <c r="A236" s="72" t="s">
        <v>84</v>
      </c>
      <c r="B236" s="76" t="str">
        <f aca="false">IF(ISNUMBER(週次_媒体別CP!G18),週次_媒体別CP!G18,"")</f>
        <v/>
      </c>
      <c r="C236" s="76" t="str">
        <f aca="false">IF(ISNUMBER(週次_媒体別CP!G74),週次_媒体別CP!G74,"")</f>
        <v/>
      </c>
      <c r="D236" s="76" t="str">
        <f aca="false">IF(ISNUMBER(週次_媒体別CP!G130),週次_媒体別CP!G130,"")</f>
        <v/>
      </c>
      <c r="E236" s="76" t="str">
        <f aca="false">IF(ISNUMBER(週次_媒体別CP!G186),週次_媒体別CP!G186,"")</f>
        <v/>
      </c>
      <c r="F236" s="76" t="str">
        <f aca="false">IF(ISNUMBER(週次_媒体別CP!G242),週次_媒体別CP!G242,"")</f>
        <v/>
      </c>
      <c r="G236" s="76" t="str">
        <f aca="false">IF(ISNUMBER(週次_媒体別CP!G298),週次_媒体別CP!G298,"")</f>
        <v/>
      </c>
      <c r="H236" s="76" t="str">
        <f aca="false">IF(ISNUMBER(週次_媒体別CP!G354),週次_媒体別CP!G354,"")</f>
        <v/>
      </c>
    </row>
    <row r="237" customFormat="false" ht="15" hidden="false" customHeight="false" outlineLevel="0" collapsed="false">
      <c r="A237" s="72" t="s">
        <v>86</v>
      </c>
      <c r="B237" s="76" t="str">
        <f aca="false">IF(ISNUMBER(週次_媒体別CP!G19),週次_媒体別CP!G19,"")</f>
        <v/>
      </c>
      <c r="C237" s="76" t="str">
        <f aca="false">IF(ISNUMBER(週次_媒体別CP!G75),週次_媒体別CP!G75,"")</f>
        <v/>
      </c>
      <c r="D237" s="76" t="str">
        <f aca="false">IF(ISNUMBER(週次_媒体別CP!G131),週次_媒体別CP!G131,"")</f>
        <v/>
      </c>
      <c r="E237" s="76" t="str">
        <f aca="false">IF(ISNUMBER(週次_媒体別CP!G187),週次_媒体別CP!G187,"")</f>
        <v/>
      </c>
      <c r="F237" s="76" t="str">
        <f aca="false">IF(ISNUMBER(週次_媒体別CP!G243),週次_媒体別CP!G243,"")</f>
        <v/>
      </c>
      <c r="G237" s="76" t="str">
        <f aca="false">IF(ISNUMBER(週次_媒体別CP!G299),週次_媒体別CP!G299,"")</f>
        <v/>
      </c>
      <c r="H237" s="76" t="str">
        <f aca="false">IF(ISNUMBER(週次_媒体別CP!G355),週次_媒体別CP!G355,"")</f>
        <v/>
      </c>
    </row>
    <row r="238" customFormat="false" ht="15" hidden="false" customHeight="false" outlineLevel="0" collapsed="false">
      <c r="A238" s="72" t="s">
        <v>88</v>
      </c>
      <c r="B238" s="76" t="str">
        <f aca="false">IF(ISNUMBER(週次_媒体別CP!G20),週次_媒体別CP!G20,"")</f>
        <v/>
      </c>
      <c r="C238" s="76" t="str">
        <f aca="false">IF(ISNUMBER(週次_媒体別CP!G76),週次_媒体別CP!G76,"")</f>
        <v/>
      </c>
      <c r="D238" s="76" t="str">
        <f aca="false">IF(ISNUMBER(週次_媒体別CP!G132),週次_媒体別CP!G132,"")</f>
        <v/>
      </c>
      <c r="E238" s="76" t="str">
        <f aca="false">IF(ISNUMBER(週次_媒体別CP!G188),週次_媒体別CP!G188,"")</f>
        <v/>
      </c>
      <c r="F238" s="76" t="str">
        <f aca="false">IF(ISNUMBER(週次_媒体別CP!G244),週次_媒体別CP!G244,"")</f>
        <v/>
      </c>
      <c r="G238" s="76" t="str">
        <f aca="false">IF(ISNUMBER(週次_媒体別CP!G300),週次_媒体別CP!G300,"")</f>
        <v/>
      </c>
      <c r="H238" s="76" t="str">
        <f aca="false">IF(ISNUMBER(週次_媒体別CP!G356),週次_媒体別CP!G356,"")</f>
        <v/>
      </c>
    </row>
    <row r="239" customFormat="false" ht="15" hidden="false" customHeight="false" outlineLevel="0" collapsed="false">
      <c r="A239" s="72" t="s">
        <v>90</v>
      </c>
      <c r="B239" s="76" t="str">
        <f aca="false">IF(ISNUMBER(週次_媒体別CP!G21),週次_媒体別CP!G21,"")</f>
        <v/>
      </c>
      <c r="C239" s="76" t="str">
        <f aca="false">IF(ISNUMBER(週次_媒体別CP!G77),週次_媒体別CP!G77,"")</f>
        <v/>
      </c>
      <c r="D239" s="76" t="str">
        <f aca="false">IF(ISNUMBER(週次_媒体別CP!G133),週次_媒体別CP!G133,"")</f>
        <v/>
      </c>
      <c r="E239" s="76" t="str">
        <f aca="false">IF(ISNUMBER(週次_媒体別CP!G189),週次_媒体別CP!G189,"")</f>
        <v/>
      </c>
      <c r="F239" s="76" t="str">
        <f aca="false">IF(ISNUMBER(週次_媒体別CP!G245),週次_媒体別CP!G245,"")</f>
        <v/>
      </c>
      <c r="G239" s="76" t="str">
        <f aca="false">IF(ISNUMBER(週次_媒体別CP!G301),週次_媒体別CP!G301,"")</f>
        <v/>
      </c>
      <c r="H239" s="76" t="str">
        <f aca="false">IF(ISNUMBER(週次_媒体別CP!G357),週次_媒体別CP!G357,"")</f>
        <v/>
      </c>
    </row>
    <row r="240" customFormat="false" ht="15" hidden="false" customHeight="false" outlineLevel="0" collapsed="false">
      <c r="A240" s="72" t="s">
        <v>92</v>
      </c>
      <c r="B240" s="76" t="str">
        <f aca="false">IF(ISNUMBER(週次_媒体別CP!G22),週次_媒体別CP!G22,"")</f>
        <v/>
      </c>
      <c r="C240" s="76" t="str">
        <f aca="false">IF(ISNUMBER(週次_媒体別CP!G78),週次_媒体別CP!G78,"")</f>
        <v/>
      </c>
      <c r="D240" s="76" t="str">
        <f aca="false">IF(ISNUMBER(週次_媒体別CP!G134),週次_媒体別CP!G134,"")</f>
        <v/>
      </c>
      <c r="E240" s="76" t="str">
        <f aca="false">IF(ISNUMBER(週次_媒体別CP!G190),週次_媒体別CP!G190,"")</f>
        <v/>
      </c>
      <c r="F240" s="76" t="str">
        <f aca="false">IF(ISNUMBER(週次_媒体別CP!G246),週次_媒体別CP!G246,"")</f>
        <v/>
      </c>
      <c r="G240" s="76" t="str">
        <f aca="false">IF(ISNUMBER(週次_媒体別CP!G302),週次_媒体別CP!G302,"")</f>
        <v/>
      </c>
      <c r="H240" s="76" t="str">
        <f aca="false">IF(ISNUMBER(週次_媒体別CP!G358),週次_媒体別CP!G358,"")</f>
        <v/>
      </c>
    </row>
    <row r="241" customFormat="false" ht="15" hidden="false" customHeight="false" outlineLevel="0" collapsed="false">
      <c r="A241" s="72" t="s">
        <v>94</v>
      </c>
      <c r="B241" s="76" t="str">
        <f aca="false">IF(ISNUMBER(週次_媒体別CP!G23),週次_媒体別CP!G23,"")</f>
        <v/>
      </c>
      <c r="C241" s="76" t="str">
        <f aca="false">IF(ISNUMBER(週次_媒体別CP!G79),週次_媒体別CP!G79,"")</f>
        <v/>
      </c>
      <c r="D241" s="76" t="str">
        <f aca="false">IF(ISNUMBER(週次_媒体別CP!G135),週次_媒体別CP!G135,"")</f>
        <v/>
      </c>
      <c r="E241" s="76" t="str">
        <f aca="false">IF(ISNUMBER(週次_媒体別CP!G191),週次_媒体別CP!G191,"")</f>
        <v/>
      </c>
      <c r="F241" s="76" t="str">
        <f aca="false">IF(ISNUMBER(週次_媒体別CP!G247),週次_媒体別CP!G247,"")</f>
        <v/>
      </c>
      <c r="G241" s="76" t="str">
        <f aca="false">IF(ISNUMBER(週次_媒体別CP!G303),週次_媒体別CP!G303,"")</f>
        <v/>
      </c>
      <c r="H241" s="76" t="str">
        <f aca="false">IF(ISNUMBER(週次_媒体別CP!G359),週次_媒体別CP!G359,"")</f>
        <v/>
      </c>
    </row>
    <row r="242" customFormat="false" ht="15" hidden="false" customHeight="false" outlineLevel="0" collapsed="false">
      <c r="A242" s="72" t="s">
        <v>96</v>
      </c>
      <c r="B242" s="76" t="str">
        <f aca="false">IF(ISNUMBER(週次_媒体別CP!G24),週次_媒体別CP!G24,"")</f>
        <v/>
      </c>
      <c r="C242" s="76" t="str">
        <f aca="false">IF(ISNUMBER(週次_媒体別CP!G80),週次_媒体別CP!G80,"")</f>
        <v/>
      </c>
      <c r="D242" s="76" t="str">
        <f aca="false">IF(ISNUMBER(週次_媒体別CP!G136),週次_媒体別CP!G136,"")</f>
        <v/>
      </c>
      <c r="E242" s="76" t="str">
        <f aca="false">IF(ISNUMBER(週次_媒体別CP!G192),週次_媒体別CP!G192,"")</f>
        <v/>
      </c>
      <c r="F242" s="76" t="str">
        <f aca="false">IF(ISNUMBER(週次_媒体別CP!G248),週次_媒体別CP!G248,"")</f>
        <v/>
      </c>
      <c r="G242" s="76" t="str">
        <f aca="false">IF(ISNUMBER(週次_媒体別CP!G304),週次_媒体別CP!G304,"")</f>
        <v/>
      </c>
      <c r="H242" s="76" t="str">
        <f aca="false">IF(ISNUMBER(週次_媒体別CP!G360),週次_媒体別CP!G360,"")</f>
        <v/>
      </c>
    </row>
    <row r="243" customFormat="false" ht="15" hidden="false" customHeight="false" outlineLevel="0" collapsed="false">
      <c r="A243" s="72" t="s">
        <v>98</v>
      </c>
      <c r="B243" s="76" t="str">
        <f aca="false">IF(ISNUMBER(週次_媒体別CP!G25),週次_媒体別CP!G25,"")</f>
        <v/>
      </c>
      <c r="C243" s="76" t="str">
        <f aca="false">IF(ISNUMBER(週次_媒体別CP!G81),週次_媒体別CP!G81,"")</f>
        <v/>
      </c>
      <c r="D243" s="76" t="str">
        <f aca="false">IF(ISNUMBER(週次_媒体別CP!G137),週次_媒体別CP!G137,"")</f>
        <v/>
      </c>
      <c r="E243" s="76" t="str">
        <f aca="false">IF(ISNUMBER(週次_媒体別CP!G193),週次_媒体別CP!G193,"")</f>
        <v/>
      </c>
      <c r="F243" s="76" t="str">
        <f aca="false">IF(ISNUMBER(週次_媒体別CP!G249),週次_媒体別CP!G249,"")</f>
        <v/>
      </c>
      <c r="G243" s="76" t="str">
        <f aca="false">IF(ISNUMBER(週次_媒体別CP!G305),週次_媒体別CP!G305,"")</f>
        <v/>
      </c>
      <c r="H243" s="76" t="str">
        <f aca="false">IF(ISNUMBER(週次_媒体別CP!G361),週次_媒体別CP!G361,"")</f>
        <v/>
      </c>
    </row>
    <row r="244" customFormat="false" ht="15" hidden="false" customHeight="false" outlineLevel="0" collapsed="false">
      <c r="A244" s="72" t="s">
        <v>100</v>
      </c>
      <c r="B244" s="76" t="str">
        <f aca="false">IF(ISNUMBER(週次_媒体別CP!G26),週次_媒体別CP!G26,"")</f>
        <v/>
      </c>
      <c r="C244" s="76" t="str">
        <f aca="false">IF(ISNUMBER(週次_媒体別CP!G82),週次_媒体別CP!G82,"")</f>
        <v/>
      </c>
      <c r="D244" s="76" t="str">
        <f aca="false">IF(ISNUMBER(週次_媒体別CP!G138),週次_媒体別CP!G138,"")</f>
        <v/>
      </c>
      <c r="E244" s="76" t="str">
        <f aca="false">IF(ISNUMBER(週次_媒体別CP!G194),週次_媒体別CP!G194,"")</f>
        <v/>
      </c>
      <c r="F244" s="76" t="str">
        <f aca="false">IF(ISNUMBER(週次_媒体別CP!G250),週次_媒体別CP!G250,"")</f>
        <v/>
      </c>
      <c r="G244" s="76" t="str">
        <f aca="false">IF(ISNUMBER(週次_媒体別CP!G306),週次_媒体別CP!G306,"")</f>
        <v/>
      </c>
      <c r="H244" s="76" t="str">
        <f aca="false">IF(ISNUMBER(週次_媒体別CP!G362),週次_媒体別CP!G362,"")</f>
        <v/>
      </c>
    </row>
    <row r="245" customFormat="false" ht="15" hidden="false" customHeight="false" outlineLevel="0" collapsed="false">
      <c r="A245" s="72" t="s">
        <v>102</v>
      </c>
      <c r="B245" s="76" t="str">
        <f aca="false">IF(ISNUMBER(週次_媒体別CP!G27),週次_媒体別CP!G27,"")</f>
        <v/>
      </c>
      <c r="C245" s="76" t="str">
        <f aca="false">IF(ISNUMBER(週次_媒体別CP!G83),週次_媒体別CP!G83,"")</f>
        <v/>
      </c>
      <c r="D245" s="76" t="str">
        <f aca="false">IF(ISNUMBER(週次_媒体別CP!G139),週次_媒体別CP!G139,"")</f>
        <v/>
      </c>
      <c r="E245" s="76" t="str">
        <f aca="false">IF(ISNUMBER(週次_媒体別CP!G195),週次_媒体別CP!G195,"")</f>
        <v/>
      </c>
      <c r="F245" s="76" t="str">
        <f aca="false">IF(ISNUMBER(週次_媒体別CP!G251),週次_媒体別CP!G251,"")</f>
        <v/>
      </c>
      <c r="G245" s="76" t="str">
        <f aca="false">IF(ISNUMBER(週次_媒体別CP!G307),週次_媒体別CP!G307,"")</f>
        <v/>
      </c>
      <c r="H245" s="76" t="str">
        <f aca="false">IF(ISNUMBER(週次_媒体別CP!G363),週次_媒体別CP!G363,"")</f>
        <v/>
      </c>
    </row>
    <row r="246" customFormat="false" ht="15" hidden="false" customHeight="false" outlineLevel="0" collapsed="false">
      <c r="A246" s="72" t="s">
        <v>104</v>
      </c>
      <c r="B246" s="76" t="str">
        <f aca="false">IF(ISNUMBER(週次_媒体別CP!G28),週次_媒体別CP!G28,"")</f>
        <v/>
      </c>
      <c r="C246" s="76" t="str">
        <f aca="false">IF(ISNUMBER(週次_媒体別CP!G84),週次_媒体別CP!G84,"")</f>
        <v/>
      </c>
      <c r="D246" s="76" t="str">
        <f aca="false">IF(ISNUMBER(週次_媒体別CP!G140),週次_媒体別CP!G140,"")</f>
        <v/>
      </c>
      <c r="E246" s="76" t="str">
        <f aca="false">IF(ISNUMBER(週次_媒体別CP!G196),週次_媒体別CP!G196,"")</f>
        <v/>
      </c>
      <c r="F246" s="76" t="str">
        <f aca="false">IF(ISNUMBER(週次_媒体別CP!G252),週次_媒体別CP!G252,"")</f>
        <v/>
      </c>
      <c r="G246" s="76" t="str">
        <f aca="false">IF(ISNUMBER(週次_媒体別CP!G308),週次_媒体別CP!G308,"")</f>
        <v/>
      </c>
      <c r="H246" s="76" t="str">
        <f aca="false">IF(ISNUMBER(週次_媒体別CP!G364),週次_媒体別CP!G364,"")</f>
        <v/>
      </c>
    </row>
    <row r="247" customFormat="false" ht="15" hidden="false" customHeight="false" outlineLevel="0" collapsed="false">
      <c r="A247" s="72" t="s">
        <v>106</v>
      </c>
      <c r="B247" s="76" t="str">
        <f aca="false">IF(ISNUMBER(週次_媒体別CP!G29),週次_媒体別CP!G29,"")</f>
        <v/>
      </c>
      <c r="C247" s="76" t="str">
        <f aca="false">IF(ISNUMBER(週次_媒体別CP!G85),週次_媒体別CP!G85,"")</f>
        <v/>
      </c>
      <c r="D247" s="76" t="str">
        <f aca="false">IF(ISNUMBER(週次_媒体別CP!G141),週次_媒体別CP!G141,"")</f>
        <v/>
      </c>
      <c r="E247" s="76" t="str">
        <f aca="false">IF(ISNUMBER(週次_媒体別CP!G197),週次_媒体別CP!G197,"")</f>
        <v/>
      </c>
      <c r="F247" s="76" t="str">
        <f aca="false">IF(ISNUMBER(週次_媒体別CP!G253),週次_媒体別CP!G253,"")</f>
        <v/>
      </c>
      <c r="G247" s="76" t="str">
        <f aca="false">IF(ISNUMBER(週次_媒体別CP!G309),週次_媒体別CP!G309,"")</f>
        <v/>
      </c>
      <c r="H247" s="76" t="str">
        <f aca="false">IF(ISNUMBER(週次_媒体別CP!G365),週次_媒体別CP!G365,"")</f>
        <v/>
      </c>
    </row>
    <row r="248" customFormat="false" ht="15" hidden="false" customHeight="false" outlineLevel="0" collapsed="false">
      <c r="A248" s="72" t="s">
        <v>108</v>
      </c>
      <c r="B248" s="76" t="str">
        <f aca="false">IF(ISNUMBER(週次_媒体別CP!G30),週次_媒体別CP!G30,"")</f>
        <v/>
      </c>
      <c r="C248" s="76" t="str">
        <f aca="false">IF(ISNUMBER(週次_媒体別CP!G86),週次_媒体別CP!G86,"")</f>
        <v/>
      </c>
      <c r="D248" s="76" t="str">
        <f aca="false">IF(ISNUMBER(週次_媒体別CP!G142),週次_媒体別CP!G142,"")</f>
        <v/>
      </c>
      <c r="E248" s="76" t="str">
        <f aca="false">IF(ISNUMBER(週次_媒体別CP!G198),週次_媒体別CP!G198,"")</f>
        <v/>
      </c>
      <c r="F248" s="76" t="str">
        <f aca="false">IF(ISNUMBER(週次_媒体別CP!G254),週次_媒体別CP!G254,"")</f>
        <v/>
      </c>
      <c r="G248" s="76" t="str">
        <f aca="false">IF(ISNUMBER(週次_媒体別CP!G310),週次_媒体別CP!G310,"")</f>
        <v/>
      </c>
      <c r="H248" s="76" t="str">
        <f aca="false">IF(ISNUMBER(週次_媒体別CP!G366),週次_媒体別CP!G366,"")</f>
        <v/>
      </c>
    </row>
    <row r="249" customFormat="false" ht="15" hidden="false" customHeight="false" outlineLevel="0" collapsed="false">
      <c r="A249" s="72" t="s">
        <v>110</v>
      </c>
      <c r="B249" s="76" t="str">
        <f aca="false">IF(ISNUMBER(週次_媒体別CP!G31),週次_媒体別CP!G31,"")</f>
        <v/>
      </c>
      <c r="C249" s="76" t="str">
        <f aca="false">IF(ISNUMBER(週次_媒体別CP!G87),週次_媒体別CP!G87,"")</f>
        <v/>
      </c>
      <c r="D249" s="76" t="str">
        <f aca="false">IF(ISNUMBER(週次_媒体別CP!G143),週次_媒体別CP!G143,"")</f>
        <v/>
      </c>
      <c r="E249" s="76" t="str">
        <f aca="false">IF(ISNUMBER(週次_媒体別CP!G199),週次_媒体別CP!G199,"")</f>
        <v/>
      </c>
      <c r="F249" s="76" t="str">
        <f aca="false">IF(ISNUMBER(週次_媒体別CP!G255),週次_媒体別CP!G255,"")</f>
        <v/>
      </c>
      <c r="G249" s="76" t="str">
        <f aca="false">IF(ISNUMBER(週次_媒体別CP!G311),週次_媒体別CP!G311,"")</f>
        <v/>
      </c>
      <c r="H249" s="76" t="str">
        <f aca="false">IF(ISNUMBER(週次_媒体別CP!G367),週次_媒体別CP!G367,"")</f>
        <v/>
      </c>
    </row>
    <row r="250" customFormat="false" ht="15" hidden="false" customHeight="false" outlineLevel="0" collapsed="false">
      <c r="A250" s="72" t="s">
        <v>112</v>
      </c>
      <c r="B250" s="76" t="str">
        <f aca="false">IF(ISNUMBER(週次_媒体別CP!G32),週次_媒体別CP!G32,"")</f>
        <v/>
      </c>
      <c r="C250" s="76" t="str">
        <f aca="false">IF(ISNUMBER(週次_媒体別CP!G88),週次_媒体別CP!G88,"")</f>
        <v/>
      </c>
      <c r="D250" s="76" t="str">
        <f aca="false">IF(ISNUMBER(週次_媒体別CP!G144),週次_媒体別CP!G144,"")</f>
        <v/>
      </c>
      <c r="E250" s="76" t="str">
        <f aca="false">IF(ISNUMBER(週次_媒体別CP!G200),週次_媒体別CP!G200,"")</f>
        <v/>
      </c>
      <c r="F250" s="76" t="str">
        <f aca="false">IF(ISNUMBER(週次_媒体別CP!G256),週次_媒体別CP!G256,"")</f>
        <v/>
      </c>
      <c r="G250" s="76" t="str">
        <f aca="false">IF(ISNUMBER(週次_媒体別CP!G312),週次_媒体別CP!G312,"")</f>
        <v/>
      </c>
      <c r="H250" s="76" t="str">
        <f aca="false">IF(ISNUMBER(週次_媒体別CP!G368),週次_媒体別CP!G368,"")</f>
        <v/>
      </c>
    </row>
    <row r="251" customFormat="false" ht="15" hidden="false" customHeight="false" outlineLevel="0" collapsed="false">
      <c r="A251" s="72" t="s">
        <v>114</v>
      </c>
      <c r="B251" s="76" t="str">
        <f aca="false">IF(ISNUMBER(週次_媒体別CP!G33),週次_媒体別CP!G33,"")</f>
        <v/>
      </c>
      <c r="C251" s="76" t="str">
        <f aca="false">IF(ISNUMBER(週次_媒体別CP!G89),週次_媒体別CP!G89,"")</f>
        <v/>
      </c>
      <c r="D251" s="76" t="str">
        <f aca="false">IF(ISNUMBER(週次_媒体別CP!G145),週次_媒体別CP!G145,"")</f>
        <v/>
      </c>
      <c r="E251" s="76" t="str">
        <f aca="false">IF(ISNUMBER(週次_媒体別CP!G201),週次_媒体別CP!G201,"")</f>
        <v/>
      </c>
      <c r="F251" s="76" t="str">
        <f aca="false">IF(ISNUMBER(週次_媒体別CP!G257),週次_媒体別CP!G257,"")</f>
        <v/>
      </c>
      <c r="G251" s="76" t="str">
        <f aca="false">IF(ISNUMBER(週次_媒体別CP!G313),週次_媒体別CP!G313,"")</f>
        <v/>
      </c>
      <c r="H251" s="76" t="str">
        <f aca="false">IF(ISNUMBER(週次_媒体別CP!G369),週次_媒体別CP!G369,"")</f>
        <v/>
      </c>
    </row>
    <row r="252" customFormat="false" ht="15" hidden="false" customHeight="false" outlineLevel="0" collapsed="false">
      <c r="A252" s="72" t="s">
        <v>116</v>
      </c>
      <c r="B252" s="76" t="str">
        <f aca="false">IF(ISNUMBER(週次_媒体別CP!G34),週次_媒体別CP!G34,"")</f>
        <v/>
      </c>
      <c r="C252" s="76" t="str">
        <f aca="false">IF(ISNUMBER(週次_媒体別CP!G90),週次_媒体別CP!G90,"")</f>
        <v/>
      </c>
      <c r="D252" s="76" t="str">
        <f aca="false">IF(ISNUMBER(週次_媒体別CP!G146),週次_媒体別CP!G146,"")</f>
        <v/>
      </c>
      <c r="E252" s="76" t="str">
        <f aca="false">IF(ISNUMBER(週次_媒体別CP!G202),週次_媒体別CP!G202,"")</f>
        <v/>
      </c>
      <c r="F252" s="76" t="str">
        <f aca="false">IF(ISNUMBER(週次_媒体別CP!G258),週次_媒体別CP!G258,"")</f>
        <v/>
      </c>
      <c r="G252" s="76" t="str">
        <f aca="false">IF(ISNUMBER(週次_媒体別CP!G314),週次_媒体別CP!G314,"")</f>
        <v/>
      </c>
      <c r="H252" s="76" t="str">
        <f aca="false">IF(ISNUMBER(週次_媒体別CP!G370),週次_媒体別CP!G370,"")</f>
        <v/>
      </c>
    </row>
    <row r="253" customFormat="false" ht="15" hidden="false" customHeight="false" outlineLevel="0" collapsed="false">
      <c r="A253" s="72" t="s">
        <v>118</v>
      </c>
      <c r="B253" s="76" t="str">
        <f aca="false">IF(ISNUMBER(週次_媒体別CP!G35),週次_媒体別CP!G35,"")</f>
        <v/>
      </c>
      <c r="C253" s="76" t="str">
        <f aca="false">IF(ISNUMBER(週次_媒体別CP!G91),週次_媒体別CP!G91,"")</f>
        <v/>
      </c>
      <c r="D253" s="76" t="str">
        <f aca="false">IF(ISNUMBER(週次_媒体別CP!G147),週次_媒体別CP!G147,"")</f>
        <v/>
      </c>
      <c r="E253" s="76" t="str">
        <f aca="false">IF(ISNUMBER(週次_媒体別CP!G203),週次_媒体別CP!G203,"")</f>
        <v/>
      </c>
      <c r="F253" s="76" t="str">
        <f aca="false">IF(ISNUMBER(週次_媒体別CP!G259),週次_媒体別CP!G259,"")</f>
        <v/>
      </c>
      <c r="G253" s="76" t="str">
        <f aca="false">IF(ISNUMBER(週次_媒体別CP!G315),週次_媒体別CP!G315,"")</f>
        <v/>
      </c>
      <c r="H253" s="76" t="str">
        <f aca="false">IF(ISNUMBER(週次_媒体別CP!G371),週次_媒体別CP!G371,"")</f>
        <v/>
      </c>
    </row>
    <row r="254" customFormat="false" ht="15" hidden="false" customHeight="false" outlineLevel="0" collapsed="false">
      <c r="A254" s="72" t="s">
        <v>120</v>
      </c>
      <c r="B254" s="76" t="str">
        <f aca="false">IF(ISNUMBER(週次_媒体別CP!G36),週次_媒体別CP!G36,"")</f>
        <v/>
      </c>
      <c r="C254" s="76" t="str">
        <f aca="false">IF(ISNUMBER(週次_媒体別CP!G92),週次_媒体別CP!G92,"")</f>
        <v/>
      </c>
      <c r="D254" s="76" t="str">
        <f aca="false">IF(ISNUMBER(週次_媒体別CP!G148),週次_媒体別CP!G148,"")</f>
        <v/>
      </c>
      <c r="E254" s="76" t="str">
        <f aca="false">IF(ISNUMBER(週次_媒体別CP!G204),週次_媒体別CP!G204,"")</f>
        <v/>
      </c>
      <c r="F254" s="76" t="str">
        <f aca="false">IF(ISNUMBER(週次_媒体別CP!G260),週次_媒体別CP!G260,"")</f>
        <v/>
      </c>
      <c r="G254" s="76" t="str">
        <f aca="false">IF(ISNUMBER(週次_媒体別CP!G316),週次_媒体別CP!G316,"")</f>
        <v/>
      </c>
      <c r="H254" s="76" t="str">
        <f aca="false">IF(ISNUMBER(週次_媒体別CP!G372),週次_媒体別CP!G372,"")</f>
        <v/>
      </c>
    </row>
    <row r="255" customFormat="false" ht="15" hidden="false" customHeight="false" outlineLevel="0" collapsed="false">
      <c r="A255" s="72" t="s">
        <v>122</v>
      </c>
      <c r="B255" s="76" t="str">
        <f aca="false">IF(ISNUMBER(週次_媒体別CP!G37),週次_媒体別CP!G37,"")</f>
        <v/>
      </c>
      <c r="C255" s="76" t="str">
        <f aca="false">IF(ISNUMBER(週次_媒体別CP!G93),週次_媒体別CP!G93,"")</f>
        <v/>
      </c>
      <c r="D255" s="76" t="str">
        <f aca="false">IF(ISNUMBER(週次_媒体別CP!G149),週次_媒体別CP!G149,"")</f>
        <v/>
      </c>
      <c r="E255" s="76" t="str">
        <f aca="false">IF(ISNUMBER(週次_媒体別CP!G205),週次_媒体別CP!G205,"")</f>
        <v/>
      </c>
      <c r="F255" s="76" t="str">
        <f aca="false">IF(ISNUMBER(週次_媒体別CP!G261),週次_媒体別CP!G261,"")</f>
        <v/>
      </c>
      <c r="G255" s="76" t="str">
        <f aca="false">IF(ISNUMBER(週次_媒体別CP!G317),週次_媒体別CP!G317,"")</f>
        <v/>
      </c>
      <c r="H255" s="76" t="str">
        <f aca="false">IF(ISNUMBER(週次_媒体別CP!G373),週次_媒体別CP!G373,"")</f>
        <v/>
      </c>
    </row>
    <row r="256" customFormat="false" ht="15" hidden="false" customHeight="false" outlineLevel="0" collapsed="false">
      <c r="A256" s="72" t="s">
        <v>124</v>
      </c>
      <c r="B256" s="76" t="str">
        <f aca="false">IF(ISNUMBER(週次_媒体別CP!G38),週次_媒体別CP!G38,"")</f>
        <v/>
      </c>
      <c r="C256" s="76" t="str">
        <f aca="false">IF(ISNUMBER(週次_媒体別CP!G94),週次_媒体別CP!G94,"")</f>
        <v/>
      </c>
      <c r="D256" s="76" t="str">
        <f aca="false">IF(ISNUMBER(週次_媒体別CP!G150),週次_媒体別CP!G150,"")</f>
        <v/>
      </c>
      <c r="E256" s="76" t="str">
        <f aca="false">IF(ISNUMBER(週次_媒体別CP!G206),週次_媒体別CP!G206,"")</f>
        <v/>
      </c>
      <c r="F256" s="76" t="str">
        <f aca="false">IF(ISNUMBER(週次_媒体別CP!G262),週次_媒体別CP!G262,"")</f>
        <v/>
      </c>
      <c r="G256" s="76" t="str">
        <f aca="false">IF(ISNUMBER(週次_媒体別CP!G318),週次_媒体別CP!G318,"")</f>
        <v/>
      </c>
      <c r="H256" s="76" t="str">
        <f aca="false">IF(ISNUMBER(週次_媒体別CP!G374),週次_媒体別CP!G374,"")</f>
        <v/>
      </c>
    </row>
    <row r="257" customFormat="false" ht="15" hidden="false" customHeight="false" outlineLevel="0" collapsed="false">
      <c r="A257" s="72" t="s">
        <v>126</v>
      </c>
      <c r="B257" s="76" t="str">
        <f aca="false">IF(ISNUMBER(週次_媒体別CP!G39),週次_媒体別CP!G39,"")</f>
        <v/>
      </c>
      <c r="C257" s="76" t="str">
        <f aca="false">IF(ISNUMBER(週次_媒体別CP!G95),週次_媒体別CP!G95,"")</f>
        <v/>
      </c>
      <c r="D257" s="76" t="str">
        <f aca="false">IF(ISNUMBER(週次_媒体別CP!G151),週次_媒体別CP!G151,"")</f>
        <v/>
      </c>
      <c r="E257" s="76" t="str">
        <f aca="false">IF(ISNUMBER(週次_媒体別CP!G207),週次_媒体別CP!G207,"")</f>
        <v/>
      </c>
      <c r="F257" s="76" t="str">
        <f aca="false">IF(ISNUMBER(週次_媒体別CP!G263),週次_媒体別CP!G263,"")</f>
        <v/>
      </c>
      <c r="G257" s="76" t="str">
        <f aca="false">IF(ISNUMBER(週次_媒体別CP!G319),週次_媒体別CP!G319,"")</f>
        <v/>
      </c>
      <c r="H257" s="76" t="str">
        <f aca="false">IF(ISNUMBER(週次_媒体別CP!G375),週次_媒体別CP!G375,"")</f>
        <v/>
      </c>
    </row>
    <row r="258" customFormat="false" ht="15" hidden="false" customHeight="false" outlineLevel="0" collapsed="false">
      <c r="A258" s="72" t="s">
        <v>128</v>
      </c>
      <c r="B258" s="76" t="str">
        <f aca="false">IF(ISNUMBER(週次_媒体別CP!G40),週次_媒体別CP!G40,"")</f>
        <v/>
      </c>
      <c r="C258" s="76" t="str">
        <f aca="false">IF(ISNUMBER(週次_媒体別CP!G96),週次_媒体別CP!G96,"")</f>
        <v/>
      </c>
      <c r="D258" s="76" t="str">
        <f aca="false">IF(ISNUMBER(週次_媒体別CP!G152),週次_媒体別CP!G152,"")</f>
        <v/>
      </c>
      <c r="E258" s="76" t="str">
        <f aca="false">IF(ISNUMBER(週次_媒体別CP!G208),週次_媒体別CP!G208,"")</f>
        <v/>
      </c>
      <c r="F258" s="76" t="str">
        <f aca="false">IF(ISNUMBER(週次_媒体別CP!G264),週次_媒体別CP!G264,"")</f>
        <v/>
      </c>
      <c r="G258" s="76" t="str">
        <f aca="false">IF(ISNUMBER(週次_媒体別CP!G320),週次_媒体別CP!G320,"")</f>
        <v/>
      </c>
      <c r="H258" s="76" t="str">
        <f aca="false">IF(ISNUMBER(週次_媒体別CP!G376),週次_媒体別CP!G376,"")</f>
        <v/>
      </c>
    </row>
    <row r="259" customFormat="false" ht="15" hidden="false" customHeight="false" outlineLevel="0" collapsed="false">
      <c r="A259" s="72" t="s">
        <v>130</v>
      </c>
      <c r="B259" s="76" t="str">
        <f aca="false">IF(ISNUMBER(週次_媒体別CP!G41),週次_媒体別CP!G41,"")</f>
        <v/>
      </c>
      <c r="C259" s="76" t="str">
        <f aca="false">IF(ISNUMBER(週次_媒体別CP!G97),週次_媒体別CP!G97,"")</f>
        <v/>
      </c>
      <c r="D259" s="76" t="str">
        <f aca="false">IF(ISNUMBER(週次_媒体別CP!G153),週次_媒体別CP!G153,"")</f>
        <v/>
      </c>
      <c r="E259" s="76" t="str">
        <f aca="false">IF(ISNUMBER(週次_媒体別CP!G209),週次_媒体別CP!G209,"")</f>
        <v/>
      </c>
      <c r="F259" s="76" t="str">
        <f aca="false">IF(ISNUMBER(週次_媒体別CP!G265),週次_媒体別CP!G265,"")</f>
        <v/>
      </c>
      <c r="G259" s="76" t="str">
        <f aca="false">IF(ISNUMBER(週次_媒体別CP!G321),週次_媒体別CP!G321,"")</f>
        <v/>
      </c>
      <c r="H259" s="76" t="str">
        <f aca="false">IF(ISNUMBER(週次_媒体別CP!G377),週次_媒体別CP!G377,"")</f>
        <v/>
      </c>
    </row>
    <row r="260" customFormat="false" ht="15" hidden="false" customHeight="false" outlineLevel="0" collapsed="false">
      <c r="A260" s="72" t="s">
        <v>132</v>
      </c>
      <c r="B260" s="76" t="str">
        <f aca="false">IF(ISNUMBER(週次_媒体別CP!G42),週次_媒体別CP!G42,"")</f>
        <v/>
      </c>
      <c r="C260" s="76" t="str">
        <f aca="false">IF(ISNUMBER(週次_媒体別CP!G98),週次_媒体別CP!G98,"")</f>
        <v/>
      </c>
      <c r="D260" s="76" t="str">
        <f aca="false">IF(ISNUMBER(週次_媒体別CP!G154),週次_媒体別CP!G154,"")</f>
        <v/>
      </c>
      <c r="E260" s="76" t="str">
        <f aca="false">IF(ISNUMBER(週次_媒体別CP!G210),週次_媒体別CP!G210,"")</f>
        <v/>
      </c>
      <c r="F260" s="76" t="str">
        <f aca="false">IF(ISNUMBER(週次_媒体別CP!G266),週次_媒体別CP!G266,"")</f>
        <v/>
      </c>
      <c r="G260" s="76" t="str">
        <f aca="false">IF(ISNUMBER(週次_媒体別CP!G322),週次_媒体別CP!G322,"")</f>
        <v/>
      </c>
      <c r="H260" s="76" t="str">
        <f aca="false">IF(ISNUMBER(週次_媒体別CP!G378),週次_媒体別CP!G378,"")</f>
        <v/>
      </c>
    </row>
    <row r="261" customFormat="false" ht="15" hidden="false" customHeight="false" outlineLevel="0" collapsed="false">
      <c r="A261" s="72" t="s">
        <v>134</v>
      </c>
      <c r="B261" s="76" t="str">
        <f aca="false">IF(ISNUMBER(週次_媒体別CP!G43),週次_媒体別CP!G43,"")</f>
        <v/>
      </c>
      <c r="C261" s="76" t="str">
        <f aca="false">IF(ISNUMBER(週次_媒体別CP!G99),週次_媒体別CP!G99,"")</f>
        <v/>
      </c>
      <c r="D261" s="76" t="str">
        <f aca="false">IF(ISNUMBER(週次_媒体別CP!G155),週次_媒体別CP!G155,"")</f>
        <v/>
      </c>
      <c r="E261" s="76" t="str">
        <f aca="false">IF(ISNUMBER(週次_媒体別CP!G211),週次_媒体別CP!G211,"")</f>
        <v/>
      </c>
      <c r="F261" s="76" t="str">
        <f aca="false">IF(ISNUMBER(週次_媒体別CP!G267),週次_媒体別CP!G267,"")</f>
        <v/>
      </c>
      <c r="G261" s="76" t="str">
        <f aca="false">IF(ISNUMBER(週次_媒体別CP!G323),週次_媒体別CP!G323,"")</f>
        <v/>
      </c>
      <c r="H261" s="76" t="str">
        <f aca="false">IF(ISNUMBER(週次_媒体別CP!G379),週次_媒体別CP!G379,"")</f>
        <v/>
      </c>
    </row>
    <row r="262" customFormat="false" ht="15" hidden="false" customHeight="false" outlineLevel="0" collapsed="false">
      <c r="A262" s="72" t="s">
        <v>136</v>
      </c>
      <c r="B262" s="76" t="str">
        <f aca="false">IF(ISNUMBER(週次_媒体別CP!G44),週次_媒体別CP!G44,"")</f>
        <v/>
      </c>
      <c r="C262" s="76" t="str">
        <f aca="false">IF(ISNUMBER(週次_媒体別CP!G100),週次_媒体別CP!G100,"")</f>
        <v/>
      </c>
      <c r="D262" s="76" t="str">
        <f aca="false">IF(ISNUMBER(週次_媒体別CP!G156),週次_媒体別CP!G156,"")</f>
        <v/>
      </c>
      <c r="E262" s="76" t="str">
        <f aca="false">IF(ISNUMBER(週次_媒体別CP!G212),週次_媒体別CP!G212,"")</f>
        <v/>
      </c>
      <c r="F262" s="76" t="str">
        <f aca="false">IF(ISNUMBER(週次_媒体別CP!G268),週次_媒体別CP!G268,"")</f>
        <v/>
      </c>
      <c r="G262" s="76" t="str">
        <f aca="false">IF(ISNUMBER(週次_媒体別CP!G324),週次_媒体別CP!G324,"")</f>
        <v/>
      </c>
      <c r="H262" s="76" t="str">
        <f aca="false">IF(ISNUMBER(週次_媒体別CP!G380),週次_媒体別CP!G380,"")</f>
        <v/>
      </c>
    </row>
    <row r="263" customFormat="false" ht="15" hidden="false" customHeight="false" outlineLevel="0" collapsed="false">
      <c r="A263" s="72" t="s">
        <v>138</v>
      </c>
      <c r="B263" s="76" t="str">
        <f aca="false">IF(ISNUMBER(週次_媒体別CP!G45),週次_媒体別CP!G45,"")</f>
        <v/>
      </c>
      <c r="C263" s="76" t="str">
        <f aca="false">IF(ISNUMBER(週次_媒体別CP!G101),週次_媒体別CP!G101,"")</f>
        <v/>
      </c>
      <c r="D263" s="76" t="str">
        <f aca="false">IF(ISNUMBER(週次_媒体別CP!G157),週次_媒体別CP!G157,"")</f>
        <v/>
      </c>
      <c r="E263" s="76" t="str">
        <f aca="false">IF(ISNUMBER(週次_媒体別CP!G213),週次_媒体別CP!G213,"")</f>
        <v/>
      </c>
      <c r="F263" s="76" t="str">
        <f aca="false">IF(ISNUMBER(週次_媒体別CP!G269),週次_媒体別CP!G269,"")</f>
        <v/>
      </c>
      <c r="G263" s="76" t="str">
        <f aca="false">IF(ISNUMBER(週次_媒体別CP!G325),週次_媒体別CP!G325,"")</f>
        <v/>
      </c>
      <c r="H263" s="76" t="str">
        <f aca="false">IF(ISNUMBER(週次_媒体別CP!G381),週次_媒体別CP!G381,"")</f>
        <v/>
      </c>
    </row>
    <row r="264" customFormat="false" ht="15" hidden="false" customHeight="false" outlineLevel="0" collapsed="false">
      <c r="A264" s="72" t="s">
        <v>140</v>
      </c>
      <c r="B264" s="76" t="str">
        <f aca="false">IF(ISNUMBER(週次_媒体別CP!G46),週次_媒体別CP!G46,"")</f>
        <v/>
      </c>
      <c r="C264" s="76" t="str">
        <f aca="false">IF(ISNUMBER(週次_媒体別CP!G102),週次_媒体別CP!G102,"")</f>
        <v/>
      </c>
      <c r="D264" s="76" t="str">
        <f aca="false">IF(ISNUMBER(週次_媒体別CP!G158),週次_媒体別CP!G158,"")</f>
        <v/>
      </c>
      <c r="E264" s="76" t="str">
        <f aca="false">IF(ISNUMBER(週次_媒体別CP!G214),週次_媒体別CP!G214,"")</f>
        <v/>
      </c>
      <c r="F264" s="76" t="str">
        <f aca="false">IF(ISNUMBER(週次_媒体別CP!G270),週次_媒体別CP!G270,"")</f>
        <v/>
      </c>
      <c r="G264" s="76" t="str">
        <f aca="false">IF(ISNUMBER(週次_媒体別CP!G326),週次_媒体別CP!G326,"")</f>
        <v/>
      </c>
      <c r="H264" s="76" t="str">
        <f aca="false">IF(ISNUMBER(週次_媒体別CP!G382),週次_媒体別CP!G382,"")</f>
        <v/>
      </c>
    </row>
    <row r="265" customFormat="false" ht="15" hidden="false" customHeight="false" outlineLevel="0" collapsed="false">
      <c r="A265" s="72" t="s">
        <v>142</v>
      </c>
      <c r="B265" s="76" t="str">
        <f aca="false">IF(ISNUMBER(週次_媒体別CP!G47),週次_媒体別CP!G47,"")</f>
        <v/>
      </c>
      <c r="C265" s="76" t="str">
        <f aca="false">IF(ISNUMBER(週次_媒体別CP!G103),週次_媒体別CP!G103,"")</f>
        <v/>
      </c>
      <c r="D265" s="76" t="str">
        <f aca="false">IF(ISNUMBER(週次_媒体別CP!G159),週次_媒体別CP!G159,"")</f>
        <v/>
      </c>
      <c r="E265" s="76" t="str">
        <f aca="false">IF(ISNUMBER(週次_媒体別CP!G215),週次_媒体別CP!G215,"")</f>
        <v/>
      </c>
      <c r="F265" s="76" t="str">
        <f aca="false">IF(ISNUMBER(週次_媒体別CP!G271),週次_媒体別CP!G271,"")</f>
        <v/>
      </c>
      <c r="G265" s="76" t="str">
        <f aca="false">IF(ISNUMBER(週次_媒体別CP!G327),週次_媒体別CP!G327,"")</f>
        <v/>
      </c>
      <c r="H265" s="76" t="str">
        <f aca="false">IF(ISNUMBER(週次_媒体別CP!G383),週次_媒体別CP!G383,"")</f>
        <v/>
      </c>
    </row>
    <row r="266" customFormat="false" ht="15" hidden="false" customHeight="false" outlineLevel="0" collapsed="false">
      <c r="A266" s="72" t="s">
        <v>144</v>
      </c>
      <c r="B266" s="76" t="str">
        <f aca="false">IF(ISNUMBER(週次_媒体別CP!G48),週次_媒体別CP!G48,"")</f>
        <v/>
      </c>
      <c r="C266" s="76" t="str">
        <f aca="false">IF(ISNUMBER(週次_媒体別CP!G104),週次_媒体別CP!G104,"")</f>
        <v/>
      </c>
      <c r="D266" s="76" t="str">
        <f aca="false">IF(ISNUMBER(週次_媒体別CP!G160),週次_媒体別CP!G160,"")</f>
        <v/>
      </c>
      <c r="E266" s="76" t="str">
        <f aca="false">IF(ISNUMBER(週次_媒体別CP!G216),週次_媒体別CP!G216,"")</f>
        <v/>
      </c>
      <c r="F266" s="76" t="str">
        <f aca="false">IF(ISNUMBER(週次_媒体別CP!G272),週次_媒体別CP!G272,"")</f>
        <v/>
      </c>
      <c r="G266" s="76" t="str">
        <f aca="false">IF(ISNUMBER(週次_媒体別CP!G328),週次_媒体別CP!G328,"")</f>
        <v/>
      </c>
      <c r="H266" s="76" t="str">
        <f aca="false">IF(ISNUMBER(週次_媒体別CP!G384),週次_媒体別CP!G384,"")</f>
        <v/>
      </c>
    </row>
    <row r="267" customFormat="false" ht="15" hidden="false" customHeight="false" outlineLevel="0" collapsed="false">
      <c r="A267" s="72" t="s">
        <v>146</v>
      </c>
      <c r="B267" s="76" t="str">
        <f aca="false">IF(ISNUMBER(週次_媒体別CP!G49),週次_媒体別CP!G49,"")</f>
        <v/>
      </c>
      <c r="C267" s="76" t="str">
        <f aca="false">IF(ISNUMBER(週次_媒体別CP!G105),週次_媒体別CP!G105,"")</f>
        <v/>
      </c>
      <c r="D267" s="76" t="str">
        <f aca="false">IF(ISNUMBER(週次_媒体別CP!G161),週次_媒体別CP!G161,"")</f>
        <v/>
      </c>
      <c r="E267" s="76" t="str">
        <f aca="false">IF(ISNUMBER(週次_媒体別CP!G217),週次_媒体別CP!G217,"")</f>
        <v/>
      </c>
      <c r="F267" s="76" t="str">
        <f aca="false">IF(ISNUMBER(週次_媒体別CP!G273),週次_媒体別CP!G273,"")</f>
        <v/>
      </c>
      <c r="G267" s="76" t="str">
        <f aca="false">IF(ISNUMBER(週次_媒体別CP!G329),週次_媒体別CP!G329,"")</f>
        <v/>
      </c>
      <c r="H267" s="76" t="str">
        <f aca="false">IF(ISNUMBER(週次_媒体別CP!G385),週次_媒体別CP!G385,"")</f>
        <v/>
      </c>
    </row>
    <row r="268" customFormat="false" ht="15" hidden="false" customHeight="false" outlineLevel="0" collapsed="false">
      <c r="A268" s="72" t="s">
        <v>148</v>
      </c>
      <c r="B268" s="76" t="str">
        <f aca="false">IF(ISNUMBER(週次_媒体別CP!G50),週次_媒体別CP!G50,"")</f>
        <v/>
      </c>
      <c r="C268" s="76" t="str">
        <f aca="false">IF(ISNUMBER(週次_媒体別CP!G106),週次_媒体別CP!G106,"")</f>
        <v/>
      </c>
      <c r="D268" s="76" t="str">
        <f aca="false">IF(ISNUMBER(週次_媒体別CP!G162),週次_媒体別CP!G162,"")</f>
        <v/>
      </c>
      <c r="E268" s="76" t="str">
        <f aca="false">IF(ISNUMBER(週次_媒体別CP!G218),週次_媒体別CP!G218,"")</f>
        <v/>
      </c>
      <c r="F268" s="76" t="str">
        <f aca="false">IF(ISNUMBER(週次_媒体別CP!G274),週次_媒体別CP!G274,"")</f>
        <v/>
      </c>
      <c r="G268" s="76" t="str">
        <f aca="false">IF(ISNUMBER(週次_媒体別CP!G330),週次_媒体別CP!G330,"")</f>
        <v/>
      </c>
      <c r="H268" s="76" t="str">
        <f aca="false">IF(ISNUMBER(週次_媒体別CP!G386),週次_媒体別CP!G386,"")</f>
        <v/>
      </c>
    </row>
    <row r="269" customFormat="false" ht="15" hidden="false" customHeight="false" outlineLevel="0" collapsed="false">
      <c r="A269" s="72" t="s">
        <v>150</v>
      </c>
      <c r="B269" s="76" t="str">
        <f aca="false">IF(ISNUMBER(週次_媒体別CP!G51),週次_媒体別CP!G51,"")</f>
        <v/>
      </c>
      <c r="C269" s="76" t="str">
        <f aca="false">IF(ISNUMBER(週次_媒体別CP!G107),週次_媒体別CP!G107,"")</f>
        <v/>
      </c>
      <c r="D269" s="76" t="str">
        <f aca="false">IF(ISNUMBER(週次_媒体別CP!G163),週次_媒体別CP!G163,"")</f>
        <v/>
      </c>
      <c r="E269" s="76" t="str">
        <f aca="false">IF(ISNUMBER(週次_媒体別CP!G219),週次_媒体別CP!G219,"")</f>
        <v/>
      </c>
      <c r="F269" s="76" t="str">
        <f aca="false">IF(ISNUMBER(週次_媒体別CP!G275),週次_媒体別CP!G275,"")</f>
        <v/>
      </c>
      <c r="G269" s="76" t="str">
        <f aca="false">IF(ISNUMBER(週次_媒体別CP!G331),週次_媒体別CP!G331,"")</f>
        <v/>
      </c>
      <c r="H269" s="76" t="str">
        <f aca="false">IF(ISNUMBER(週次_媒体別CP!G387),週次_媒体別CP!G387,"")</f>
        <v/>
      </c>
    </row>
    <row r="270" customFormat="false" ht="15" hidden="false" customHeight="false" outlineLevel="0" collapsed="false">
      <c r="A270" s="72" t="s">
        <v>152</v>
      </c>
      <c r="B270" s="76" t="str">
        <f aca="false">IF(ISNUMBER(週次_媒体別CP!G52),週次_媒体別CP!G52,"")</f>
        <v/>
      </c>
      <c r="C270" s="76" t="str">
        <f aca="false">IF(ISNUMBER(週次_媒体別CP!G108),週次_媒体別CP!G108,"")</f>
        <v/>
      </c>
      <c r="D270" s="76" t="str">
        <f aca="false">IF(ISNUMBER(週次_媒体別CP!G164),週次_媒体別CP!G164,"")</f>
        <v/>
      </c>
      <c r="E270" s="76" t="str">
        <f aca="false">IF(ISNUMBER(週次_媒体別CP!G220),週次_媒体別CP!G220,"")</f>
        <v/>
      </c>
      <c r="F270" s="76" t="str">
        <f aca="false">IF(ISNUMBER(週次_媒体別CP!G276),週次_媒体別CP!G276,"")</f>
        <v/>
      </c>
      <c r="G270" s="76" t="str">
        <f aca="false">IF(ISNUMBER(週次_媒体別CP!G332),週次_媒体別CP!G332,"")</f>
        <v/>
      </c>
      <c r="H270" s="76" t="str">
        <f aca="false">IF(ISNUMBER(週次_媒体別CP!G388),週次_媒体別CP!G388,"")</f>
        <v/>
      </c>
    </row>
    <row r="271" customFormat="false" ht="15" hidden="false" customHeight="false" outlineLevel="0" collapsed="false">
      <c r="A271" s="72" t="s">
        <v>154</v>
      </c>
      <c r="B271" s="76" t="str">
        <f aca="false">IF(ISNUMBER(週次_媒体別CP!G53),週次_媒体別CP!G53,"")</f>
        <v/>
      </c>
      <c r="C271" s="76" t="str">
        <f aca="false">IF(ISNUMBER(週次_媒体別CP!G109),週次_媒体別CP!G109,"")</f>
        <v/>
      </c>
      <c r="D271" s="76" t="str">
        <f aca="false">IF(ISNUMBER(週次_媒体別CP!G165),週次_媒体別CP!G165,"")</f>
        <v/>
      </c>
      <c r="E271" s="76" t="str">
        <f aca="false">IF(ISNUMBER(週次_媒体別CP!G221),週次_媒体別CP!G221,"")</f>
        <v/>
      </c>
      <c r="F271" s="76" t="str">
        <f aca="false">IF(ISNUMBER(週次_媒体別CP!G277),週次_媒体別CP!G277,"")</f>
        <v/>
      </c>
      <c r="G271" s="76" t="str">
        <f aca="false">IF(ISNUMBER(週次_媒体別CP!G333),週次_媒体別CP!G333,"")</f>
        <v/>
      </c>
      <c r="H271" s="76" t="str">
        <f aca="false">IF(ISNUMBER(週次_媒体別CP!G389),週次_媒体別CP!G389,"")</f>
        <v/>
      </c>
    </row>
    <row r="272" customFormat="false" ht="15" hidden="false" customHeight="false" outlineLevel="0" collapsed="false">
      <c r="A272" s="72" t="s">
        <v>156</v>
      </c>
      <c r="B272" s="76" t="str">
        <f aca="false">IF(ISNUMBER(週次_媒体別CP!G54),週次_媒体別CP!G54,"")</f>
        <v/>
      </c>
      <c r="C272" s="76" t="str">
        <f aca="false">IF(ISNUMBER(週次_媒体別CP!G110),週次_媒体別CP!G110,"")</f>
        <v/>
      </c>
      <c r="D272" s="76" t="str">
        <f aca="false">IF(ISNUMBER(週次_媒体別CP!G166),週次_媒体別CP!G166,"")</f>
        <v/>
      </c>
      <c r="E272" s="76" t="str">
        <f aca="false">IF(ISNUMBER(週次_媒体別CP!G222),週次_媒体別CP!G222,"")</f>
        <v/>
      </c>
      <c r="F272" s="76" t="str">
        <f aca="false">IF(ISNUMBER(週次_媒体別CP!G278),週次_媒体別CP!G278,"")</f>
        <v/>
      </c>
      <c r="G272" s="76" t="str">
        <f aca="false">IF(ISNUMBER(週次_媒体別CP!G334),週次_媒体別CP!G334,"")</f>
        <v/>
      </c>
      <c r="H272" s="76" t="str">
        <f aca="false">IF(ISNUMBER(週次_媒体別CP!G390),週次_媒体別CP!G390,"")</f>
        <v/>
      </c>
    </row>
    <row r="273" customFormat="false" ht="15" hidden="false" customHeight="false" outlineLevel="0" collapsed="false">
      <c r="A273" s="72" t="s">
        <v>158</v>
      </c>
      <c r="B273" s="76" t="str">
        <f aca="false">IF(ISNUMBER(週次_媒体別CP!G55),週次_媒体別CP!G55,"")</f>
        <v/>
      </c>
      <c r="C273" s="76" t="str">
        <f aca="false">IF(ISNUMBER(週次_媒体別CP!G111),週次_媒体別CP!G111,"")</f>
        <v/>
      </c>
      <c r="D273" s="76" t="str">
        <f aca="false">IF(ISNUMBER(週次_媒体別CP!G167),週次_媒体別CP!G167,"")</f>
        <v/>
      </c>
      <c r="E273" s="76" t="str">
        <f aca="false">IF(ISNUMBER(週次_媒体別CP!G223),週次_媒体別CP!G223,"")</f>
        <v/>
      </c>
      <c r="F273" s="76" t="str">
        <f aca="false">IF(ISNUMBER(週次_媒体別CP!G279),週次_媒体別CP!G279,"")</f>
        <v/>
      </c>
      <c r="G273" s="76" t="str">
        <f aca="false">IF(ISNUMBER(週次_媒体別CP!G335),週次_媒体別CP!G335,"")</f>
        <v/>
      </c>
      <c r="H273" s="76" t="str">
        <f aca="false">IF(ISNUMBER(週次_媒体別CP!G391),週次_媒体別CP!G391,"")</f>
        <v/>
      </c>
    </row>
    <row r="274" customFormat="false" ht="15" hidden="false" customHeight="false" outlineLevel="0" collapsed="false">
      <c r="A274" s="72" t="s">
        <v>160</v>
      </c>
      <c r="B274" s="76" t="str">
        <f aca="false">IF(ISNUMBER(週次_媒体別CP!G56),週次_媒体別CP!G56,"")</f>
        <v/>
      </c>
      <c r="C274" s="76" t="str">
        <f aca="false">IF(ISNUMBER(週次_媒体別CP!G112),週次_媒体別CP!G112,"")</f>
        <v/>
      </c>
      <c r="D274" s="76" t="str">
        <f aca="false">IF(ISNUMBER(週次_媒体別CP!G168),週次_媒体別CP!G168,"")</f>
        <v/>
      </c>
      <c r="E274" s="76" t="str">
        <f aca="false">IF(ISNUMBER(週次_媒体別CP!G224),週次_媒体別CP!G224,"")</f>
        <v/>
      </c>
      <c r="F274" s="76" t="str">
        <f aca="false">IF(ISNUMBER(週次_媒体別CP!G280),週次_媒体別CP!G280,"")</f>
        <v/>
      </c>
      <c r="G274" s="76" t="str">
        <f aca="false">IF(ISNUMBER(週次_媒体別CP!G336),週次_媒体別CP!G336,"")</f>
        <v/>
      </c>
      <c r="H274" s="76" t="str">
        <f aca="false">IF(ISNUMBER(週次_媒体別CP!G392),週次_媒体別CP!G392,"")</f>
        <v/>
      </c>
    </row>
    <row r="275" customFormat="false" ht="15" hidden="false" customHeight="false" outlineLevel="0" collapsed="false">
      <c r="A275" s="72" t="s">
        <v>162</v>
      </c>
      <c r="B275" s="76" t="str">
        <f aca="false">IF(ISNUMBER(週次_媒体別CP!G57),週次_媒体別CP!G57,"")</f>
        <v/>
      </c>
      <c r="C275" s="76" t="str">
        <f aca="false">IF(ISNUMBER(週次_媒体別CP!G113),週次_媒体別CP!G113,"")</f>
        <v/>
      </c>
      <c r="D275" s="76" t="str">
        <f aca="false">IF(ISNUMBER(週次_媒体別CP!G169),週次_媒体別CP!G169,"")</f>
        <v/>
      </c>
      <c r="E275" s="76" t="str">
        <f aca="false">IF(ISNUMBER(週次_媒体別CP!G225),週次_媒体別CP!G225,"")</f>
        <v/>
      </c>
      <c r="F275" s="76" t="str">
        <f aca="false">IF(ISNUMBER(週次_媒体別CP!G281),週次_媒体別CP!G281,"")</f>
        <v/>
      </c>
      <c r="G275" s="76" t="str">
        <f aca="false">IF(ISNUMBER(週次_媒体別CP!G337),週次_媒体別CP!G337,"")</f>
        <v/>
      </c>
      <c r="H275" s="76" t="str">
        <f aca="false">IF(ISNUMBER(週次_媒体別CP!G393),週次_媒体別CP!G393,"")</f>
        <v/>
      </c>
    </row>
    <row r="277" customFormat="false" ht="15" hidden="false" customHeight="false" outlineLevel="0" collapsed="false">
      <c r="A277" s="74" t="s">
        <v>51</v>
      </c>
    </row>
    <row r="278" customFormat="false" ht="37.3" hidden="false" customHeight="false" outlineLevel="0" collapsed="false">
      <c r="A278" s="70" t="s">
        <v>48</v>
      </c>
      <c r="B278" s="71" t="s">
        <v>243</v>
      </c>
      <c r="C278" s="71" t="s">
        <v>244</v>
      </c>
      <c r="D278" s="71" t="s">
        <v>245</v>
      </c>
      <c r="E278" s="71" t="s">
        <v>246</v>
      </c>
      <c r="F278" s="71" t="s">
        <v>247</v>
      </c>
      <c r="G278" s="71" t="s">
        <v>248</v>
      </c>
      <c r="H278" s="71" t="s">
        <v>249</v>
      </c>
    </row>
    <row r="279" customFormat="false" ht="15" hidden="false" customHeight="false" outlineLevel="0" collapsed="false">
      <c r="A279" s="72" t="s">
        <v>59</v>
      </c>
      <c r="B279" s="73" t="n">
        <f aca="false">IF(ISNUMBER(週次_媒体別CP!H6),週次_媒体別CP!H6,"")</f>
        <v>143.544117647059</v>
      </c>
      <c r="C279" s="73" t="n">
        <f aca="false">IF(ISNUMBER(週次_媒体別CP!H62),週次_媒体別CP!H62,"")</f>
        <v>10.8561814040174</v>
      </c>
      <c r="D279" s="73" t="str">
        <f aca="false">IF(ISNUMBER(週次_媒体別CP!H118),週次_媒体別CP!H118,"")</f>
        <v/>
      </c>
      <c r="E279" s="73" t="n">
        <f aca="false">IF(ISNUMBER(週次_媒体別CP!H174),週次_媒体別CP!H174,"")</f>
        <v>54.2289156626506</v>
      </c>
      <c r="F279" s="73" t="n">
        <f aca="false">IF(ISNUMBER(週次_媒体別CP!H230),週次_媒体別CP!H230,"")</f>
        <v>36.4</v>
      </c>
      <c r="G279" s="73" t="n">
        <f aca="false">IF(ISNUMBER(週次_媒体別CP!H286),週次_媒体別CP!H286,"")</f>
        <v>1.10537381212682</v>
      </c>
      <c r="H279" s="73" t="n">
        <f aca="false">IF(ISNUMBER(週次_媒体別CP!H342),週次_媒体別CP!H342,"")</f>
        <v>1.11166104876904</v>
      </c>
    </row>
    <row r="280" customFormat="false" ht="15" hidden="false" customHeight="false" outlineLevel="0" collapsed="false">
      <c r="A280" s="72" t="s">
        <v>61</v>
      </c>
      <c r="B280" s="73" t="n">
        <f aca="false">IF(ISNUMBER(週次_媒体別CP!H7),週次_媒体別CP!H7,"")</f>
        <v>160.17803030303</v>
      </c>
      <c r="C280" s="73" t="n">
        <f aca="false">IF(ISNUMBER(週次_媒体別CP!H63),週次_媒体別CP!H63,"")</f>
        <v>81.6880570409982</v>
      </c>
      <c r="D280" s="73" t="str">
        <f aca="false">IF(ISNUMBER(週次_媒体別CP!H119),週次_媒体別CP!H119,"")</f>
        <v/>
      </c>
      <c r="E280" s="73" t="n">
        <f aca="false">IF(ISNUMBER(週次_媒体別CP!H175),週次_媒体別CP!H175,"")</f>
        <v>91.4237288135593</v>
      </c>
      <c r="F280" s="73" t="n">
        <f aca="false">IF(ISNUMBER(週次_媒体別CP!H231),週次_媒体別CP!H231,"")</f>
        <v>65.3870967741936</v>
      </c>
      <c r="G280" s="73" t="n">
        <f aca="false">IF(ISNUMBER(週次_媒体別CP!H287),週次_媒体別CP!H287,"")</f>
        <v>0.891606080634501</v>
      </c>
      <c r="H280" s="73" t="n">
        <f aca="false">IF(ISNUMBER(週次_媒体別CP!H343),週次_媒体別CP!H343,"")</f>
        <v>1.43893303639216</v>
      </c>
    </row>
    <row r="281" customFormat="false" ht="15" hidden="false" customHeight="false" outlineLevel="0" collapsed="false">
      <c r="A281" s="72" t="s">
        <v>63</v>
      </c>
      <c r="B281" s="73" t="n">
        <f aca="false">IF(ISNUMBER(週次_媒体別CP!H8),週次_媒体別CP!H8,"")</f>
        <v>168.112798264642</v>
      </c>
      <c r="C281" s="73" t="n">
        <f aca="false">IF(ISNUMBER(週次_媒体別CP!H64),週次_媒体別CP!H64,"")</f>
        <v>90.9254658385093</v>
      </c>
      <c r="D281" s="73" t="str">
        <f aca="false">IF(ISNUMBER(週次_媒体別CP!H120),週次_媒体別CP!H120,"")</f>
        <v/>
      </c>
      <c r="E281" s="73" t="n">
        <f aca="false">IF(ISNUMBER(週次_媒体別CP!H176),週次_媒体別CP!H176,"")</f>
        <v>441.958333333333</v>
      </c>
      <c r="F281" s="73" t="n">
        <f aca="false">IF(ISNUMBER(週次_媒体別CP!H232),週次_媒体別CP!H232,"")</f>
        <v>59.3198380566802</v>
      </c>
      <c r="G281" s="73" t="n">
        <f aca="false">IF(ISNUMBER(週次_媒体別CP!H288),週次_媒体別CP!H288,"")</f>
        <v>1.40088383838384</v>
      </c>
      <c r="H281" s="73" t="n">
        <f aca="false">IF(ISNUMBER(週次_媒体別CP!H344),週次_媒体別CP!H344,"")</f>
        <v>1.35792043951572</v>
      </c>
    </row>
    <row r="282" customFormat="false" ht="15" hidden="false" customHeight="false" outlineLevel="0" collapsed="false">
      <c r="A282" s="72" t="s">
        <v>65</v>
      </c>
      <c r="B282" s="73" t="str">
        <f aca="false">IF(ISNUMBER(週次_媒体別CP!H9),週次_媒体別CP!H9,"")</f>
        <v/>
      </c>
      <c r="C282" s="73" t="n">
        <f aca="false">IF(ISNUMBER(週次_媒体別CP!H65),週次_媒体別CP!H65,"")</f>
        <v>128.391304347826</v>
      </c>
      <c r="D282" s="73" t="str">
        <f aca="false">IF(ISNUMBER(週次_媒体別CP!H121),週次_媒体別CP!H121,"")</f>
        <v/>
      </c>
      <c r="E282" s="73" t="str">
        <f aca="false">IF(ISNUMBER(週次_媒体別CP!H177),週次_媒体別CP!H177,"")</f>
        <v/>
      </c>
      <c r="F282" s="73" t="n">
        <f aca="false">IF(ISNUMBER(週次_媒体別CP!H233),週次_媒体別CP!H233,"")</f>
        <v>73.7758620689655</v>
      </c>
      <c r="G282" s="73" t="str">
        <f aca="false">IF(ISNUMBER(週次_媒体別CP!H289),週次_媒体別CP!H289,"")</f>
        <v/>
      </c>
      <c r="H282" s="73" t="n">
        <f aca="false">IF(ISNUMBER(週次_媒体別CP!H345),週次_媒体別CP!H345,"")</f>
        <v>1.5439620576432</v>
      </c>
    </row>
    <row r="283" customFormat="false" ht="15" hidden="false" customHeight="false" outlineLevel="0" collapsed="false">
      <c r="A283" s="72" t="s">
        <v>68</v>
      </c>
      <c r="B283" s="73" t="str">
        <f aca="false">IF(ISNUMBER(週次_媒体別CP!H10),週次_媒体別CP!H10,"")</f>
        <v/>
      </c>
      <c r="C283" s="73" t="n">
        <f aca="false">IF(ISNUMBER(週次_媒体別CP!H66),週次_媒体別CP!H66,"")</f>
        <v>121.971164936563</v>
      </c>
      <c r="D283" s="73" t="str">
        <f aca="false">IF(ISNUMBER(週次_媒体別CP!H122),週次_媒体別CP!H122,"")</f>
        <v/>
      </c>
      <c r="E283" s="73" t="str">
        <f aca="false">IF(ISNUMBER(週次_媒体別CP!H178),週次_媒体別CP!H178,"")</f>
        <v/>
      </c>
      <c r="F283" s="73" t="n">
        <f aca="false">IF(ISNUMBER(週次_媒体別CP!H234),週次_媒体別CP!H234,"")</f>
        <v>125.15</v>
      </c>
      <c r="G283" s="73" t="str">
        <f aca="false">IF(ISNUMBER(週次_媒体別CP!H290),週次_媒体別CP!H290,"")</f>
        <v/>
      </c>
      <c r="H283" s="73" t="str">
        <f aca="false">IF(ISNUMBER(週次_媒体別CP!H346),週次_媒体別CP!H346,"")</f>
        <v/>
      </c>
    </row>
    <row r="284" customFormat="false" ht="15" hidden="false" customHeight="false" outlineLevel="0" collapsed="false">
      <c r="A284" s="72" t="s">
        <v>70</v>
      </c>
      <c r="B284" s="73" t="str">
        <f aca="false">IF(ISNUMBER(週次_媒体別CP!H11),週次_媒体別CP!H11,"")</f>
        <v/>
      </c>
      <c r="C284" s="73" t="n">
        <f aca="false">IF(ISNUMBER(週次_媒体別CP!H67),週次_媒体別CP!H67,"")</f>
        <v>131.52125</v>
      </c>
      <c r="D284" s="73" t="n">
        <f aca="false">IF(ISNUMBER(週次_媒体別CP!H123),週次_媒体別CP!H123,"")</f>
        <v>16.875</v>
      </c>
      <c r="E284" s="73" t="str">
        <f aca="false">IF(ISNUMBER(週次_媒体別CP!H179),週次_媒体別CP!H179,"")</f>
        <v/>
      </c>
      <c r="F284" s="73" t="str">
        <f aca="false">IF(ISNUMBER(週次_媒体別CP!H235),週次_媒体別CP!H235,"")</f>
        <v/>
      </c>
      <c r="G284" s="73" t="str">
        <f aca="false">IF(ISNUMBER(週次_媒体別CP!H291),週次_媒体別CP!H291,"")</f>
        <v/>
      </c>
      <c r="H284" s="73" t="str">
        <f aca="false">IF(ISNUMBER(週次_媒体別CP!H347),週次_媒体別CP!H347,"")</f>
        <v/>
      </c>
    </row>
    <row r="285" customFormat="false" ht="15" hidden="false" customHeight="false" outlineLevel="0" collapsed="false">
      <c r="A285" s="72" t="s">
        <v>72</v>
      </c>
      <c r="B285" s="73" t="str">
        <f aca="false">IF(ISNUMBER(週次_媒体別CP!H12),週次_媒体別CP!H12,"")</f>
        <v/>
      </c>
      <c r="C285" s="73" t="n">
        <f aca="false">IF(ISNUMBER(週次_媒体別CP!H68),週次_媒体別CP!H68,"")</f>
        <v>131.071960297767</v>
      </c>
      <c r="D285" s="73" t="n">
        <f aca="false">IF(ISNUMBER(週次_媒体別CP!H124),週次_媒体別CP!H124,"")</f>
        <v>73.2490272373541</v>
      </c>
      <c r="E285" s="73" t="str">
        <f aca="false">IF(ISNUMBER(週次_媒体別CP!H180),週次_媒体別CP!H180,"")</f>
        <v/>
      </c>
      <c r="F285" s="73" t="str">
        <f aca="false">IF(ISNUMBER(週次_媒体別CP!H236),週次_媒体別CP!H236,"")</f>
        <v/>
      </c>
      <c r="G285" s="73" t="str">
        <f aca="false">IF(ISNUMBER(週次_媒体別CP!H292),週次_媒体別CP!H292,"")</f>
        <v/>
      </c>
      <c r="H285" s="73" t="str">
        <f aca="false">IF(ISNUMBER(週次_媒体別CP!H348),週次_媒体別CP!H348,"")</f>
        <v/>
      </c>
    </row>
    <row r="286" customFormat="false" ht="15" hidden="false" customHeight="false" outlineLevel="0" collapsed="false">
      <c r="A286" s="72" t="s">
        <v>74</v>
      </c>
      <c r="B286" s="73" t="n">
        <f aca="false">IF(ISNUMBER(週次_媒体別CP!H13),週次_媒体別CP!H13,"")</f>
        <v>136.185501066098</v>
      </c>
      <c r="C286" s="73" t="n">
        <f aca="false">IF(ISNUMBER(週次_媒体別CP!H69),週次_媒体別CP!H69,"")</f>
        <v>164.687898089172</v>
      </c>
      <c r="D286" s="73" t="n">
        <f aca="false">IF(ISNUMBER(週次_媒体別CP!H125),週次_媒体別CP!H125,"")</f>
        <v>68.0923317683881</v>
      </c>
      <c r="E286" s="73" t="str">
        <f aca="false">IF(ISNUMBER(週次_媒体別CP!H181),週次_媒体別CP!H181,"")</f>
        <v/>
      </c>
      <c r="F286" s="73" t="str">
        <f aca="false">IF(ISNUMBER(週次_媒体別CP!H237),週次_媒体別CP!H237,"")</f>
        <v/>
      </c>
      <c r="G286" s="73" t="str">
        <f aca="false">IF(ISNUMBER(週次_媒体別CP!H293),週次_媒体別CP!H293,"")</f>
        <v/>
      </c>
      <c r="H286" s="73" t="str">
        <f aca="false">IF(ISNUMBER(週次_媒体別CP!H349),週次_媒体別CP!H349,"")</f>
        <v/>
      </c>
    </row>
    <row r="287" customFormat="false" ht="15" hidden="false" customHeight="false" outlineLevel="0" collapsed="false">
      <c r="A287" s="72" t="s">
        <v>76</v>
      </c>
      <c r="B287" s="73" t="n">
        <f aca="false">IF(ISNUMBER(週次_媒体別CP!H14),週次_媒体別CP!H14,"")</f>
        <v>159.138674884438</v>
      </c>
      <c r="C287" s="73" t="n">
        <f aca="false">IF(ISNUMBER(週次_媒体別CP!H70),週次_媒体別CP!H70,"")</f>
        <v>165.683574879227</v>
      </c>
      <c r="D287" s="73" t="n">
        <f aca="false">IF(ISNUMBER(週次_媒体別CP!H126),週次_媒体別CP!H126,"")</f>
        <v>103.613882863341</v>
      </c>
      <c r="E287" s="73" t="str">
        <f aca="false">IF(ISNUMBER(週次_媒体別CP!H182),週次_媒体別CP!H182,"")</f>
        <v/>
      </c>
      <c r="F287" s="73" t="str">
        <f aca="false">IF(ISNUMBER(週次_媒体別CP!H238),週次_媒体別CP!H238,"")</f>
        <v/>
      </c>
      <c r="G287" s="73" t="str">
        <f aca="false">IF(ISNUMBER(週次_媒体別CP!H294),週次_媒体別CP!H294,"")</f>
        <v/>
      </c>
      <c r="H287" s="73" t="str">
        <f aca="false">IF(ISNUMBER(週次_媒体別CP!H350),週次_媒体別CP!H350,"")</f>
        <v/>
      </c>
    </row>
    <row r="288" customFormat="false" ht="15" hidden="false" customHeight="false" outlineLevel="0" collapsed="false">
      <c r="A288" s="72" t="s">
        <v>78</v>
      </c>
      <c r="B288" s="73" t="n">
        <f aca="false">IF(ISNUMBER(週次_媒体別CP!H15),週次_媒体別CP!H15,"")</f>
        <v>158.262931034483</v>
      </c>
      <c r="C288" s="73" t="n">
        <f aca="false">IF(ISNUMBER(週次_媒体別CP!H71),週次_媒体別CP!H71,"")</f>
        <v>211.058064516129</v>
      </c>
      <c r="D288" s="73" t="n">
        <f aca="false">IF(ISNUMBER(週次_媒体別CP!H127),週次_媒体別CP!H127,"")</f>
        <v>87.8154506437768</v>
      </c>
      <c r="E288" s="73" t="str">
        <f aca="false">IF(ISNUMBER(週次_媒体別CP!H183),週次_媒体別CP!H183,"")</f>
        <v/>
      </c>
      <c r="F288" s="73" t="str">
        <f aca="false">IF(ISNUMBER(週次_媒体別CP!H239),週次_媒体別CP!H239,"")</f>
        <v/>
      </c>
      <c r="G288" s="73" t="str">
        <f aca="false">IF(ISNUMBER(週次_媒体別CP!H295),週次_媒体別CP!H295,"")</f>
        <v/>
      </c>
      <c r="H288" s="73" t="str">
        <f aca="false">IF(ISNUMBER(週次_媒体別CP!H351),週次_媒体別CP!H351,"")</f>
        <v/>
      </c>
    </row>
    <row r="289" customFormat="false" ht="15" hidden="false" customHeight="false" outlineLevel="0" collapsed="false">
      <c r="A289" s="72" t="s">
        <v>80</v>
      </c>
      <c r="B289" s="73" t="n">
        <f aca="false">IF(ISNUMBER(週次_媒体別CP!H16),週次_媒体別CP!H16,"")</f>
        <v>198.321041214751</v>
      </c>
      <c r="C289" s="73" t="n">
        <f aca="false">IF(ISNUMBER(週次_媒体別CP!H72),週次_媒体別CP!H72,"")</f>
        <v>132.868046571798</v>
      </c>
      <c r="D289" s="73" t="n">
        <f aca="false">IF(ISNUMBER(週次_媒体別CP!H128),週次_媒体別CP!H128,"")</f>
        <v>101.900783289817</v>
      </c>
      <c r="E289" s="73" t="str">
        <f aca="false">IF(ISNUMBER(週次_媒体別CP!H184),週次_媒体別CP!H184,"")</f>
        <v/>
      </c>
      <c r="F289" s="73" t="str">
        <f aca="false">IF(ISNUMBER(週次_媒体別CP!H240),週次_媒体別CP!H240,"")</f>
        <v/>
      </c>
      <c r="G289" s="73" t="str">
        <f aca="false">IF(ISNUMBER(週次_媒体別CP!H296),週次_媒体別CP!H296,"")</f>
        <v/>
      </c>
      <c r="H289" s="73" t="str">
        <f aca="false">IF(ISNUMBER(週次_媒体別CP!H352),週次_媒体別CP!H352,"")</f>
        <v/>
      </c>
    </row>
    <row r="290" customFormat="false" ht="15" hidden="false" customHeight="false" outlineLevel="0" collapsed="false">
      <c r="A290" s="72" t="s">
        <v>82</v>
      </c>
      <c r="B290" s="73" t="str">
        <f aca="false">IF(ISNUMBER(週次_媒体別CP!H17),週次_媒体別CP!H17,"")</f>
        <v/>
      </c>
      <c r="C290" s="73" t="str">
        <f aca="false">IF(ISNUMBER(週次_媒体別CP!H73),週次_媒体別CP!H73,"")</f>
        <v/>
      </c>
      <c r="D290" s="73" t="str">
        <f aca="false">IF(ISNUMBER(週次_媒体別CP!H129),週次_媒体別CP!H129,"")</f>
        <v/>
      </c>
      <c r="E290" s="73" t="str">
        <f aca="false">IF(ISNUMBER(週次_媒体別CP!H185),週次_媒体別CP!H185,"")</f>
        <v/>
      </c>
      <c r="F290" s="73" t="str">
        <f aca="false">IF(ISNUMBER(週次_媒体別CP!H241),週次_媒体別CP!H241,"")</f>
        <v/>
      </c>
      <c r="G290" s="73" t="str">
        <f aca="false">IF(ISNUMBER(週次_媒体別CP!H297),週次_媒体別CP!H297,"")</f>
        <v/>
      </c>
      <c r="H290" s="73" t="str">
        <f aca="false">IF(ISNUMBER(週次_媒体別CP!H353),週次_媒体別CP!H353,"")</f>
        <v/>
      </c>
    </row>
    <row r="291" customFormat="false" ht="15" hidden="false" customHeight="false" outlineLevel="0" collapsed="false">
      <c r="A291" s="72" t="s">
        <v>84</v>
      </c>
      <c r="B291" s="73" t="str">
        <f aca="false">IF(ISNUMBER(週次_媒体別CP!H18),週次_媒体別CP!H18,"")</f>
        <v/>
      </c>
      <c r="C291" s="73" t="str">
        <f aca="false">IF(ISNUMBER(週次_媒体別CP!H74),週次_媒体別CP!H74,"")</f>
        <v/>
      </c>
      <c r="D291" s="73" t="str">
        <f aca="false">IF(ISNUMBER(週次_媒体別CP!H130),週次_媒体別CP!H130,"")</f>
        <v/>
      </c>
      <c r="E291" s="73" t="str">
        <f aca="false">IF(ISNUMBER(週次_媒体別CP!H186),週次_媒体別CP!H186,"")</f>
        <v/>
      </c>
      <c r="F291" s="73" t="str">
        <f aca="false">IF(ISNUMBER(週次_媒体別CP!H242),週次_媒体別CP!H242,"")</f>
        <v/>
      </c>
      <c r="G291" s="73" t="str">
        <f aca="false">IF(ISNUMBER(週次_媒体別CP!H298),週次_媒体別CP!H298,"")</f>
        <v/>
      </c>
      <c r="H291" s="73" t="str">
        <f aca="false">IF(ISNUMBER(週次_媒体別CP!H354),週次_媒体別CP!H354,"")</f>
        <v/>
      </c>
    </row>
    <row r="292" customFormat="false" ht="15" hidden="false" customHeight="false" outlineLevel="0" collapsed="false">
      <c r="A292" s="72" t="s">
        <v>86</v>
      </c>
      <c r="B292" s="73" t="str">
        <f aca="false">IF(ISNUMBER(週次_媒体別CP!H19),週次_媒体別CP!H19,"")</f>
        <v/>
      </c>
      <c r="C292" s="73" t="str">
        <f aca="false">IF(ISNUMBER(週次_媒体別CP!H75),週次_媒体別CP!H75,"")</f>
        <v/>
      </c>
      <c r="D292" s="73" t="str">
        <f aca="false">IF(ISNUMBER(週次_媒体別CP!H131),週次_媒体別CP!H131,"")</f>
        <v/>
      </c>
      <c r="E292" s="73" t="str">
        <f aca="false">IF(ISNUMBER(週次_媒体別CP!H187),週次_媒体別CP!H187,"")</f>
        <v/>
      </c>
      <c r="F292" s="73" t="str">
        <f aca="false">IF(ISNUMBER(週次_媒体別CP!H243),週次_媒体別CP!H243,"")</f>
        <v/>
      </c>
      <c r="G292" s="73" t="str">
        <f aca="false">IF(ISNUMBER(週次_媒体別CP!H299),週次_媒体別CP!H299,"")</f>
        <v/>
      </c>
      <c r="H292" s="73" t="str">
        <f aca="false">IF(ISNUMBER(週次_媒体別CP!H355),週次_媒体別CP!H355,"")</f>
        <v/>
      </c>
    </row>
    <row r="293" customFormat="false" ht="15" hidden="false" customHeight="false" outlineLevel="0" collapsed="false">
      <c r="A293" s="72" t="s">
        <v>88</v>
      </c>
      <c r="B293" s="73" t="str">
        <f aca="false">IF(ISNUMBER(週次_媒体別CP!H20),週次_媒体別CP!H20,"")</f>
        <v/>
      </c>
      <c r="C293" s="73" t="str">
        <f aca="false">IF(ISNUMBER(週次_媒体別CP!H76),週次_媒体別CP!H76,"")</f>
        <v/>
      </c>
      <c r="D293" s="73" t="str">
        <f aca="false">IF(ISNUMBER(週次_媒体別CP!H132),週次_媒体別CP!H132,"")</f>
        <v/>
      </c>
      <c r="E293" s="73" t="str">
        <f aca="false">IF(ISNUMBER(週次_媒体別CP!H188),週次_媒体別CP!H188,"")</f>
        <v/>
      </c>
      <c r="F293" s="73" t="str">
        <f aca="false">IF(ISNUMBER(週次_媒体別CP!H244),週次_媒体別CP!H244,"")</f>
        <v/>
      </c>
      <c r="G293" s="73" t="str">
        <f aca="false">IF(ISNUMBER(週次_媒体別CP!H300),週次_媒体別CP!H300,"")</f>
        <v/>
      </c>
      <c r="H293" s="73" t="str">
        <f aca="false">IF(ISNUMBER(週次_媒体別CP!H356),週次_媒体別CP!H356,"")</f>
        <v/>
      </c>
    </row>
    <row r="294" customFormat="false" ht="15" hidden="false" customHeight="false" outlineLevel="0" collapsed="false">
      <c r="A294" s="72" t="s">
        <v>90</v>
      </c>
      <c r="B294" s="73" t="str">
        <f aca="false">IF(ISNUMBER(週次_媒体別CP!H21),週次_媒体別CP!H21,"")</f>
        <v/>
      </c>
      <c r="C294" s="73" t="str">
        <f aca="false">IF(ISNUMBER(週次_媒体別CP!H77),週次_媒体別CP!H77,"")</f>
        <v/>
      </c>
      <c r="D294" s="73" t="str">
        <f aca="false">IF(ISNUMBER(週次_媒体別CP!H133),週次_媒体別CP!H133,"")</f>
        <v/>
      </c>
      <c r="E294" s="73" t="str">
        <f aca="false">IF(ISNUMBER(週次_媒体別CP!H189),週次_媒体別CP!H189,"")</f>
        <v/>
      </c>
      <c r="F294" s="73" t="str">
        <f aca="false">IF(ISNUMBER(週次_媒体別CP!H245),週次_媒体別CP!H245,"")</f>
        <v/>
      </c>
      <c r="G294" s="73" t="str">
        <f aca="false">IF(ISNUMBER(週次_媒体別CP!H301),週次_媒体別CP!H301,"")</f>
        <v/>
      </c>
      <c r="H294" s="73" t="str">
        <f aca="false">IF(ISNUMBER(週次_媒体別CP!H357),週次_媒体別CP!H357,"")</f>
        <v/>
      </c>
    </row>
    <row r="295" customFormat="false" ht="15" hidden="false" customHeight="false" outlineLevel="0" collapsed="false">
      <c r="A295" s="72" t="s">
        <v>92</v>
      </c>
      <c r="B295" s="73" t="str">
        <f aca="false">IF(ISNUMBER(週次_媒体別CP!H22),週次_媒体別CP!H22,"")</f>
        <v/>
      </c>
      <c r="C295" s="73" t="str">
        <f aca="false">IF(ISNUMBER(週次_媒体別CP!H78),週次_媒体別CP!H78,"")</f>
        <v/>
      </c>
      <c r="D295" s="73" t="str">
        <f aca="false">IF(ISNUMBER(週次_媒体別CP!H134),週次_媒体別CP!H134,"")</f>
        <v/>
      </c>
      <c r="E295" s="73" t="str">
        <f aca="false">IF(ISNUMBER(週次_媒体別CP!H190),週次_媒体別CP!H190,"")</f>
        <v/>
      </c>
      <c r="F295" s="73" t="str">
        <f aca="false">IF(ISNUMBER(週次_媒体別CP!H246),週次_媒体別CP!H246,"")</f>
        <v/>
      </c>
      <c r="G295" s="73" t="str">
        <f aca="false">IF(ISNUMBER(週次_媒体別CP!H302),週次_媒体別CP!H302,"")</f>
        <v/>
      </c>
      <c r="H295" s="73" t="str">
        <f aca="false">IF(ISNUMBER(週次_媒体別CP!H358),週次_媒体別CP!H358,"")</f>
        <v/>
      </c>
    </row>
    <row r="296" customFormat="false" ht="15" hidden="false" customHeight="false" outlineLevel="0" collapsed="false">
      <c r="A296" s="72" t="s">
        <v>94</v>
      </c>
      <c r="B296" s="73" t="str">
        <f aca="false">IF(ISNUMBER(週次_媒体別CP!H23),週次_媒体別CP!H23,"")</f>
        <v/>
      </c>
      <c r="C296" s="73" t="str">
        <f aca="false">IF(ISNUMBER(週次_媒体別CP!H79),週次_媒体別CP!H79,"")</f>
        <v/>
      </c>
      <c r="D296" s="73" t="str">
        <f aca="false">IF(ISNUMBER(週次_媒体別CP!H135),週次_媒体別CP!H135,"")</f>
        <v/>
      </c>
      <c r="E296" s="73" t="str">
        <f aca="false">IF(ISNUMBER(週次_媒体別CP!H191),週次_媒体別CP!H191,"")</f>
        <v/>
      </c>
      <c r="F296" s="73" t="str">
        <f aca="false">IF(ISNUMBER(週次_媒体別CP!H247),週次_媒体別CP!H247,"")</f>
        <v/>
      </c>
      <c r="G296" s="73" t="str">
        <f aca="false">IF(ISNUMBER(週次_媒体別CP!H303),週次_媒体別CP!H303,"")</f>
        <v/>
      </c>
      <c r="H296" s="73" t="str">
        <f aca="false">IF(ISNUMBER(週次_媒体別CP!H359),週次_媒体別CP!H359,"")</f>
        <v/>
      </c>
    </row>
    <row r="297" customFormat="false" ht="15" hidden="false" customHeight="false" outlineLevel="0" collapsed="false">
      <c r="A297" s="72" t="s">
        <v>96</v>
      </c>
      <c r="B297" s="73" t="str">
        <f aca="false">IF(ISNUMBER(週次_媒体別CP!H24),週次_媒体別CP!H24,"")</f>
        <v/>
      </c>
      <c r="C297" s="73" t="str">
        <f aca="false">IF(ISNUMBER(週次_媒体別CP!H80),週次_媒体別CP!H80,"")</f>
        <v/>
      </c>
      <c r="D297" s="73" t="str">
        <f aca="false">IF(ISNUMBER(週次_媒体別CP!H136),週次_媒体別CP!H136,"")</f>
        <v/>
      </c>
      <c r="E297" s="73" t="str">
        <f aca="false">IF(ISNUMBER(週次_媒体別CP!H192),週次_媒体別CP!H192,"")</f>
        <v/>
      </c>
      <c r="F297" s="73" t="str">
        <f aca="false">IF(ISNUMBER(週次_媒体別CP!H248),週次_媒体別CP!H248,"")</f>
        <v/>
      </c>
      <c r="G297" s="73" t="str">
        <f aca="false">IF(ISNUMBER(週次_媒体別CP!H304),週次_媒体別CP!H304,"")</f>
        <v/>
      </c>
      <c r="H297" s="73" t="str">
        <f aca="false">IF(ISNUMBER(週次_媒体別CP!H360),週次_媒体別CP!H360,"")</f>
        <v/>
      </c>
    </row>
    <row r="298" customFormat="false" ht="15" hidden="false" customHeight="false" outlineLevel="0" collapsed="false">
      <c r="A298" s="72" t="s">
        <v>98</v>
      </c>
      <c r="B298" s="73" t="str">
        <f aca="false">IF(ISNUMBER(週次_媒体別CP!H25),週次_媒体別CP!H25,"")</f>
        <v/>
      </c>
      <c r="C298" s="73" t="str">
        <f aca="false">IF(ISNUMBER(週次_媒体別CP!H81),週次_媒体別CP!H81,"")</f>
        <v/>
      </c>
      <c r="D298" s="73" t="str">
        <f aca="false">IF(ISNUMBER(週次_媒体別CP!H137),週次_媒体別CP!H137,"")</f>
        <v/>
      </c>
      <c r="E298" s="73" t="str">
        <f aca="false">IF(ISNUMBER(週次_媒体別CP!H193),週次_媒体別CP!H193,"")</f>
        <v/>
      </c>
      <c r="F298" s="73" t="str">
        <f aca="false">IF(ISNUMBER(週次_媒体別CP!H249),週次_媒体別CP!H249,"")</f>
        <v/>
      </c>
      <c r="G298" s="73" t="str">
        <f aca="false">IF(ISNUMBER(週次_媒体別CP!H305),週次_媒体別CP!H305,"")</f>
        <v/>
      </c>
      <c r="H298" s="73" t="str">
        <f aca="false">IF(ISNUMBER(週次_媒体別CP!H361),週次_媒体別CP!H361,"")</f>
        <v/>
      </c>
    </row>
    <row r="299" customFormat="false" ht="15" hidden="false" customHeight="false" outlineLevel="0" collapsed="false">
      <c r="A299" s="72" t="s">
        <v>100</v>
      </c>
      <c r="B299" s="73" t="str">
        <f aca="false">IF(ISNUMBER(週次_媒体別CP!H26),週次_媒体別CP!H26,"")</f>
        <v/>
      </c>
      <c r="C299" s="73" t="str">
        <f aca="false">IF(ISNUMBER(週次_媒体別CP!H82),週次_媒体別CP!H82,"")</f>
        <v/>
      </c>
      <c r="D299" s="73" t="str">
        <f aca="false">IF(ISNUMBER(週次_媒体別CP!H138),週次_媒体別CP!H138,"")</f>
        <v/>
      </c>
      <c r="E299" s="73" t="str">
        <f aca="false">IF(ISNUMBER(週次_媒体別CP!H194),週次_媒体別CP!H194,"")</f>
        <v/>
      </c>
      <c r="F299" s="73" t="str">
        <f aca="false">IF(ISNUMBER(週次_媒体別CP!H250),週次_媒体別CP!H250,"")</f>
        <v/>
      </c>
      <c r="G299" s="73" t="str">
        <f aca="false">IF(ISNUMBER(週次_媒体別CP!H306),週次_媒体別CP!H306,"")</f>
        <v/>
      </c>
      <c r="H299" s="73" t="str">
        <f aca="false">IF(ISNUMBER(週次_媒体別CP!H362),週次_媒体別CP!H362,"")</f>
        <v/>
      </c>
    </row>
    <row r="300" customFormat="false" ht="15" hidden="false" customHeight="false" outlineLevel="0" collapsed="false">
      <c r="A300" s="72" t="s">
        <v>102</v>
      </c>
      <c r="B300" s="73" t="str">
        <f aca="false">IF(ISNUMBER(週次_媒体別CP!H27),週次_媒体別CP!H27,"")</f>
        <v/>
      </c>
      <c r="C300" s="73" t="str">
        <f aca="false">IF(ISNUMBER(週次_媒体別CP!H83),週次_媒体別CP!H83,"")</f>
        <v/>
      </c>
      <c r="D300" s="73" t="str">
        <f aca="false">IF(ISNUMBER(週次_媒体別CP!H139),週次_媒体別CP!H139,"")</f>
        <v/>
      </c>
      <c r="E300" s="73" t="str">
        <f aca="false">IF(ISNUMBER(週次_媒体別CP!H195),週次_媒体別CP!H195,"")</f>
        <v/>
      </c>
      <c r="F300" s="73" t="str">
        <f aca="false">IF(ISNUMBER(週次_媒体別CP!H251),週次_媒体別CP!H251,"")</f>
        <v/>
      </c>
      <c r="G300" s="73" t="str">
        <f aca="false">IF(ISNUMBER(週次_媒体別CP!H307),週次_媒体別CP!H307,"")</f>
        <v/>
      </c>
      <c r="H300" s="73" t="str">
        <f aca="false">IF(ISNUMBER(週次_媒体別CP!H363),週次_媒体別CP!H363,"")</f>
        <v/>
      </c>
    </row>
    <row r="301" customFormat="false" ht="15" hidden="false" customHeight="false" outlineLevel="0" collapsed="false">
      <c r="A301" s="72" t="s">
        <v>104</v>
      </c>
      <c r="B301" s="73" t="str">
        <f aca="false">IF(ISNUMBER(週次_媒体別CP!H28),週次_媒体別CP!H28,"")</f>
        <v/>
      </c>
      <c r="C301" s="73" t="str">
        <f aca="false">IF(ISNUMBER(週次_媒体別CP!H84),週次_媒体別CP!H84,"")</f>
        <v/>
      </c>
      <c r="D301" s="73" t="str">
        <f aca="false">IF(ISNUMBER(週次_媒体別CP!H140),週次_媒体別CP!H140,"")</f>
        <v/>
      </c>
      <c r="E301" s="73" t="str">
        <f aca="false">IF(ISNUMBER(週次_媒体別CP!H196),週次_媒体別CP!H196,"")</f>
        <v/>
      </c>
      <c r="F301" s="73" t="str">
        <f aca="false">IF(ISNUMBER(週次_媒体別CP!H252),週次_媒体別CP!H252,"")</f>
        <v/>
      </c>
      <c r="G301" s="73" t="str">
        <f aca="false">IF(ISNUMBER(週次_媒体別CP!H308),週次_媒体別CP!H308,"")</f>
        <v/>
      </c>
      <c r="H301" s="73" t="str">
        <f aca="false">IF(ISNUMBER(週次_媒体別CP!H364),週次_媒体別CP!H364,"")</f>
        <v/>
      </c>
    </row>
    <row r="302" customFormat="false" ht="15" hidden="false" customHeight="false" outlineLevel="0" collapsed="false">
      <c r="A302" s="72" t="s">
        <v>106</v>
      </c>
      <c r="B302" s="73" t="str">
        <f aca="false">IF(ISNUMBER(週次_媒体別CP!H29),週次_媒体別CP!H29,"")</f>
        <v/>
      </c>
      <c r="C302" s="73" t="str">
        <f aca="false">IF(ISNUMBER(週次_媒体別CP!H85),週次_媒体別CP!H85,"")</f>
        <v/>
      </c>
      <c r="D302" s="73" t="str">
        <f aca="false">IF(ISNUMBER(週次_媒体別CP!H141),週次_媒体別CP!H141,"")</f>
        <v/>
      </c>
      <c r="E302" s="73" t="str">
        <f aca="false">IF(ISNUMBER(週次_媒体別CP!H197),週次_媒体別CP!H197,"")</f>
        <v/>
      </c>
      <c r="F302" s="73" t="str">
        <f aca="false">IF(ISNUMBER(週次_媒体別CP!H253),週次_媒体別CP!H253,"")</f>
        <v/>
      </c>
      <c r="G302" s="73" t="str">
        <f aca="false">IF(ISNUMBER(週次_媒体別CP!H309),週次_媒体別CP!H309,"")</f>
        <v/>
      </c>
      <c r="H302" s="73" t="str">
        <f aca="false">IF(ISNUMBER(週次_媒体別CP!H365),週次_媒体別CP!H365,"")</f>
        <v/>
      </c>
    </row>
    <row r="303" customFormat="false" ht="15" hidden="false" customHeight="false" outlineLevel="0" collapsed="false">
      <c r="A303" s="72" t="s">
        <v>108</v>
      </c>
      <c r="B303" s="73" t="str">
        <f aca="false">IF(ISNUMBER(週次_媒体別CP!H30),週次_媒体別CP!H30,"")</f>
        <v/>
      </c>
      <c r="C303" s="73" t="str">
        <f aca="false">IF(ISNUMBER(週次_媒体別CP!H86),週次_媒体別CP!H86,"")</f>
        <v/>
      </c>
      <c r="D303" s="73" t="str">
        <f aca="false">IF(ISNUMBER(週次_媒体別CP!H142),週次_媒体別CP!H142,"")</f>
        <v/>
      </c>
      <c r="E303" s="73" t="str">
        <f aca="false">IF(ISNUMBER(週次_媒体別CP!H198),週次_媒体別CP!H198,"")</f>
        <v/>
      </c>
      <c r="F303" s="73" t="str">
        <f aca="false">IF(ISNUMBER(週次_媒体別CP!H254),週次_媒体別CP!H254,"")</f>
        <v/>
      </c>
      <c r="G303" s="73" t="str">
        <f aca="false">IF(ISNUMBER(週次_媒体別CP!H310),週次_媒体別CP!H310,"")</f>
        <v/>
      </c>
      <c r="H303" s="73" t="str">
        <f aca="false">IF(ISNUMBER(週次_媒体別CP!H366),週次_媒体別CP!H366,"")</f>
        <v/>
      </c>
    </row>
    <row r="304" customFormat="false" ht="15" hidden="false" customHeight="false" outlineLevel="0" collapsed="false">
      <c r="A304" s="72" t="s">
        <v>110</v>
      </c>
      <c r="B304" s="73" t="str">
        <f aca="false">IF(ISNUMBER(週次_媒体別CP!H31),週次_媒体別CP!H31,"")</f>
        <v/>
      </c>
      <c r="C304" s="73" t="str">
        <f aca="false">IF(ISNUMBER(週次_媒体別CP!H87),週次_媒体別CP!H87,"")</f>
        <v/>
      </c>
      <c r="D304" s="73" t="str">
        <f aca="false">IF(ISNUMBER(週次_媒体別CP!H143),週次_媒体別CP!H143,"")</f>
        <v/>
      </c>
      <c r="E304" s="73" t="str">
        <f aca="false">IF(ISNUMBER(週次_媒体別CP!H199),週次_媒体別CP!H199,"")</f>
        <v/>
      </c>
      <c r="F304" s="73" t="str">
        <f aca="false">IF(ISNUMBER(週次_媒体別CP!H255),週次_媒体別CP!H255,"")</f>
        <v/>
      </c>
      <c r="G304" s="73" t="str">
        <f aca="false">IF(ISNUMBER(週次_媒体別CP!H311),週次_媒体別CP!H311,"")</f>
        <v/>
      </c>
      <c r="H304" s="73" t="str">
        <f aca="false">IF(ISNUMBER(週次_媒体別CP!H367),週次_媒体別CP!H367,"")</f>
        <v/>
      </c>
    </row>
    <row r="305" customFormat="false" ht="15" hidden="false" customHeight="false" outlineLevel="0" collapsed="false">
      <c r="A305" s="72" t="s">
        <v>112</v>
      </c>
      <c r="B305" s="73" t="str">
        <f aca="false">IF(ISNUMBER(週次_媒体別CP!H32),週次_媒体別CP!H32,"")</f>
        <v/>
      </c>
      <c r="C305" s="73" t="str">
        <f aca="false">IF(ISNUMBER(週次_媒体別CP!H88),週次_媒体別CP!H88,"")</f>
        <v/>
      </c>
      <c r="D305" s="73" t="str">
        <f aca="false">IF(ISNUMBER(週次_媒体別CP!H144),週次_媒体別CP!H144,"")</f>
        <v/>
      </c>
      <c r="E305" s="73" t="str">
        <f aca="false">IF(ISNUMBER(週次_媒体別CP!H200),週次_媒体別CP!H200,"")</f>
        <v/>
      </c>
      <c r="F305" s="73" t="str">
        <f aca="false">IF(ISNUMBER(週次_媒体別CP!H256),週次_媒体別CP!H256,"")</f>
        <v/>
      </c>
      <c r="G305" s="73" t="str">
        <f aca="false">IF(ISNUMBER(週次_媒体別CP!H312),週次_媒体別CP!H312,"")</f>
        <v/>
      </c>
      <c r="H305" s="73" t="str">
        <f aca="false">IF(ISNUMBER(週次_媒体別CP!H368),週次_媒体別CP!H368,"")</f>
        <v/>
      </c>
    </row>
    <row r="306" customFormat="false" ht="15" hidden="false" customHeight="false" outlineLevel="0" collapsed="false">
      <c r="A306" s="72" t="s">
        <v>114</v>
      </c>
      <c r="B306" s="73" t="str">
        <f aca="false">IF(ISNUMBER(週次_媒体別CP!H33),週次_媒体別CP!H33,"")</f>
        <v/>
      </c>
      <c r="C306" s="73" t="str">
        <f aca="false">IF(ISNUMBER(週次_媒体別CP!H89),週次_媒体別CP!H89,"")</f>
        <v/>
      </c>
      <c r="D306" s="73" t="str">
        <f aca="false">IF(ISNUMBER(週次_媒体別CP!H145),週次_媒体別CP!H145,"")</f>
        <v/>
      </c>
      <c r="E306" s="73" t="str">
        <f aca="false">IF(ISNUMBER(週次_媒体別CP!H201),週次_媒体別CP!H201,"")</f>
        <v/>
      </c>
      <c r="F306" s="73" t="str">
        <f aca="false">IF(ISNUMBER(週次_媒体別CP!H257),週次_媒体別CP!H257,"")</f>
        <v/>
      </c>
      <c r="G306" s="73" t="str">
        <f aca="false">IF(ISNUMBER(週次_媒体別CP!H313),週次_媒体別CP!H313,"")</f>
        <v/>
      </c>
      <c r="H306" s="73" t="str">
        <f aca="false">IF(ISNUMBER(週次_媒体別CP!H369),週次_媒体別CP!H369,"")</f>
        <v/>
      </c>
    </row>
    <row r="307" customFormat="false" ht="15" hidden="false" customHeight="false" outlineLevel="0" collapsed="false">
      <c r="A307" s="72" t="s">
        <v>116</v>
      </c>
      <c r="B307" s="73" t="str">
        <f aca="false">IF(ISNUMBER(週次_媒体別CP!H34),週次_媒体別CP!H34,"")</f>
        <v/>
      </c>
      <c r="C307" s="73" t="str">
        <f aca="false">IF(ISNUMBER(週次_媒体別CP!H90),週次_媒体別CP!H90,"")</f>
        <v/>
      </c>
      <c r="D307" s="73" t="str">
        <f aca="false">IF(ISNUMBER(週次_媒体別CP!H146),週次_媒体別CP!H146,"")</f>
        <v/>
      </c>
      <c r="E307" s="73" t="str">
        <f aca="false">IF(ISNUMBER(週次_媒体別CP!H202),週次_媒体別CP!H202,"")</f>
        <v/>
      </c>
      <c r="F307" s="73" t="str">
        <f aca="false">IF(ISNUMBER(週次_媒体別CP!H258),週次_媒体別CP!H258,"")</f>
        <v/>
      </c>
      <c r="G307" s="73" t="str">
        <f aca="false">IF(ISNUMBER(週次_媒体別CP!H314),週次_媒体別CP!H314,"")</f>
        <v/>
      </c>
      <c r="H307" s="73" t="str">
        <f aca="false">IF(ISNUMBER(週次_媒体別CP!H370),週次_媒体別CP!H370,"")</f>
        <v/>
      </c>
    </row>
    <row r="308" customFormat="false" ht="15" hidden="false" customHeight="false" outlineLevel="0" collapsed="false">
      <c r="A308" s="72" t="s">
        <v>118</v>
      </c>
      <c r="B308" s="73" t="str">
        <f aca="false">IF(ISNUMBER(週次_媒体別CP!H35),週次_媒体別CP!H35,"")</f>
        <v/>
      </c>
      <c r="C308" s="73" t="str">
        <f aca="false">IF(ISNUMBER(週次_媒体別CP!H91),週次_媒体別CP!H91,"")</f>
        <v/>
      </c>
      <c r="D308" s="73" t="str">
        <f aca="false">IF(ISNUMBER(週次_媒体別CP!H147),週次_媒体別CP!H147,"")</f>
        <v/>
      </c>
      <c r="E308" s="73" t="str">
        <f aca="false">IF(ISNUMBER(週次_媒体別CP!H203),週次_媒体別CP!H203,"")</f>
        <v/>
      </c>
      <c r="F308" s="73" t="str">
        <f aca="false">IF(ISNUMBER(週次_媒体別CP!H259),週次_媒体別CP!H259,"")</f>
        <v/>
      </c>
      <c r="G308" s="73" t="str">
        <f aca="false">IF(ISNUMBER(週次_媒体別CP!H315),週次_媒体別CP!H315,"")</f>
        <v/>
      </c>
      <c r="H308" s="73" t="str">
        <f aca="false">IF(ISNUMBER(週次_媒体別CP!H371),週次_媒体別CP!H371,"")</f>
        <v/>
      </c>
    </row>
    <row r="309" customFormat="false" ht="15" hidden="false" customHeight="false" outlineLevel="0" collapsed="false">
      <c r="A309" s="72" t="s">
        <v>120</v>
      </c>
      <c r="B309" s="73" t="str">
        <f aca="false">IF(ISNUMBER(週次_媒体別CP!H36),週次_媒体別CP!H36,"")</f>
        <v/>
      </c>
      <c r="C309" s="73" t="str">
        <f aca="false">IF(ISNUMBER(週次_媒体別CP!H92),週次_媒体別CP!H92,"")</f>
        <v/>
      </c>
      <c r="D309" s="73" t="str">
        <f aca="false">IF(ISNUMBER(週次_媒体別CP!H148),週次_媒体別CP!H148,"")</f>
        <v/>
      </c>
      <c r="E309" s="73" t="str">
        <f aca="false">IF(ISNUMBER(週次_媒体別CP!H204),週次_媒体別CP!H204,"")</f>
        <v/>
      </c>
      <c r="F309" s="73" t="str">
        <f aca="false">IF(ISNUMBER(週次_媒体別CP!H260),週次_媒体別CP!H260,"")</f>
        <v/>
      </c>
      <c r="G309" s="73" t="str">
        <f aca="false">IF(ISNUMBER(週次_媒体別CP!H316),週次_媒体別CP!H316,"")</f>
        <v/>
      </c>
      <c r="H309" s="73" t="str">
        <f aca="false">IF(ISNUMBER(週次_媒体別CP!H372),週次_媒体別CP!H372,"")</f>
        <v/>
      </c>
    </row>
    <row r="310" customFormat="false" ht="15" hidden="false" customHeight="false" outlineLevel="0" collapsed="false">
      <c r="A310" s="72" t="s">
        <v>122</v>
      </c>
      <c r="B310" s="73" t="str">
        <f aca="false">IF(ISNUMBER(週次_媒体別CP!H37),週次_媒体別CP!H37,"")</f>
        <v/>
      </c>
      <c r="C310" s="73" t="str">
        <f aca="false">IF(ISNUMBER(週次_媒体別CP!H93),週次_媒体別CP!H93,"")</f>
        <v/>
      </c>
      <c r="D310" s="73" t="str">
        <f aca="false">IF(ISNUMBER(週次_媒体別CP!H149),週次_媒体別CP!H149,"")</f>
        <v/>
      </c>
      <c r="E310" s="73" t="str">
        <f aca="false">IF(ISNUMBER(週次_媒体別CP!H205),週次_媒体別CP!H205,"")</f>
        <v/>
      </c>
      <c r="F310" s="73" t="str">
        <f aca="false">IF(ISNUMBER(週次_媒体別CP!H261),週次_媒体別CP!H261,"")</f>
        <v/>
      </c>
      <c r="G310" s="73" t="str">
        <f aca="false">IF(ISNUMBER(週次_媒体別CP!H317),週次_媒体別CP!H317,"")</f>
        <v/>
      </c>
      <c r="H310" s="73" t="str">
        <f aca="false">IF(ISNUMBER(週次_媒体別CP!H373),週次_媒体別CP!H373,"")</f>
        <v/>
      </c>
    </row>
    <row r="311" customFormat="false" ht="15" hidden="false" customHeight="false" outlineLevel="0" collapsed="false">
      <c r="A311" s="72" t="s">
        <v>124</v>
      </c>
      <c r="B311" s="73" t="str">
        <f aca="false">IF(ISNUMBER(週次_媒体別CP!H38),週次_媒体別CP!H38,"")</f>
        <v/>
      </c>
      <c r="C311" s="73" t="str">
        <f aca="false">IF(ISNUMBER(週次_媒体別CP!H94),週次_媒体別CP!H94,"")</f>
        <v/>
      </c>
      <c r="D311" s="73" t="str">
        <f aca="false">IF(ISNUMBER(週次_媒体別CP!H150),週次_媒体別CP!H150,"")</f>
        <v/>
      </c>
      <c r="E311" s="73" t="str">
        <f aca="false">IF(ISNUMBER(週次_媒体別CP!H206),週次_媒体別CP!H206,"")</f>
        <v/>
      </c>
      <c r="F311" s="73" t="str">
        <f aca="false">IF(ISNUMBER(週次_媒体別CP!H262),週次_媒体別CP!H262,"")</f>
        <v/>
      </c>
      <c r="G311" s="73" t="str">
        <f aca="false">IF(ISNUMBER(週次_媒体別CP!H318),週次_媒体別CP!H318,"")</f>
        <v/>
      </c>
      <c r="H311" s="73" t="str">
        <f aca="false">IF(ISNUMBER(週次_媒体別CP!H374),週次_媒体別CP!H374,"")</f>
        <v/>
      </c>
    </row>
    <row r="312" customFormat="false" ht="15" hidden="false" customHeight="false" outlineLevel="0" collapsed="false">
      <c r="A312" s="72" t="s">
        <v>126</v>
      </c>
      <c r="B312" s="73" t="str">
        <f aca="false">IF(ISNUMBER(週次_媒体別CP!H39),週次_媒体別CP!H39,"")</f>
        <v/>
      </c>
      <c r="C312" s="73" t="str">
        <f aca="false">IF(ISNUMBER(週次_媒体別CP!H95),週次_媒体別CP!H95,"")</f>
        <v/>
      </c>
      <c r="D312" s="73" t="str">
        <f aca="false">IF(ISNUMBER(週次_媒体別CP!H151),週次_媒体別CP!H151,"")</f>
        <v/>
      </c>
      <c r="E312" s="73" t="str">
        <f aca="false">IF(ISNUMBER(週次_媒体別CP!H207),週次_媒体別CP!H207,"")</f>
        <v/>
      </c>
      <c r="F312" s="73" t="str">
        <f aca="false">IF(ISNUMBER(週次_媒体別CP!H263),週次_媒体別CP!H263,"")</f>
        <v/>
      </c>
      <c r="G312" s="73" t="str">
        <f aca="false">IF(ISNUMBER(週次_媒体別CP!H319),週次_媒体別CP!H319,"")</f>
        <v/>
      </c>
      <c r="H312" s="73" t="str">
        <f aca="false">IF(ISNUMBER(週次_媒体別CP!H375),週次_媒体別CP!H375,"")</f>
        <v/>
      </c>
    </row>
    <row r="313" customFormat="false" ht="15" hidden="false" customHeight="false" outlineLevel="0" collapsed="false">
      <c r="A313" s="72" t="s">
        <v>128</v>
      </c>
      <c r="B313" s="73" t="str">
        <f aca="false">IF(ISNUMBER(週次_媒体別CP!H40),週次_媒体別CP!H40,"")</f>
        <v/>
      </c>
      <c r="C313" s="73" t="str">
        <f aca="false">IF(ISNUMBER(週次_媒体別CP!H96),週次_媒体別CP!H96,"")</f>
        <v/>
      </c>
      <c r="D313" s="73" t="str">
        <f aca="false">IF(ISNUMBER(週次_媒体別CP!H152),週次_媒体別CP!H152,"")</f>
        <v/>
      </c>
      <c r="E313" s="73" t="str">
        <f aca="false">IF(ISNUMBER(週次_媒体別CP!H208),週次_媒体別CP!H208,"")</f>
        <v/>
      </c>
      <c r="F313" s="73" t="str">
        <f aca="false">IF(ISNUMBER(週次_媒体別CP!H264),週次_媒体別CP!H264,"")</f>
        <v/>
      </c>
      <c r="G313" s="73" t="str">
        <f aca="false">IF(ISNUMBER(週次_媒体別CP!H320),週次_媒体別CP!H320,"")</f>
        <v/>
      </c>
      <c r="H313" s="73" t="str">
        <f aca="false">IF(ISNUMBER(週次_媒体別CP!H376),週次_媒体別CP!H376,"")</f>
        <v/>
      </c>
    </row>
    <row r="314" customFormat="false" ht="15" hidden="false" customHeight="false" outlineLevel="0" collapsed="false">
      <c r="A314" s="72" t="s">
        <v>130</v>
      </c>
      <c r="B314" s="73" t="str">
        <f aca="false">IF(ISNUMBER(週次_媒体別CP!H41),週次_媒体別CP!H41,"")</f>
        <v/>
      </c>
      <c r="C314" s="73" t="str">
        <f aca="false">IF(ISNUMBER(週次_媒体別CP!H97),週次_媒体別CP!H97,"")</f>
        <v/>
      </c>
      <c r="D314" s="73" t="str">
        <f aca="false">IF(ISNUMBER(週次_媒体別CP!H153),週次_媒体別CP!H153,"")</f>
        <v/>
      </c>
      <c r="E314" s="73" t="str">
        <f aca="false">IF(ISNUMBER(週次_媒体別CP!H209),週次_媒体別CP!H209,"")</f>
        <v/>
      </c>
      <c r="F314" s="73" t="str">
        <f aca="false">IF(ISNUMBER(週次_媒体別CP!H265),週次_媒体別CP!H265,"")</f>
        <v/>
      </c>
      <c r="G314" s="73" t="str">
        <f aca="false">IF(ISNUMBER(週次_媒体別CP!H321),週次_媒体別CP!H321,"")</f>
        <v/>
      </c>
      <c r="H314" s="73" t="str">
        <f aca="false">IF(ISNUMBER(週次_媒体別CP!H377),週次_媒体別CP!H377,"")</f>
        <v/>
      </c>
    </row>
    <row r="315" customFormat="false" ht="15" hidden="false" customHeight="false" outlineLevel="0" collapsed="false">
      <c r="A315" s="72" t="s">
        <v>132</v>
      </c>
      <c r="B315" s="73" t="str">
        <f aca="false">IF(ISNUMBER(週次_媒体別CP!H42),週次_媒体別CP!H42,"")</f>
        <v/>
      </c>
      <c r="C315" s="73" t="str">
        <f aca="false">IF(ISNUMBER(週次_媒体別CP!H98),週次_媒体別CP!H98,"")</f>
        <v/>
      </c>
      <c r="D315" s="73" t="str">
        <f aca="false">IF(ISNUMBER(週次_媒体別CP!H154),週次_媒体別CP!H154,"")</f>
        <v/>
      </c>
      <c r="E315" s="73" t="str">
        <f aca="false">IF(ISNUMBER(週次_媒体別CP!H210),週次_媒体別CP!H210,"")</f>
        <v/>
      </c>
      <c r="F315" s="73" t="str">
        <f aca="false">IF(ISNUMBER(週次_媒体別CP!H266),週次_媒体別CP!H266,"")</f>
        <v/>
      </c>
      <c r="G315" s="73" t="str">
        <f aca="false">IF(ISNUMBER(週次_媒体別CP!H322),週次_媒体別CP!H322,"")</f>
        <v/>
      </c>
      <c r="H315" s="73" t="str">
        <f aca="false">IF(ISNUMBER(週次_媒体別CP!H378),週次_媒体別CP!H378,"")</f>
        <v/>
      </c>
    </row>
    <row r="316" customFormat="false" ht="15" hidden="false" customHeight="false" outlineLevel="0" collapsed="false">
      <c r="A316" s="72" t="s">
        <v>134</v>
      </c>
      <c r="B316" s="73" t="str">
        <f aca="false">IF(ISNUMBER(週次_媒体別CP!H43),週次_媒体別CP!H43,"")</f>
        <v/>
      </c>
      <c r="C316" s="73" t="str">
        <f aca="false">IF(ISNUMBER(週次_媒体別CP!H99),週次_媒体別CP!H99,"")</f>
        <v/>
      </c>
      <c r="D316" s="73" t="str">
        <f aca="false">IF(ISNUMBER(週次_媒体別CP!H155),週次_媒体別CP!H155,"")</f>
        <v/>
      </c>
      <c r="E316" s="73" t="str">
        <f aca="false">IF(ISNUMBER(週次_媒体別CP!H211),週次_媒体別CP!H211,"")</f>
        <v/>
      </c>
      <c r="F316" s="73" t="str">
        <f aca="false">IF(ISNUMBER(週次_媒体別CP!H267),週次_媒体別CP!H267,"")</f>
        <v/>
      </c>
      <c r="G316" s="73" t="str">
        <f aca="false">IF(ISNUMBER(週次_媒体別CP!H323),週次_媒体別CP!H323,"")</f>
        <v/>
      </c>
      <c r="H316" s="73" t="str">
        <f aca="false">IF(ISNUMBER(週次_媒体別CP!H379),週次_媒体別CP!H379,"")</f>
        <v/>
      </c>
    </row>
    <row r="317" customFormat="false" ht="15" hidden="false" customHeight="false" outlineLevel="0" collapsed="false">
      <c r="A317" s="72" t="s">
        <v>136</v>
      </c>
      <c r="B317" s="73" t="str">
        <f aca="false">IF(ISNUMBER(週次_媒体別CP!H44),週次_媒体別CP!H44,"")</f>
        <v/>
      </c>
      <c r="C317" s="73" t="str">
        <f aca="false">IF(ISNUMBER(週次_媒体別CP!H100),週次_媒体別CP!H100,"")</f>
        <v/>
      </c>
      <c r="D317" s="73" t="str">
        <f aca="false">IF(ISNUMBER(週次_媒体別CP!H156),週次_媒体別CP!H156,"")</f>
        <v/>
      </c>
      <c r="E317" s="73" t="str">
        <f aca="false">IF(ISNUMBER(週次_媒体別CP!H212),週次_媒体別CP!H212,"")</f>
        <v/>
      </c>
      <c r="F317" s="73" t="str">
        <f aca="false">IF(ISNUMBER(週次_媒体別CP!H268),週次_媒体別CP!H268,"")</f>
        <v/>
      </c>
      <c r="G317" s="73" t="str">
        <f aca="false">IF(ISNUMBER(週次_媒体別CP!H324),週次_媒体別CP!H324,"")</f>
        <v/>
      </c>
      <c r="H317" s="73" t="str">
        <f aca="false">IF(ISNUMBER(週次_媒体別CP!H380),週次_媒体別CP!H380,"")</f>
        <v/>
      </c>
    </row>
    <row r="318" customFormat="false" ht="15" hidden="false" customHeight="false" outlineLevel="0" collapsed="false">
      <c r="A318" s="72" t="s">
        <v>138</v>
      </c>
      <c r="B318" s="73" t="str">
        <f aca="false">IF(ISNUMBER(週次_媒体別CP!H45),週次_媒体別CP!H45,"")</f>
        <v/>
      </c>
      <c r="C318" s="73" t="str">
        <f aca="false">IF(ISNUMBER(週次_媒体別CP!H101),週次_媒体別CP!H101,"")</f>
        <v/>
      </c>
      <c r="D318" s="73" t="str">
        <f aca="false">IF(ISNUMBER(週次_媒体別CP!H157),週次_媒体別CP!H157,"")</f>
        <v/>
      </c>
      <c r="E318" s="73" t="str">
        <f aca="false">IF(ISNUMBER(週次_媒体別CP!H213),週次_媒体別CP!H213,"")</f>
        <v/>
      </c>
      <c r="F318" s="73" t="str">
        <f aca="false">IF(ISNUMBER(週次_媒体別CP!H269),週次_媒体別CP!H269,"")</f>
        <v/>
      </c>
      <c r="G318" s="73" t="str">
        <f aca="false">IF(ISNUMBER(週次_媒体別CP!H325),週次_媒体別CP!H325,"")</f>
        <v/>
      </c>
      <c r="H318" s="73" t="str">
        <f aca="false">IF(ISNUMBER(週次_媒体別CP!H381),週次_媒体別CP!H381,"")</f>
        <v/>
      </c>
    </row>
    <row r="319" customFormat="false" ht="15" hidden="false" customHeight="false" outlineLevel="0" collapsed="false">
      <c r="A319" s="72" t="s">
        <v>140</v>
      </c>
      <c r="B319" s="73" t="str">
        <f aca="false">IF(ISNUMBER(週次_媒体別CP!H46),週次_媒体別CP!H46,"")</f>
        <v/>
      </c>
      <c r="C319" s="73" t="str">
        <f aca="false">IF(ISNUMBER(週次_媒体別CP!H102),週次_媒体別CP!H102,"")</f>
        <v/>
      </c>
      <c r="D319" s="73" t="str">
        <f aca="false">IF(ISNUMBER(週次_媒体別CP!H158),週次_媒体別CP!H158,"")</f>
        <v/>
      </c>
      <c r="E319" s="73" t="str">
        <f aca="false">IF(ISNUMBER(週次_媒体別CP!H214),週次_媒体別CP!H214,"")</f>
        <v/>
      </c>
      <c r="F319" s="73" t="str">
        <f aca="false">IF(ISNUMBER(週次_媒体別CP!H270),週次_媒体別CP!H270,"")</f>
        <v/>
      </c>
      <c r="G319" s="73" t="str">
        <f aca="false">IF(ISNUMBER(週次_媒体別CP!H326),週次_媒体別CP!H326,"")</f>
        <v/>
      </c>
      <c r="H319" s="73" t="str">
        <f aca="false">IF(ISNUMBER(週次_媒体別CP!H382),週次_媒体別CP!H382,"")</f>
        <v/>
      </c>
    </row>
    <row r="320" customFormat="false" ht="15" hidden="false" customHeight="false" outlineLevel="0" collapsed="false">
      <c r="A320" s="72" t="s">
        <v>142</v>
      </c>
      <c r="B320" s="73" t="str">
        <f aca="false">IF(ISNUMBER(週次_媒体別CP!H47),週次_媒体別CP!H47,"")</f>
        <v/>
      </c>
      <c r="C320" s="73" t="str">
        <f aca="false">IF(ISNUMBER(週次_媒体別CP!H103),週次_媒体別CP!H103,"")</f>
        <v/>
      </c>
      <c r="D320" s="73" t="str">
        <f aca="false">IF(ISNUMBER(週次_媒体別CP!H159),週次_媒体別CP!H159,"")</f>
        <v/>
      </c>
      <c r="E320" s="73" t="str">
        <f aca="false">IF(ISNUMBER(週次_媒体別CP!H215),週次_媒体別CP!H215,"")</f>
        <v/>
      </c>
      <c r="F320" s="73" t="str">
        <f aca="false">IF(ISNUMBER(週次_媒体別CP!H271),週次_媒体別CP!H271,"")</f>
        <v/>
      </c>
      <c r="G320" s="73" t="str">
        <f aca="false">IF(ISNUMBER(週次_媒体別CP!H327),週次_媒体別CP!H327,"")</f>
        <v/>
      </c>
      <c r="H320" s="73" t="str">
        <f aca="false">IF(ISNUMBER(週次_媒体別CP!H383),週次_媒体別CP!H383,"")</f>
        <v/>
      </c>
    </row>
    <row r="321" customFormat="false" ht="15" hidden="false" customHeight="false" outlineLevel="0" collapsed="false">
      <c r="A321" s="72" t="s">
        <v>144</v>
      </c>
      <c r="B321" s="73" t="str">
        <f aca="false">IF(ISNUMBER(週次_媒体別CP!H48),週次_媒体別CP!H48,"")</f>
        <v/>
      </c>
      <c r="C321" s="73" t="str">
        <f aca="false">IF(ISNUMBER(週次_媒体別CP!H104),週次_媒体別CP!H104,"")</f>
        <v/>
      </c>
      <c r="D321" s="73" t="str">
        <f aca="false">IF(ISNUMBER(週次_媒体別CP!H160),週次_媒体別CP!H160,"")</f>
        <v/>
      </c>
      <c r="E321" s="73" t="str">
        <f aca="false">IF(ISNUMBER(週次_媒体別CP!H216),週次_媒体別CP!H216,"")</f>
        <v/>
      </c>
      <c r="F321" s="73" t="str">
        <f aca="false">IF(ISNUMBER(週次_媒体別CP!H272),週次_媒体別CP!H272,"")</f>
        <v/>
      </c>
      <c r="G321" s="73" t="str">
        <f aca="false">IF(ISNUMBER(週次_媒体別CP!H328),週次_媒体別CP!H328,"")</f>
        <v/>
      </c>
      <c r="H321" s="73" t="str">
        <f aca="false">IF(ISNUMBER(週次_媒体別CP!H384),週次_媒体別CP!H384,"")</f>
        <v/>
      </c>
    </row>
    <row r="322" customFormat="false" ht="15" hidden="false" customHeight="false" outlineLevel="0" collapsed="false">
      <c r="A322" s="72" t="s">
        <v>146</v>
      </c>
      <c r="B322" s="73" t="str">
        <f aca="false">IF(ISNUMBER(週次_媒体別CP!H49),週次_媒体別CP!H49,"")</f>
        <v/>
      </c>
      <c r="C322" s="73" t="str">
        <f aca="false">IF(ISNUMBER(週次_媒体別CP!H105),週次_媒体別CP!H105,"")</f>
        <v/>
      </c>
      <c r="D322" s="73" t="str">
        <f aca="false">IF(ISNUMBER(週次_媒体別CP!H161),週次_媒体別CP!H161,"")</f>
        <v/>
      </c>
      <c r="E322" s="73" t="str">
        <f aca="false">IF(ISNUMBER(週次_媒体別CP!H217),週次_媒体別CP!H217,"")</f>
        <v/>
      </c>
      <c r="F322" s="73" t="str">
        <f aca="false">IF(ISNUMBER(週次_媒体別CP!H273),週次_媒体別CP!H273,"")</f>
        <v/>
      </c>
      <c r="G322" s="73" t="str">
        <f aca="false">IF(ISNUMBER(週次_媒体別CP!H329),週次_媒体別CP!H329,"")</f>
        <v/>
      </c>
      <c r="H322" s="73" t="str">
        <f aca="false">IF(ISNUMBER(週次_媒体別CP!H385),週次_媒体別CP!H385,"")</f>
        <v/>
      </c>
    </row>
    <row r="323" customFormat="false" ht="15" hidden="false" customHeight="false" outlineLevel="0" collapsed="false">
      <c r="A323" s="72" t="s">
        <v>148</v>
      </c>
      <c r="B323" s="73" t="str">
        <f aca="false">IF(ISNUMBER(週次_媒体別CP!H50),週次_媒体別CP!H50,"")</f>
        <v/>
      </c>
      <c r="C323" s="73" t="str">
        <f aca="false">IF(ISNUMBER(週次_媒体別CP!H106),週次_媒体別CP!H106,"")</f>
        <v/>
      </c>
      <c r="D323" s="73" t="str">
        <f aca="false">IF(ISNUMBER(週次_媒体別CP!H162),週次_媒体別CP!H162,"")</f>
        <v/>
      </c>
      <c r="E323" s="73" t="str">
        <f aca="false">IF(ISNUMBER(週次_媒体別CP!H218),週次_媒体別CP!H218,"")</f>
        <v/>
      </c>
      <c r="F323" s="73" t="str">
        <f aca="false">IF(ISNUMBER(週次_媒体別CP!H274),週次_媒体別CP!H274,"")</f>
        <v/>
      </c>
      <c r="G323" s="73" t="str">
        <f aca="false">IF(ISNUMBER(週次_媒体別CP!H330),週次_媒体別CP!H330,"")</f>
        <v/>
      </c>
      <c r="H323" s="73" t="str">
        <f aca="false">IF(ISNUMBER(週次_媒体別CP!H386),週次_媒体別CP!H386,"")</f>
        <v/>
      </c>
    </row>
    <row r="324" customFormat="false" ht="15" hidden="false" customHeight="false" outlineLevel="0" collapsed="false">
      <c r="A324" s="72" t="s">
        <v>150</v>
      </c>
      <c r="B324" s="73" t="str">
        <f aca="false">IF(ISNUMBER(週次_媒体別CP!H51),週次_媒体別CP!H51,"")</f>
        <v/>
      </c>
      <c r="C324" s="73" t="str">
        <f aca="false">IF(ISNUMBER(週次_媒体別CP!H107),週次_媒体別CP!H107,"")</f>
        <v/>
      </c>
      <c r="D324" s="73" t="str">
        <f aca="false">IF(ISNUMBER(週次_媒体別CP!H163),週次_媒体別CP!H163,"")</f>
        <v/>
      </c>
      <c r="E324" s="73" t="str">
        <f aca="false">IF(ISNUMBER(週次_媒体別CP!H219),週次_媒体別CP!H219,"")</f>
        <v/>
      </c>
      <c r="F324" s="73" t="str">
        <f aca="false">IF(ISNUMBER(週次_媒体別CP!H275),週次_媒体別CP!H275,"")</f>
        <v/>
      </c>
      <c r="G324" s="73" t="str">
        <f aca="false">IF(ISNUMBER(週次_媒体別CP!H331),週次_媒体別CP!H331,"")</f>
        <v/>
      </c>
      <c r="H324" s="73" t="str">
        <f aca="false">IF(ISNUMBER(週次_媒体別CP!H387),週次_媒体別CP!H387,"")</f>
        <v/>
      </c>
    </row>
    <row r="325" customFormat="false" ht="15" hidden="false" customHeight="false" outlineLevel="0" collapsed="false">
      <c r="A325" s="72" t="s">
        <v>152</v>
      </c>
      <c r="B325" s="73" t="str">
        <f aca="false">IF(ISNUMBER(週次_媒体別CP!H52),週次_媒体別CP!H52,"")</f>
        <v/>
      </c>
      <c r="C325" s="73" t="str">
        <f aca="false">IF(ISNUMBER(週次_媒体別CP!H108),週次_媒体別CP!H108,"")</f>
        <v/>
      </c>
      <c r="D325" s="73" t="str">
        <f aca="false">IF(ISNUMBER(週次_媒体別CP!H164),週次_媒体別CP!H164,"")</f>
        <v/>
      </c>
      <c r="E325" s="73" t="str">
        <f aca="false">IF(ISNUMBER(週次_媒体別CP!H220),週次_媒体別CP!H220,"")</f>
        <v/>
      </c>
      <c r="F325" s="73" t="str">
        <f aca="false">IF(ISNUMBER(週次_媒体別CP!H276),週次_媒体別CP!H276,"")</f>
        <v/>
      </c>
      <c r="G325" s="73" t="str">
        <f aca="false">IF(ISNUMBER(週次_媒体別CP!H332),週次_媒体別CP!H332,"")</f>
        <v/>
      </c>
      <c r="H325" s="73" t="str">
        <f aca="false">IF(ISNUMBER(週次_媒体別CP!H388),週次_媒体別CP!H388,"")</f>
        <v/>
      </c>
    </row>
    <row r="326" customFormat="false" ht="15" hidden="false" customHeight="false" outlineLevel="0" collapsed="false">
      <c r="A326" s="72" t="s">
        <v>154</v>
      </c>
      <c r="B326" s="73" t="str">
        <f aca="false">IF(ISNUMBER(週次_媒体別CP!H53),週次_媒体別CP!H53,"")</f>
        <v/>
      </c>
      <c r="C326" s="73" t="str">
        <f aca="false">IF(ISNUMBER(週次_媒体別CP!H109),週次_媒体別CP!H109,"")</f>
        <v/>
      </c>
      <c r="D326" s="73" t="str">
        <f aca="false">IF(ISNUMBER(週次_媒体別CP!H165),週次_媒体別CP!H165,"")</f>
        <v/>
      </c>
      <c r="E326" s="73" t="str">
        <f aca="false">IF(ISNUMBER(週次_媒体別CP!H221),週次_媒体別CP!H221,"")</f>
        <v/>
      </c>
      <c r="F326" s="73" t="str">
        <f aca="false">IF(ISNUMBER(週次_媒体別CP!H277),週次_媒体別CP!H277,"")</f>
        <v/>
      </c>
      <c r="G326" s="73" t="str">
        <f aca="false">IF(ISNUMBER(週次_媒体別CP!H333),週次_媒体別CP!H333,"")</f>
        <v/>
      </c>
      <c r="H326" s="73" t="str">
        <f aca="false">IF(ISNUMBER(週次_媒体別CP!H389),週次_媒体別CP!H389,"")</f>
        <v/>
      </c>
    </row>
    <row r="327" customFormat="false" ht="15" hidden="false" customHeight="false" outlineLevel="0" collapsed="false">
      <c r="A327" s="72" t="s">
        <v>156</v>
      </c>
      <c r="B327" s="73" t="str">
        <f aca="false">IF(ISNUMBER(週次_媒体別CP!H54),週次_媒体別CP!H54,"")</f>
        <v/>
      </c>
      <c r="C327" s="73" t="str">
        <f aca="false">IF(ISNUMBER(週次_媒体別CP!H110),週次_媒体別CP!H110,"")</f>
        <v/>
      </c>
      <c r="D327" s="73" t="str">
        <f aca="false">IF(ISNUMBER(週次_媒体別CP!H166),週次_媒体別CP!H166,"")</f>
        <v/>
      </c>
      <c r="E327" s="73" t="str">
        <f aca="false">IF(ISNUMBER(週次_媒体別CP!H222),週次_媒体別CP!H222,"")</f>
        <v/>
      </c>
      <c r="F327" s="73" t="str">
        <f aca="false">IF(ISNUMBER(週次_媒体別CP!H278),週次_媒体別CP!H278,"")</f>
        <v/>
      </c>
      <c r="G327" s="73" t="str">
        <f aca="false">IF(ISNUMBER(週次_媒体別CP!H334),週次_媒体別CP!H334,"")</f>
        <v/>
      </c>
      <c r="H327" s="73" t="str">
        <f aca="false">IF(ISNUMBER(週次_媒体別CP!H390),週次_媒体別CP!H390,"")</f>
        <v/>
      </c>
    </row>
    <row r="328" customFormat="false" ht="15" hidden="false" customHeight="false" outlineLevel="0" collapsed="false">
      <c r="A328" s="72" t="s">
        <v>158</v>
      </c>
      <c r="B328" s="73" t="str">
        <f aca="false">IF(ISNUMBER(週次_媒体別CP!H55),週次_媒体別CP!H55,"")</f>
        <v/>
      </c>
      <c r="C328" s="73" t="str">
        <f aca="false">IF(ISNUMBER(週次_媒体別CP!H111),週次_媒体別CP!H111,"")</f>
        <v/>
      </c>
      <c r="D328" s="73" t="str">
        <f aca="false">IF(ISNUMBER(週次_媒体別CP!H167),週次_媒体別CP!H167,"")</f>
        <v/>
      </c>
      <c r="E328" s="73" t="str">
        <f aca="false">IF(ISNUMBER(週次_媒体別CP!H223),週次_媒体別CP!H223,"")</f>
        <v/>
      </c>
      <c r="F328" s="73" t="str">
        <f aca="false">IF(ISNUMBER(週次_媒体別CP!H279),週次_媒体別CP!H279,"")</f>
        <v/>
      </c>
      <c r="G328" s="73" t="str">
        <f aca="false">IF(ISNUMBER(週次_媒体別CP!H335),週次_媒体別CP!H335,"")</f>
        <v/>
      </c>
      <c r="H328" s="73" t="str">
        <f aca="false">IF(ISNUMBER(週次_媒体別CP!H391),週次_媒体別CP!H391,"")</f>
        <v/>
      </c>
    </row>
    <row r="329" customFormat="false" ht="15" hidden="false" customHeight="false" outlineLevel="0" collapsed="false">
      <c r="A329" s="72" t="s">
        <v>160</v>
      </c>
      <c r="B329" s="73" t="str">
        <f aca="false">IF(ISNUMBER(週次_媒体別CP!H56),週次_媒体別CP!H56,"")</f>
        <v/>
      </c>
      <c r="C329" s="73" t="str">
        <f aca="false">IF(ISNUMBER(週次_媒体別CP!H112),週次_媒体別CP!H112,"")</f>
        <v/>
      </c>
      <c r="D329" s="73" t="str">
        <f aca="false">IF(ISNUMBER(週次_媒体別CP!H168),週次_媒体別CP!H168,"")</f>
        <v/>
      </c>
      <c r="E329" s="73" t="str">
        <f aca="false">IF(ISNUMBER(週次_媒体別CP!H224),週次_媒体別CP!H224,"")</f>
        <v/>
      </c>
      <c r="F329" s="73" t="str">
        <f aca="false">IF(ISNUMBER(週次_媒体別CP!H280),週次_媒体別CP!H280,"")</f>
        <v/>
      </c>
      <c r="G329" s="73" t="str">
        <f aca="false">IF(ISNUMBER(週次_媒体別CP!H336),週次_媒体別CP!H336,"")</f>
        <v/>
      </c>
      <c r="H329" s="73" t="str">
        <f aca="false">IF(ISNUMBER(週次_媒体別CP!H392),週次_媒体別CP!H392,"")</f>
        <v/>
      </c>
    </row>
    <row r="330" customFormat="false" ht="15" hidden="false" customHeight="false" outlineLevel="0" collapsed="false">
      <c r="A330" s="72" t="s">
        <v>162</v>
      </c>
      <c r="B330" s="73" t="str">
        <f aca="false">IF(ISNUMBER(週次_媒体別CP!H57),週次_媒体別CP!H57,"")</f>
        <v/>
      </c>
      <c r="C330" s="73" t="str">
        <f aca="false">IF(ISNUMBER(週次_媒体別CP!H113),週次_媒体別CP!H113,"")</f>
        <v/>
      </c>
      <c r="D330" s="73" t="str">
        <f aca="false">IF(ISNUMBER(週次_媒体別CP!H169),週次_媒体別CP!H169,"")</f>
        <v/>
      </c>
      <c r="E330" s="73" t="str">
        <f aca="false">IF(ISNUMBER(週次_媒体別CP!H225),週次_媒体別CP!H225,"")</f>
        <v/>
      </c>
      <c r="F330" s="73" t="str">
        <f aca="false">IF(ISNUMBER(週次_媒体別CP!H281),週次_媒体別CP!H281,"")</f>
        <v/>
      </c>
      <c r="G330" s="73" t="str">
        <f aca="false">IF(ISNUMBER(週次_媒体別CP!H337),週次_媒体別CP!H337,"")</f>
        <v/>
      </c>
      <c r="H330" s="73" t="str">
        <f aca="false">IF(ISNUMBER(週次_媒体別CP!H393),週次_媒体別CP!H393,"")</f>
        <v/>
      </c>
    </row>
    <row r="332" customFormat="false" ht="15" hidden="false" customHeight="false" outlineLevel="0" collapsed="false">
      <c r="A332" s="74" t="s">
        <v>53</v>
      </c>
    </row>
    <row r="333" customFormat="false" ht="37.3" hidden="false" customHeight="false" outlineLevel="0" collapsed="false">
      <c r="A333" s="70" t="s">
        <v>48</v>
      </c>
      <c r="B333" s="71" t="s">
        <v>243</v>
      </c>
      <c r="C333" s="71" t="s">
        <v>244</v>
      </c>
      <c r="D333" s="71" t="s">
        <v>245</v>
      </c>
      <c r="E333" s="71" t="s">
        <v>246</v>
      </c>
      <c r="F333" s="71" t="s">
        <v>247</v>
      </c>
      <c r="G333" s="71" t="s">
        <v>248</v>
      </c>
      <c r="H333" s="71" t="s">
        <v>249</v>
      </c>
    </row>
    <row r="334" customFormat="false" ht="15" hidden="false" customHeight="false" outlineLevel="0" collapsed="false">
      <c r="A334" s="72" t="s">
        <v>59</v>
      </c>
      <c r="B334" s="76" t="n">
        <f aca="false">IF(ISNUMBER(週次_媒体別CP!J6),週次_媒体別CP!J6,"")</f>
        <v>0.0571895424836601</v>
      </c>
      <c r="C334" s="76" t="n">
        <f aca="false">IF(ISNUMBER(週次_媒体別CP!J62),週次_媒体別CP!J62,"")</f>
        <v>0.00186373990474218</v>
      </c>
      <c r="D334" s="76" t="str">
        <f aca="false">IF(ISNUMBER(週次_媒体別CP!J118),週次_媒体別CP!J118,"")</f>
        <v/>
      </c>
      <c r="E334" s="76" t="n">
        <f aca="false">IF(ISNUMBER(週次_媒体別CP!J174),週次_媒体別CP!J174,"")</f>
        <v>0</v>
      </c>
      <c r="F334" s="76" t="n">
        <f aca="false">IF(ISNUMBER(週次_媒体別CP!J230),週次_媒体別CP!J230,"")</f>
        <v>0</v>
      </c>
      <c r="G334" s="76" t="n">
        <f aca="false">IF(ISNUMBER(週次_媒体別CP!J286),週次_媒体別CP!J286,"")</f>
        <v>0</v>
      </c>
      <c r="H334" s="76" t="n">
        <f aca="false">IF(ISNUMBER(週次_媒体別CP!J342),週次_媒体別CP!J342,"")</f>
        <v>0</v>
      </c>
    </row>
    <row r="335" customFormat="false" ht="15" hidden="false" customHeight="false" outlineLevel="0" collapsed="false">
      <c r="A335" s="72" t="s">
        <v>61</v>
      </c>
      <c r="B335" s="76" t="n">
        <f aca="false">IF(ISNUMBER(週次_媒体別CP!J7),週次_媒体別CP!J7,"")</f>
        <v>0.0643939393939394</v>
      </c>
      <c r="C335" s="76" t="n">
        <f aca="false">IF(ISNUMBER(週次_媒体別CP!J63),週次_媒体別CP!J63,"")</f>
        <v>0.0909090909090909</v>
      </c>
      <c r="D335" s="76" t="str">
        <f aca="false">IF(ISNUMBER(週次_媒体別CP!J119),週次_媒体別CP!J119,"")</f>
        <v/>
      </c>
      <c r="E335" s="76" t="n">
        <f aca="false">IF(ISNUMBER(週次_媒体別CP!J175),週次_媒体別CP!J175,"")</f>
        <v>0.0338983050847458</v>
      </c>
      <c r="F335" s="76" t="n">
        <f aca="false">IF(ISNUMBER(週次_媒体別CP!J231),週次_媒体別CP!J231,"")</f>
        <v>0.032258064516129</v>
      </c>
      <c r="G335" s="76" t="n">
        <f aca="false">IF(ISNUMBER(週次_媒体別CP!J287),週次_媒体別CP!J287,"")</f>
        <v>0</v>
      </c>
      <c r="H335" s="76" t="n">
        <f aca="false">IF(ISNUMBER(週次_媒体別CP!J343),週次_媒体別CP!J343,"")</f>
        <v>0</v>
      </c>
    </row>
    <row r="336" customFormat="false" ht="15" hidden="false" customHeight="false" outlineLevel="0" collapsed="false">
      <c r="A336" s="72" t="s">
        <v>63</v>
      </c>
      <c r="B336" s="76" t="n">
        <f aca="false">IF(ISNUMBER(週次_媒体別CP!J8),週次_媒体別CP!J8,"")</f>
        <v>0.0542299349240781</v>
      </c>
      <c r="C336" s="76" t="n">
        <f aca="false">IF(ISNUMBER(週次_媒体別CP!J64),週次_媒体別CP!J64,"")</f>
        <v>0.0341614906832298</v>
      </c>
      <c r="D336" s="76" t="str">
        <f aca="false">IF(ISNUMBER(週次_媒体別CP!J120),週次_媒体別CP!J120,"")</f>
        <v/>
      </c>
      <c r="E336" s="76" t="n">
        <f aca="false">IF(ISNUMBER(週次_媒体別CP!J176),週次_媒体別CP!J176,"")</f>
        <v>0.0416666666666667</v>
      </c>
      <c r="F336" s="76" t="n">
        <f aca="false">IF(ISNUMBER(週次_媒体別CP!J232),週次_媒体別CP!J232,"")</f>
        <v>0.0121457489878543</v>
      </c>
      <c r="G336" s="76" t="n">
        <f aca="false">IF(ISNUMBER(週次_媒体別CP!J288),週次_媒体別CP!J288,"")</f>
        <v>0</v>
      </c>
      <c r="H336" s="76" t="n">
        <f aca="false">IF(ISNUMBER(週次_媒体別CP!J344),週次_媒体別CP!J344,"")</f>
        <v>0</v>
      </c>
    </row>
    <row r="337" customFormat="false" ht="15" hidden="false" customHeight="false" outlineLevel="0" collapsed="false">
      <c r="A337" s="72" t="s">
        <v>65</v>
      </c>
      <c r="B337" s="76" t="str">
        <f aca="false">IF(ISNUMBER(週次_媒体別CP!J9),週次_媒体別CP!J9,"")</f>
        <v/>
      </c>
      <c r="C337" s="76" t="n">
        <f aca="false">IF(ISNUMBER(週次_媒体別CP!J65),週次_媒体別CP!J65,"")</f>
        <v>0.0547504025764895</v>
      </c>
      <c r="D337" s="76" t="str">
        <f aca="false">IF(ISNUMBER(週次_媒体別CP!J121),週次_媒体別CP!J121,"")</f>
        <v/>
      </c>
      <c r="E337" s="76" t="str">
        <f aca="false">IF(ISNUMBER(週次_媒体別CP!J177),週次_媒体別CP!J177,"")</f>
        <v/>
      </c>
      <c r="F337" s="76" t="n">
        <f aca="false">IF(ISNUMBER(週次_媒体別CP!J233),週次_媒体別CP!J233,"")</f>
        <v>0.0172413793103448</v>
      </c>
      <c r="G337" s="76" t="str">
        <f aca="false">IF(ISNUMBER(週次_媒体別CP!J289),週次_媒体別CP!J289,"")</f>
        <v/>
      </c>
      <c r="H337" s="76" t="n">
        <f aca="false">IF(ISNUMBER(週次_媒体別CP!J345),週次_媒体別CP!J345,"")</f>
        <v>0</v>
      </c>
    </row>
    <row r="338" customFormat="false" ht="15" hidden="false" customHeight="false" outlineLevel="0" collapsed="false">
      <c r="A338" s="72" t="s">
        <v>68</v>
      </c>
      <c r="B338" s="76" t="str">
        <f aca="false">IF(ISNUMBER(週次_媒体別CP!J10),週次_媒体別CP!J10,"")</f>
        <v/>
      </c>
      <c r="C338" s="76" t="n">
        <f aca="false">IF(ISNUMBER(週次_媒体別CP!J66),週次_媒体別CP!J66,"")</f>
        <v>0.0403690888119954</v>
      </c>
      <c r="D338" s="76" t="str">
        <f aca="false">IF(ISNUMBER(週次_媒体別CP!J122),週次_媒体別CP!J122,"")</f>
        <v/>
      </c>
      <c r="E338" s="76" t="str">
        <f aca="false">IF(ISNUMBER(週次_媒体別CP!J178),週次_媒体別CP!J178,"")</f>
        <v/>
      </c>
      <c r="F338" s="76" t="n">
        <f aca="false">IF(ISNUMBER(週次_媒体別CP!J234),週次_媒体別CP!J234,"")</f>
        <v>0.05</v>
      </c>
      <c r="G338" s="76" t="str">
        <f aca="false">IF(ISNUMBER(週次_媒体別CP!J290),週次_媒体別CP!J290,"")</f>
        <v/>
      </c>
      <c r="H338" s="76" t="str">
        <f aca="false">IF(ISNUMBER(週次_媒体別CP!J346),週次_媒体別CP!J346,"")</f>
        <v/>
      </c>
    </row>
    <row r="339" customFormat="false" ht="15" hidden="false" customHeight="false" outlineLevel="0" collapsed="false">
      <c r="A339" s="72" t="s">
        <v>70</v>
      </c>
      <c r="B339" s="76" t="str">
        <f aca="false">IF(ISNUMBER(週次_媒体別CP!J11),週次_媒体別CP!J11,"")</f>
        <v/>
      </c>
      <c r="C339" s="76" t="n">
        <f aca="false">IF(ISNUMBER(週次_媒体別CP!J67),週次_媒体別CP!J67,"")</f>
        <v>0.03875</v>
      </c>
      <c r="D339" s="76" t="n">
        <f aca="false">IF(ISNUMBER(週次_媒体別CP!J123),週次_媒体別CP!J123,"")</f>
        <v>0</v>
      </c>
      <c r="E339" s="76" t="str">
        <f aca="false">IF(ISNUMBER(週次_媒体別CP!J179),週次_媒体別CP!J179,"")</f>
        <v/>
      </c>
      <c r="F339" s="76" t="str">
        <f aca="false">IF(ISNUMBER(週次_媒体別CP!J235),週次_媒体別CP!J235,"")</f>
        <v/>
      </c>
      <c r="G339" s="76" t="str">
        <f aca="false">IF(ISNUMBER(週次_媒体別CP!J291),週次_媒体別CP!J291,"")</f>
        <v/>
      </c>
      <c r="H339" s="76" t="str">
        <f aca="false">IF(ISNUMBER(週次_媒体別CP!J347),週次_媒体別CP!J347,"")</f>
        <v/>
      </c>
    </row>
    <row r="340" customFormat="false" ht="15" hidden="false" customHeight="false" outlineLevel="0" collapsed="false">
      <c r="A340" s="72" t="s">
        <v>72</v>
      </c>
      <c r="B340" s="76" t="str">
        <f aca="false">IF(ISNUMBER(週次_媒体別CP!J12),週次_媒体別CP!J12,"")</f>
        <v/>
      </c>
      <c r="C340" s="76" t="n">
        <f aca="false">IF(ISNUMBER(週次_媒体別CP!J68),週次_媒体別CP!J68,"")</f>
        <v>0.0508684863523573</v>
      </c>
      <c r="D340" s="76" t="n">
        <f aca="false">IF(ISNUMBER(週次_媒体別CP!J124),週次_媒体別CP!J124,"")</f>
        <v>0.0505836575875486</v>
      </c>
      <c r="E340" s="76" t="str">
        <f aca="false">IF(ISNUMBER(週次_媒体別CP!J180),週次_媒体別CP!J180,"")</f>
        <v/>
      </c>
      <c r="F340" s="76" t="str">
        <f aca="false">IF(ISNUMBER(週次_媒体別CP!J236),週次_媒体別CP!J236,"")</f>
        <v/>
      </c>
      <c r="G340" s="76" t="str">
        <f aca="false">IF(ISNUMBER(週次_媒体別CP!J292),週次_媒体別CP!J292,"")</f>
        <v/>
      </c>
      <c r="H340" s="76" t="str">
        <f aca="false">IF(ISNUMBER(週次_媒体別CP!J348),週次_媒体別CP!J348,"")</f>
        <v/>
      </c>
    </row>
    <row r="341" customFormat="false" ht="15" hidden="false" customHeight="false" outlineLevel="0" collapsed="false">
      <c r="A341" s="72" t="s">
        <v>74</v>
      </c>
      <c r="B341" s="76" t="n">
        <f aca="false">IF(ISNUMBER(週次_媒体別CP!J13),週次_媒体別CP!J13,"")</f>
        <v>0.104477611940299</v>
      </c>
      <c r="C341" s="76" t="n">
        <f aca="false">IF(ISNUMBER(週次_媒体別CP!J69),週次_媒体別CP!J69,"")</f>
        <v>0.0398089171974522</v>
      </c>
      <c r="D341" s="76" t="n">
        <f aca="false">IF(ISNUMBER(週次_媒体別CP!J125),週次_媒体別CP!J125,"")</f>
        <v>0.0359937402190923</v>
      </c>
      <c r="E341" s="76" t="str">
        <f aca="false">IF(ISNUMBER(週次_媒体別CP!J181),週次_媒体別CP!J181,"")</f>
        <v/>
      </c>
      <c r="F341" s="76" t="str">
        <f aca="false">IF(ISNUMBER(週次_媒体別CP!J237),週次_媒体別CP!J237,"")</f>
        <v/>
      </c>
      <c r="G341" s="76" t="str">
        <f aca="false">IF(ISNUMBER(週次_媒体別CP!J293),週次_媒体別CP!J293,"")</f>
        <v/>
      </c>
      <c r="H341" s="76" t="str">
        <f aca="false">IF(ISNUMBER(週次_媒体別CP!J349),週次_媒体別CP!J349,"")</f>
        <v/>
      </c>
    </row>
    <row r="342" customFormat="false" ht="15" hidden="false" customHeight="false" outlineLevel="0" collapsed="false">
      <c r="A342" s="72" t="s">
        <v>76</v>
      </c>
      <c r="B342" s="76" t="n">
        <f aca="false">IF(ISNUMBER(週次_媒体別CP!J14),週次_媒体別CP!J14,"")</f>
        <v>0.104776579352851</v>
      </c>
      <c r="C342" s="76" t="n">
        <f aca="false">IF(ISNUMBER(週次_媒体別CP!J70),週次_媒体別CP!J70,"")</f>
        <v>0.0338164251207729</v>
      </c>
      <c r="D342" s="76" t="n">
        <f aca="false">IF(ISNUMBER(週次_媒体別CP!J126),週次_媒体別CP!J126,"")</f>
        <v>0.0650759219088937</v>
      </c>
      <c r="E342" s="76" t="str">
        <f aca="false">IF(ISNUMBER(週次_媒体別CP!J182),週次_媒体別CP!J182,"")</f>
        <v/>
      </c>
      <c r="F342" s="76" t="str">
        <f aca="false">IF(ISNUMBER(週次_媒体別CP!J238),週次_媒体別CP!J238,"")</f>
        <v/>
      </c>
      <c r="G342" s="76" t="str">
        <f aca="false">IF(ISNUMBER(週次_媒体別CP!J294),週次_媒体別CP!J294,"")</f>
        <v/>
      </c>
      <c r="H342" s="76" t="str">
        <f aca="false">IF(ISNUMBER(週次_媒体別CP!J350),週次_媒体別CP!J350,"")</f>
        <v/>
      </c>
    </row>
    <row r="343" customFormat="false" ht="15" hidden="false" customHeight="false" outlineLevel="0" collapsed="false">
      <c r="A343" s="72" t="s">
        <v>78</v>
      </c>
      <c r="B343" s="76" t="n">
        <f aca="false">IF(ISNUMBER(週次_媒体別CP!J15),週次_媒体別CP!J15,"")</f>
        <v>0.142241379310345</v>
      </c>
      <c r="C343" s="76" t="n">
        <f aca="false">IF(ISNUMBER(週次_媒体別CP!J71),週次_媒体別CP!J71,"")</f>
        <v>0.0408602150537634</v>
      </c>
      <c r="D343" s="76" t="n">
        <f aca="false">IF(ISNUMBER(週次_媒体別CP!J127),週次_媒体別CP!J127,"")</f>
        <v>0.0665236051502146</v>
      </c>
      <c r="E343" s="76" t="str">
        <f aca="false">IF(ISNUMBER(週次_媒体別CP!J183),週次_媒体別CP!J183,"")</f>
        <v/>
      </c>
      <c r="F343" s="76" t="str">
        <f aca="false">IF(ISNUMBER(週次_媒体別CP!J239),週次_媒体別CP!J239,"")</f>
        <v/>
      </c>
      <c r="G343" s="76" t="str">
        <f aca="false">IF(ISNUMBER(週次_媒体別CP!J295),週次_媒体別CP!J295,"")</f>
        <v/>
      </c>
      <c r="H343" s="76" t="str">
        <f aca="false">IF(ISNUMBER(週次_媒体別CP!J351),週次_媒体別CP!J351,"")</f>
        <v/>
      </c>
    </row>
    <row r="344" customFormat="false" ht="15" hidden="false" customHeight="false" outlineLevel="0" collapsed="false">
      <c r="A344" s="72" t="s">
        <v>80</v>
      </c>
      <c r="B344" s="76" t="n">
        <f aca="false">IF(ISNUMBER(週次_媒体別CP!J16),週次_媒体別CP!J16,"")</f>
        <v>0.0607375271149675</v>
      </c>
      <c r="C344" s="76" t="n">
        <f aca="false">IF(ISNUMBER(週次_媒体別CP!J72),週次_媒体別CP!J72,"")</f>
        <v>0.0336351875808538</v>
      </c>
      <c r="D344" s="76" t="n">
        <f aca="false">IF(ISNUMBER(週次_媒体別CP!J128),週次_媒体別CP!J128,"")</f>
        <v>0.0704960835509138</v>
      </c>
      <c r="E344" s="76" t="str">
        <f aca="false">IF(ISNUMBER(週次_媒体別CP!J184),週次_媒体別CP!J184,"")</f>
        <v/>
      </c>
      <c r="F344" s="76" t="str">
        <f aca="false">IF(ISNUMBER(週次_媒体別CP!J240),週次_媒体別CP!J240,"")</f>
        <v/>
      </c>
      <c r="G344" s="76" t="str">
        <f aca="false">IF(ISNUMBER(週次_媒体別CP!J296),週次_媒体別CP!J296,"")</f>
        <v/>
      </c>
      <c r="H344" s="76" t="str">
        <f aca="false">IF(ISNUMBER(週次_媒体別CP!J352),週次_媒体別CP!J352,"")</f>
        <v/>
      </c>
    </row>
    <row r="345" customFormat="false" ht="15" hidden="false" customHeight="false" outlineLevel="0" collapsed="false">
      <c r="A345" s="72" t="s">
        <v>82</v>
      </c>
      <c r="B345" s="76" t="str">
        <f aca="false">IF(ISNUMBER(週次_媒体別CP!J17),週次_媒体別CP!J17,"")</f>
        <v/>
      </c>
      <c r="C345" s="76" t="str">
        <f aca="false">IF(ISNUMBER(週次_媒体別CP!J73),週次_媒体別CP!J73,"")</f>
        <v/>
      </c>
      <c r="D345" s="76" t="str">
        <f aca="false">IF(ISNUMBER(週次_媒体別CP!J129),週次_媒体別CP!J129,"")</f>
        <v/>
      </c>
      <c r="E345" s="76" t="str">
        <f aca="false">IF(ISNUMBER(週次_媒体別CP!J185),週次_媒体別CP!J185,"")</f>
        <v/>
      </c>
      <c r="F345" s="76" t="str">
        <f aca="false">IF(ISNUMBER(週次_媒体別CP!J241),週次_媒体別CP!J241,"")</f>
        <v/>
      </c>
      <c r="G345" s="76" t="str">
        <f aca="false">IF(ISNUMBER(週次_媒体別CP!J297),週次_媒体別CP!J297,"")</f>
        <v/>
      </c>
      <c r="H345" s="76" t="str">
        <f aca="false">IF(ISNUMBER(週次_媒体別CP!J353),週次_媒体別CP!J353,"")</f>
        <v/>
      </c>
    </row>
    <row r="346" customFormat="false" ht="15" hidden="false" customHeight="false" outlineLevel="0" collapsed="false">
      <c r="A346" s="72" t="s">
        <v>84</v>
      </c>
      <c r="B346" s="76" t="str">
        <f aca="false">IF(ISNUMBER(週次_媒体別CP!J18),週次_媒体別CP!J18,"")</f>
        <v/>
      </c>
      <c r="C346" s="76" t="str">
        <f aca="false">IF(ISNUMBER(週次_媒体別CP!J74),週次_媒体別CP!J74,"")</f>
        <v/>
      </c>
      <c r="D346" s="76" t="str">
        <f aca="false">IF(ISNUMBER(週次_媒体別CP!J130),週次_媒体別CP!J130,"")</f>
        <v/>
      </c>
      <c r="E346" s="76" t="str">
        <f aca="false">IF(ISNUMBER(週次_媒体別CP!J186),週次_媒体別CP!J186,"")</f>
        <v/>
      </c>
      <c r="F346" s="76" t="str">
        <f aca="false">IF(ISNUMBER(週次_媒体別CP!J242),週次_媒体別CP!J242,"")</f>
        <v/>
      </c>
      <c r="G346" s="76" t="str">
        <f aca="false">IF(ISNUMBER(週次_媒体別CP!J298),週次_媒体別CP!J298,"")</f>
        <v/>
      </c>
      <c r="H346" s="76" t="str">
        <f aca="false">IF(ISNUMBER(週次_媒体別CP!J354),週次_媒体別CP!J354,"")</f>
        <v/>
      </c>
    </row>
    <row r="347" customFormat="false" ht="15" hidden="false" customHeight="false" outlineLevel="0" collapsed="false">
      <c r="A347" s="72" t="s">
        <v>86</v>
      </c>
      <c r="B347" s="76" t="str">
        <f aca="false">IF(ISNUMBER(週次_媒体別CP!J19),週次_媒体別CP!J19,"")</f>
        <v/>
      </c>
      <c r="C347" s="76" t="str">
        <f aca="false">IF(ISNUMBER(週次_媒体別CP!J75),週次_媒体別CP!J75,"")</f>
        <v/>
      </c>
      <c r="D347" s="76" t="str">
        <f aca="false">IF(ISNUMBER(週次_媒体別CP!J131),週次_媒体別CP!J131,"")</f>
        <v/>
      </c>
      <c r="E347" s="76" t="str">
        <f aca="false">IF(ISNUMBER(週次_媒体別CP!J187),週次_媒体別CP!J187,"")</f>
        <v/>
      </c>
      <c r="F347" s="76" t="str">
        <f aca="false">IF(ISNUMBER(週次_媒体別CP!J243),週次_媒体別CP!J243,"")</f>
        <v/>
      </c>
      <c r="G347" s="76" t="str">
        <f aca="false">IF(ISNUMBER(週次_媒体別CP!J299),週次_媒体別CP!J299,"")</f>
        <v/>
      </c>
      <c r="H347" s="76" t="str">
        <f aca="false">IF(ISNUMBER(週次_媒体別CP!J355),週次_媒体別CP!J355,"")</f>
        <v/>
      </c>
    </row>
    <row r="348" customFormat="false" ht="15" hidden="false" customHeight="false" outlineLevel="0" collapsed="false">
      <c r="A348" s="72" t="s">
        <v>88</v>
      </c>
      <c r="B348" s="76" t="str">
        <f aca="false">IF(ISNUMBER(週次_媒体別CP!J20),週次_媒体別CP!J20,"")</f>
        <v/>
      </c>
      <c r="C348" s="76" t="str">
        <f aca="false">IF(ISNUMBER(週次_媒体別CP!J76),週次_媒体別CP!J76,"")</f>
        <v/>
      </c>
      <c r="D348" s="76" t="str">
        <f aca="false">IF(ISNUMBER(週次_媒体別CP!J132),週次_媒体別CP!J132,"")</f>
        <v/>
      </c>
      <c r="E348" s="76" t="str">
        <f aca="false">IF(ISNUMBER(週次_媒体別CP!J188),週次_媒体別CP!J188,"")</f>
        <v/>
      </c>
      <c r="F348" s="76" t="str">
        <f aca="false">IF(ISNUMBER(週次_媒体別CP!J244),週次_媒体別CP!J244,"")</f>
        <v/>
      </c>
      <c r="G348" s="76" t="str">
        <f aca="false">IF(ISNUMBER(週次_媒体別CP!J300),週次_媒体別CP!J300,"")</f>
        <v/>
      </c>
      <c r="H348" s="76" t="str">
        <f aca="false">IF(ISNUMBER(週次_媒体別CP!J356),週次_媒体別CP!J356,"")</f>
        <v/>
      </c>
    </row>
    <row r="349" customFormat="false" ht="15" hidden="false" customHeight="false" outlineLevel="0" collapsed="false">
      <c r="A349" s="72" t="s">
        <v>90</v>
      </c>
      <c r="B349" s="76" t="str">
        <f aca="false">IF(ISNUMBER(週次_媒体別CP!J21),週次_媒体別CP!J21,"")</f>
        <v/>
      </c>
      <c r="C349" s="76" t="str">
        <f aca="false">IF(ISNUMBER(週次_媒体別CP!J77),週次_媒体別CP!J77,"")</f>
        <v/>
      </c>
      <c r="D349" s="76" t="str">
        <f aca="false">IF(ISNUMBER(週次_媒体別CP!J133),週次_媒体別CP!J133,"")</f>
        <v/>
      </c>
      <c r="E349" s="76" t="str">
        <f aca="false">IF(ISNUMBER(週次_媒体別CP!J189),週次_媒体別CP!J189,"")</f>
        <v/>
      </c>
      <c r="F349" s="76" t="str">
        <f aca="false">IF(ISNUMBER(週次_媒体別CP!J245),週次_媒体別CP!J245,"")</f>
        <v/>
      </c>
      <c r="G349" s="76" t="str">
        <f aca="false">IF(ISNUMBER(週次_媒体別CP!J301),週次_媒体別CP!J301,"")</f>
        <v/>
      </c>
      <c r="H349" s="76" t="str">
        <f aca="false">IF(ISNUMBER(週次_媒体別CP!J357),週次_媒体別CP!J357,"")</f>
        <v/>
      </c>
    </row>
    <row r="350" customFormat="false" ht="15" hidden="false" customHeight="false" outlineLevel="0" collapsed="false">
      <c r="A350" s="72" t="s">
        <v>92</v>
      </c>
      <c r="B350" s="76" t="str">
        <f aca="false">IF(ISNUMBER(週次_媒体別CP!J22),週次_媒体別CP!J22,"")</f>
        <v/>
      </c>
      <c r="C350" s="76" t="str">
        <f aca="false">IF(ISNUMBER(週次_媒体別CP!J78),週次_媒体別CP!J78,"")</f>
        <v/>
      </c>
      <c r="D350" s="76" t="str">
        <f aca="false">IF(ISNUMBER(週次_媒体別CP!J134),週次_媒体別CP!J134,"")</f>
        <v/>
      </c>
      <c r="E350" s="76" t="str">
        <f aca="false">IF(ISNUMBER(週次_媒体別CP!J190),週次_媒体別CP!J190,"")</f>
        <v/>
      </c>
      <c r="F350" s="76" t="str">
        <f aca="false">IF(ISNUMBER(週次_媒体別CP!J246),週次_媒体別CP!J246,"")</f>
        <v/>
      </c>
      <c r="G350" s="76" t="str">
        <f aca="false">IF(ISNUMBER(週次_媒体別CP!J302),週次_媒体別CP!J302,"")</f>
        <v/>
      </c>
      <c r="H350" s="76" t="str">
        <f aca="false">IF(ISNUMBER(週次_媒体別CP!J358),週次_媒体別CP!J358,"")</f>
        <v/>
      </c>
    </row>
    <row r="351" customFormat="false" ht="15" hidden="false" customHeight="false" outlineLevel="0" collapsed="false">
      <c r="A351" s="72" t="s">
        <v>94</v>
      </c>
      <c r="B351" s="76" t="str">
        <f aca="false">IF(ISNUMBER(週次_媒体別CP!J23),週次_媒体別CP!J23,"")</f>
        <v/>
      </c>
      <c r="C351" s="76" t="str">
        <f aca="false">IF(ISNUMBER(週次_媒体別CP!J79),週次_媒体別CP!J79,"")</f>
        <v/>
      </c>
      <c r="D351" s="76" t="str">
        <f aca="false">IF(ISNUMBER(週次_媒体別CP!J135),週次_媒体別CP!J135,"")</f>
        <v/>
      </c>
      <c r="E351" s="76" t="str">
        <f aca="false">IF(ISNUMBER(週次_媒体別CP!J191),週次_媒体別CP!J191,"")</f>
        <v/>
      </c>
      <c r="F351" s="76" t="str">
        <f aca="false">IF(ISNUMBER(週次_媒体別CP!J247),週次_媒体別CP!J247,"")</f>
        <v/>
      </c>
      <c r="G351" s="76" t="str">
        <f aca="false">IF(ISNUMBER(週次_媒体別CP!J303),週次_媒体別CP!J303,"")</f>
        <v/>
      </c>
      <c r="H351" s="76" t="str">
        <f aca="false">IF(ISNUMBER(週次_媒体別CP!J359),週次_媒体別CP!J359,"")</f>
        <v/>
      </c>
    </row>
    <row r="352" customFormat="false" ht="15" hidden="false" customHeight="false" outlineLevel="0" collapsed="false">
      <c r="A352" s="72" t="s">
        <v>96</v>
      </c>
      <c r="B352" s="76" t="str">
        <f aca="false">IF(ISNUMBER(週次_媒体別CP!J24),週次_媒体別CP!J24,"")</f>
        <v/>
      </c>
      <c r="C352" s="76" t="str">
        <f aca="false">IF(ISNUMBER(週次_媒体別CP!J80),週次_媒体別CP!J80,"")</f>
        <v/>
      </c>
      <c r="D352" s="76" t="str">
        <f aca="false">IF(ISNUMBER(週次_媒体別CP!J136),週次_媒体別CP!J136,"")</f>
        <v/>
      </c>
      <c r="E352" s="76" t="str">
        <f aca="false">IF(ISNUMBER(週次_媒体別CP!J192),週次_媒体別CP!J192,"")</f>
        <v/>
      </c>
      <c r="F352" s="76" t="str">
        <f aca="false">IF(ISNUMBER(週次_媒体別CP!J248),週次_媒体別CP!J248,"")</f>
        <v/>
      </c>
      <c r="G352" s="76" t="str">
        <f aca="false">IF(ISNUMBER(週次_媒体別CP!J304),週次_媒体別CP!J304,"")</f>
        <v/>
      </c>
      <c r="H352" s="76" t="str">
        <f aca="false">IF(ISNUMBER(週次_媒体別CP!J360),週次_媒体別CP!J360,"")</f>
        <v/>
      </c>
    </row>
    <row r="353" customFormat="false" ht="15" hidden="false" customHeight="false" outlineLevel="0" collapsed="false">
      <c r="A353" s="72" t="s">
        <v>98</v>
      </c>
      <c r="B353" s="76" t="str">
        <f aca="false">IF(ISNUMBER(週次_媒体別CP!J25),週次_媒体別CP!J25,"")</f>
        <v/>
      </c>
      <c r="C353" s="76" t="str">
        <f aca="false">IF(ISNUMBER(週次_媒体別CP!J81),週次_媒体別CP!J81,"")</f>
        <v/>
      </c>
      <c r="D353" s="76" t="str">
        <f aca="false">IF(ISNUMBER(週次_媒体別CP!J137),週次_媒体別CP!J137,"")</f>
        <v/>
      </c>
      <c r="E353" s="76" t="str">
        <f aca="false">IF(ISNUMBER(週次_媒体別CP!J193),週次_媒体別CP!J193,"")</f>
        <v/>
      </c>
      <c r="F353" s="76" t="str">
        <f aca="false">IF(ISNUMBER(週次_媒体別CP!J249),週次_媒体別CP!J249,"")</f>
        <v/>
      </c>
      <c r="G353" s="76" t="str">
        <f aca="false">IF(ISNUMBER(週次_媒体別CP!J305),週次_媒体別CP!J305,"")</f>
        <v/>
      </c>
      <c r="H353" s="76" t="str">
        <f aca="false">IF(ISNUMBER(週次_媒体別CP!J361),週次_媒体別CP!J361,"")</f>
        <v/>
      </c>
    </row>
    <row r="354" customFormat="false" ht="15" hidden="false" customHeight="false" outlineLevel="0" collapsed="false">
      <c r="A354" s="72" t="s">
        <v>100</v>
      </c>
      <c r="B354" s="76" t="str">
        <f aca="false">IF(ISNUMBER(週次_媒体別CP!J26),週次_媒体別CP!J26,"")</f>
        <v/>
      </c>
      <c r="C354" s="76" t="str">
        <f aca="false">IF(ISNUMBER(週次_媒体別CP!J82),週次_媒体別CP!J82,"")</f>
        <v/>
      </c>
      <c r="D354" s="76" t="str">
        <f aca="false">IF(ISNUMBER(週次_媒体別CP!J138),週次_媒体別CP!J138,"")</f>
        <v/>
      </c>
      <c r="E354" s="76" t="str">
        <f aca="false">IF(ISNUMBER(週次_媒体別CP!J194),週次_媒体別CP!J194,"")</f>
        <v/>
      </c>
      <c r="F354" s="76" t="str">
        <f aca="false">IF(ISNUMBER(週次_媒体別CP!J250),週次_媒体別CP!J250,"")</f>
        <v/>
      </c>
      <c r="G354" s="76" t="str">
        <f aca="false">IF(ISNUMBER(週次_媒体別CP!J306),週次_媒体別CP!J306,"")</f>
        <v/>
      </c>
      <c r="H354" s="76" t="str">
        <f aca="false">IF(ISNUMBER(週次_媒体別CP!J362),週次_媒体別CP!J362,"")</f>
        <v/>
      </c>
    </row>
    <row r="355" customFormat="false" ht="15" hidden="false" customHeight="false" outlineLevel="0" collapsed="false">
      <c r="A355" s="72" t="s">
        <v>102</v>
      </c>
      <c r="B355" s="76" t="str">
        <f aca="false">IF(ISNUMBER(週次_媒体別CP!J27),週次_媒体別CP!J27,"")</f>
        <v/>
      </c>
      <c r="C355" s="76" t="str">
        <f aca="false">IF(ISNUMBER(週次_媒体別CP!J83),週次_媒体別CP!J83,"")</f>
        <v/>
      </c>
      <c r="D355" s="76" t="str">
        <f aca="false">IF(ISNUMBER(週次_媒体別CP!J139),週次_媒体別CP!J139,"")</f>
        <v/>
      </c>
      <c r="E355" s="76" t="str">
        <f aca="false">IF(ISNUMBER(週次_媒体別CP!J195),週次_媒体別CP!J195,"")</f>
        <v/>
      </c>
      <c r="F355" s="76" t="str">
        <f aca="false">IF(ISNUMBER(週次_媒体別CP!J251),週次_媒体別CP!J251,"")</f>
        <v/>
      </c>
      <c r="G355" s="76" t="str">
        <f aca="false">IF(ISNUMBER(週次_媒体別CP!J307),週次_媒体別CP!J307,"")</f>
        <v/>
      </c>
      <c r="H355" s="76" t="str">
        <f aca="false">IF(ISNUMBER(週次_媒体別CP!J363),週次_媒体別CP!J363,"")</f>
        <v/>
      </c>
    </row>
    <row r="356" customFormat="false" ht="15" hidden="false" customHeight="false" outlineLevel="0" collapsed="false">
      <c r="A356" s="72" t="s">
        <v>104</v>
      </c>
      <c r="B356" s="76" t="str">
        <f aca="false">IF(ISNUMBER(週次_媒体別CP!J28),週次_媒体別CP!J28,"")</f>
        <v/>
      </c>
      <c r="C356" s="76" t="str">
        <f aca="false">IF(ISNUMBER(週次_媒体別CP!J84),週次_媒体別CP!J84,"")</f>
        <v/>
      </c>
      <c r="D356" s="76" t="str">
        <f aca="false">IF(ISNUMBER(週次_媒体別CP!J140),週次_媒体別CP!J140,"")</f>
        <v/>
      </c>
      <c r="E356" s="76" t="str">
        <f aca="false">IF(ISNUMBER(週次_媒体別CP!J196),週次_媒体別CP!J196,"")</f>
        <v/>
      </c>
      <c r="F356" s="76" t="str">
        <f aca="false">IF(ISNUMBER(週次_媒体別CP!J252),週次_媒体別CP!J252,"")</f>
        <v/>
      </c>
      <c r="G356" s="76" t="str">
        <f aca="false">IF(ISNUMBER(週次_媒体別CP!J308),週次_媒体別CP!J308,"")</f>
        <v/>
      </c>
      <c r="H356" s="76" t="str">
        <f aca="false">IF(ISNUMBER(週次_媒体別CP!J364),週次_媒体別CP!J364,"")</f>
        <v/>
      </c>
    </row>
    <row r="357" customFormat="false" ht="15" hidden="false" customHeight="false" outlineLevel="0" collapsed="false">
      <c r="A357" s="72" t="s">
        <v>106</v>
      </c>
      <c r="B357" s="76" t="str">
        <f aca="false">IF(ISNUMBER(週次_媒体別CP!J29),週次_媒体別CP!J29,"")</f>
        <v/>
      </c>
      <c r="C357" s="76" t="str">
        <f aca="false">IF(ISNUMBER(週次_媒体別CP!J85),週次_媒体別CP!J85,"")</f>
        <v/>
      </c>
      <c r="D357" s="76" t="str">
        <f aca="false">IF(ISNUMBER(週次_媒体別CP!J141),週次_媒体別CP!J141,"")</f>
        <v/>
      </c>
      <c r="E357" s="76" t="str">
        <f aca="false">IF(ISNUMBER(週次_媒体別CP!J197),週次_媒体別CP!J197,"")</f>
        <v/>
      </c>
      <c r="F357" s="76" t="str">
        <f aca="false">IF(ISNUMBER(週次_媒体別CP!J253),週次_媒体別CP!J253,"")</f>
        <v/>
      </c>
      <c r="G357" s="76" t="str">
        <f aca="false">IF(ISNUMBER(週次_媒体別CP!J309),週次_媒体別CP!J309,"")</f>
        <v/>
      </c>
      <c r="H357" s="76" t="str">
        <f aca="false">IF(ISNUMBER(週次_媒体別CP!J365),週次_媒体別CP!J365,"")</f>
        <v/>
      </c>
    </row>
    <row r="358" customFormat="false" ht="15" hidden="false" customHeight="false" outlineLevel="0" collapsed="false">
      <c r="A358" s="72" t="s">
        <v>108</v>
      </c>
      <c r="B358" s="76" t="str">
        <f aca="false">IF(ISNUMBER(週次_媒体別CP!J30),週次_媒体別CP!J30,"")</f>
        <v/>
      </c>
      <c r="C358" s="76" t="str">
        <f aca="false">IF(ISNUMBER(週次_媒体別CP!J86),週次_媒体別CP!J86,"")</f>
        <v/>
      </c>
      <c r="D358" s="76" t="str">
        <f aca="false">IF(ISNUMBER(週次_媒体別CP!J142),週次_媒体別CP!J142,"")</f>
        <v/>
      </c>
      <c r="E358" s="76" t="str">
        <f aca="false">IF(ISNUMBER(週次_媒体別CP!J198),週次_媒体別CP!J198,"")</f>
        <v/>
      </c>
      <c r="F358" s="76" t="str">
        <f aca="false">IF(ISNUMBER(週次_媒体別CP!J254),週次_媒体別CP!J254,"")</f>
        <v/>
      </c>
      <c r="G358" s="76" t="str">
        <f aca="false">IF(ISNUMBER(週次_媒体別CP!J310),週次_媒体別CP!J310,"")</f>
        <v/>
      </c>
      <c r="H358" s="76" t="str">
        <f aca="false">IF(ISNUMBER(週次_媒体別CP!J366),週次_媒体別CP!J366,"")</f>
        <v/>
      </c>
    </row>
    <row r="359" customFormat="false" ht="15" hidden="false" customHeight="false" outlineLevel="0" collapsed="false">
      <c r="A359" s="72" t="s">
        <v>110</v>
      </c>
      <c r="B359" s="76" t="str">
        <f aca="false">IF(ISNUMBER(週次_媒体別CP!J31),週次_媒体別CP!J31,"")</f>
        <v/>
      </c>
      <c r="C359" s="76" t="str">
        <f aca="false">IF(ISNUMBER(週次_媒体別CP!J87),週次_媒体別CP!J87,"")</f>
        <v/>
      </c>
      <c r="D359" s="76" t="str">
        <f aca="false">IF(ISNUMBER(週次_媒体別CP!J143),週次_媒体別CP!J143,"")</f>
        <v/>
      </c>
      <c r="E359" s="76" t="str">
        <f aca="false">IF(ISNUMBER(週次_媒体別CP!J199),週次_媒体別CP!J199,"")</f>
        <v/>
      </c>
      <c r="F359" s="76" t="str">
        <f aca="false">IF(ISNUMBER(週次_媒体別CP!J255),週次_媒体別CP!J255,"")</f>
        <v/>
      </c>
      <c r="G359" s="76" t="str">
        <f aca="false">IF(ISNUMBER(週次_媒体別CP!J311),週次_媒体別CP!J311,"")</f>
        <v/>
      </c>
      <c r="H359" s="76" t="str">
        <f aca="false">IF(ISNUMBER(週次_媒体別CP!J367),週次_媒体別CP!J367,"")</f>
        <v/>
      </c>
    </row>
    <row r="360" customFormat="false" ht="15" hidden="false" customHeight="false" outlineLevel="0" collapsed="false">
      <c r="A360" s="72" t="s">
        <v>112</v>
      </c>
      <c r="B360" s="76" t="str">
        <f aca="false">IF(ISNUMBER(週次_媒体別CP!J32),週次_媒体別CP!J32,"")</f>
        <v/>
      </c>
      <c r="C360" s="76" t="str">
        <f aca="false">IF(ISNUMBER(週次_媒体別CP!J88),週次_媒体別CP!J88,"")</f>
        <v/>
      </c>
      <c r="D360" s="76" t="str">
        <f aca="false">IF(ISNUMBER(週次_媒体別CP!J144),週次_媒体別CP!J144,"")</f>
        <v/>
      </c>
      <c r="E360" s="76" t="str">
        <f aca="false">IF(ISNUMBER(週次_媒体別CP!J200),週次_媒体別CP!J200,"")</f>
        <v/>
      </c>
      <c r="F360" s="76" t="str">
        <f aca="false">IF(ISNUMBER(週次_媒体別CP!J256),週次_媒体別CP!J256,"")</f>
        <v/>
      </c>
      <c r="G360" s="76" t="str">
        <f aca="false">IF(ISNUMBER(週次_媒体別CP!J312),週次_媒体別CP!J312,"")</f>
        <v/>
      </c>
      <c r="H360" s="76" t="str">
        <f aca="false">IF(ISNUMBER(週次_媒体別CP!J368),週次_媒体別CP!J368,"")</f>
        <v/>
      </c>
    </row>
    <row r="361" customFormat="false" ht="15" hidden="false" customHeight="false" outlineLevel="0" collapsed="false">
      <c r="A361" s="72" t="s">
        <v>114</v>
      </c>
      <c r="B361" s="76" t="str">
        <f aca="false">IF(ISNUMBER(週次_媒体別CP!J33),週次_媒体別CP!J33,"")</f>
        <v/>
      </c>
      <c r="C361" s="76" t="str">
        <f aca="false">IF(ISNUMBER(週次_媒体別CP!J89),週次_媒体別CP!J89,"")</f>
        <v/>
      </c>
      <c r="D361" s="76" t="str">
        <f aca="false">IF(ISNUMBER(週次_媒体別CP!J145),週次_媒体別CP!J145,"")</f>
        <v/>
      </c>
      <c r="E361" s="76" t="str">
        <f aca="false">IF(ISNUMBER(週次_媒体別CP!J201),週次_媒体別CP!J201,"")</f>
        <v/>
      </c>
      <c r="F361" s="76" t="str">
        <f aca="false">IF(ISNUMBER(週次_媒体別CP!J257),週次_媒体別CP!J257,"")</f>
        <v/>
      </c>
      <c r="G361" s="76" t="str">
        <f aca="false">IF(ISNUMBER(週次_媒体別CP!J313),週次_媒体別CP!J313,"")</f>
        <v/>
      </c>
      <c r="H361" s="76" t="str">
        <f aca="false">IF(ISNUMBER(週次_媒体別CP!J369),週次_媒体別CP!J369,"")</f>
        <v/>
      </c>
    </row>
    <row r="362" customFormat="false" ht="15" hidden="false" customHeight="false" outlineLevel="0" collapsed="false">
      <c r="A362" s="72" t="s">
        <v>116</v>
      </c>
      <c r="B362" s="76" t="str">
        <f aca="false">IF(ISNUMBER(週次_媒体別CP!J34),週次_媒体別CP!J34,"")</f>
        <v/>
      </c>
      <c r="C362" s="76" t="str">
        <f aca="false">IF(ISNUMBER(週次_媒体別CP!J90),週次_媒体別CP!J90,"")</f>
        <v/>
      </c>
      <c r="D362" s="76" t="str">
        <f aca="false">IF(ISNUMBER(週次_媒体別CP!J146),週次_媒体別CP!J146,"")</f>
        <v/>
      </c>
      <c r="E362" s="76" t="str">
        <f aca="false">IF(ISNUMBER(週次_媒体別CP!J202),週次_媒体別CP!J202,"")</f>
        <v/>
      </c>
      <c r="F362" s="76" t="str">
        <f aca="false">IF(ISNUMBER(週次_媒体別CP!J258),週次_媒体別CP!J258,"")</f>
        <v/>
      </c>
      <c r="G362" s="76" t="str">
        <f aca="false">IF(ISNUMBER(週次_媒体別CP!J314),週次_媒体別CP!J314,"")</f>
        <v/>
      </c>
      <c r="H362" s="76" t="str">
        <f aca="false">IF(ISNUMBER(週次_媒体別CP!J370),週次_媒体別CP!J370,"")</f>
        <v/>
      </c>
    </row>
    <row r="363" customFormat="false" ht="15" hidden="false" customHeight="false" outlineLevel="0" collapsed="false">
      <c r="A363" s="72" t="s">
        <v>118</v>
      </c>
      <c r="B363" s="76" t="str">
        <f aca="false">IF(ISNUMBER(週次_媒体別CP!J35),週次_媒体別CP!J35,"")</f>
        <v/>
      </c>
      <c r="C363" s="76" t="str">
        <f aca="false">IF(ISNUMBER(週次_媒体別CP!J91),週次_媒体別CP!J91,"")</f>
        <v/>
      </c>
      <c r="D363" s="76" t="str">
        <f aca="false">IF(ISNUMBER(週次_媒体別CP!J147),週次_媒体別CP!J147,"")</f>
        <v/>
      </c>
      <c r="E363" s="76" t="str">
        <f aca="false">IF(ISNUMBER(週次_媒体別CP!J203),週次_媒体別CP!J203,"")</f>
        <v/>
      </c>
      <c r="F363" s="76" t="str">
        <f aca="false">IF(ISNUMBER(週次_媒体別CP!J259),週次_媒体別CP!J259,"")</f>
        <v/>
      </c>
      <c r="G363" s="76" t="str">
        <f aca="false">IF(ISNUMBER(週次_媒体別CP!J315),週次_媒体別CP!J315,"")</f>
        <v/>
      </c>
      <c r="H363" s="76" t="str">
        <f aca="false">IF(ISNUMBER(週次_媒体別CP!J371),週次_媒体別CP!J371,"")</f>
        <v/>
      </c>
    </row>
    <row r="364" customFormat="false" ht="15" hidden="false" customHeight="false" outlineLevel="0" collapsed="false">
      <c r="A364" s="72" t="s">
        <v>120</v>
      </c>
      <c r="B364" s="76" t="str">
        <f aca="false">IF(ISNUMBER(週次_媒体別CP!J36),週次_媒体別CP!J36,"")</f>
        <v/>
      </c>
      <c r="C364" s="76" t="str">
        <f aca="false">IF(ISNUMBER(週次_媒体別CP!J92),週次_媒体別CP!J92,"")</f>
        <v/>
      </c>
      <c r="D364" s="76" t="str">
        <f aca="false">IF(ISNUMBER(週次_媒体別CP!J148),週次_媒体別CP!J148,"")</f>
        <v/>
      </c>
      <c r="E364" s="76" t="str">
        <f aca="false">IF(ISNUMBER(週次_媒体別CP!J204),週次_媒体別CP!J204,"")</f>
        <v/>
      </c>
      <c r="F364" s="76" t="str">
        <f aca="false">IF(ISNUMBER(週次_媒体別CP!J260),週次_媒体別CP!J260,"")</f>
        <v/>
      </c>
      <c r="G364" s="76" t="str">
        <f aca="false">IF(ISNUMBER(週次_媒体別CP!J316),週次_媒体別CP!J316,"")</f>
        <v/>
      </c>
      <c r="H364" s="76" t="str">
        <f aca="false">IF(ISNUMBER(週次_媒体別CP!J372),週次_媒体別CP!J372,"")</f>
        <v/>
      </c>
    </row>
    <row r="365" customFormat="false" ht="15" hidden="false" customHeight="false" outlineLevel="0" collapsed="false">
      <c r="A365" s="72" t="s">
        <v>122</v>
      </c>
      <c r="B365" s="76" t="str">
        <f aca="false">IF(ISNUMBER(週次_媒体別CP!J37),週次_媒体別CP!J37,"")</f>
        <v/>
      </c>
      <c r="C365" s="76" t="str">
        <f aca="false">IF(ISNUMBER(週次_媒体別CP!J93),週次_媒体別CP!J93,"")</f>
        <v/>
      </c>
      <c r="D365" s="76" t="str">
        <f aca="false">IF(ISNUMBER(週次_媒体別CP!J149),週次_媒体別CP!J149,"")</f>
        <v/>
      </c>
      <c r="E365" s="76" t="str">
        <f aca="false">IF(ISNUMBER(週次_媒体別CP!J205),週次_媒体別CP!J205,"")</f>
        <v/>
      </c>
      <c r="F365" s="76" t="str">
        <f aca="false">IF(ISNUMBER(週次_媒体別CP!J261),週次_媒体別CP!J261,"")</f>
        <v/>
      </c>
      <c r="G365" s="76" t="str">
        <f aca="false">IF(ISNUMBER(週次_媒体別CP!J317),週次_媒体別CP!J317,"")</f>
        <v/>
      </c>
      <c r="H365" s="76" t="str">
        <f aca="false">IF(ISNUMBER(週次_媒体別CP!J373),週次_媒体別CP!J373,"")</f>
        <v/>
      </c>
    </row>
    <row r="366" customFormat="false" ht="15" hidden="false" customHeight="false" outlineLevel="0" collapsed="false">
      <c r="A366" s="72" t="s">
        <v>124</v>
      </c>
      <c r="B366" s="76" t="str">
        <f aca="false">IF(ISNUMBER(週次_媒体別CP!J38),週次_媒体別CP!J38,"")</f>
        <v/>
      </c>
      <c r="C366" s="76" t="str">
        <f aca="false">IF(ISNUMBER(週次_媒体別CP!J94),週次_媒体別CP!J94,"")</f>
        <v/>
      </c>
      <c r="D366" s="76" t="str">
        <f aca="false">IF(ISNUMBER(週次_媒体別CP!J150),週次_媒体別CP!J150,"")</f>
        <v/>
      </c>
      <c r="E366" s="76" t="str">
        <f aca="false">IF(ISNUMBER(週次_媒体別CP!J206),週次_媒体別CP!J206,"")</f>
        <v/>
      </c>
      <c r="F366" s="76" t="str">
        <f aca="false">IF(ISNUMBER(週次_媒体別CP!J262),週次_媒体別CP!J262,"")</f>
        <v/>
      </c>
      <c r="G366" s="76" t="str">
        <f aca="false">IF(ISNUMBER(週次_媒体別CP!J318),週次_媒体別CP!J318,"")</f>
        <v/>
      </c>
      <c r="H366" s="76" t="str">
        <f aca="false">IF(ISNUMBER(週次_媒体別CP!J374),週次_媒体別CP!J374,"")</f>
        <v/>
      </c>
    </row>
    <row r="367" customFormat="false" ht="15" hidden="false" customHeight="false" outlineLevel="0" collapsed="false">
      <c r="A367" s="72" t="s">
        <v>126</v>
      </c>
      <c r="B367" s="76" t="str">
        <f aca="false">IF(ISNUMBER(週次_媒体別CP!J39),週次_媒体別CP!J39,"")</f>
        <v/>
      </c>
      <c r="C367" s="76" t="str">
        <f aca="false">IF(ISNUMBER(週次_媒体別CP!J95),週次_媒体別CP!J95,"")</f>
        <v/>
      </c>
      <c r="D367" s="76" t="str">
        <f aca="false">IF(ISNUMBER(週次_媒体別CP!J151),週次_媒体別CP!J151,"")</f>
        <v/>
      </c>
      <c r="E367" s="76" t="str">
        <f aca="false">IF(ISNUMBER(週次_媒体別CP!J207),週次_媒体別CP!J207,"")</f>
        <v/>
      </c>
      <c r="F367" s="76" t="str">
        <f aca="false">IF(ISNUMBER(週次_媒体別CP!J263),週次_媒体別CP!J263,"")</f>
        <v/>
      </c>
      <c r="G367" s="76" t="str">
        <f aca="false">IF(ISNUMBER(週次_媒体別CP!J319),週次_媒体別CP!J319,"")</f>
        <v/>
      </c>
      <c r="H367" s="76" t="str">
        <f aca="false">IF(ISNUMBER(週次_媒体別CP!J375),週次_媒体別CP!J375,"")</f>
        <v/>
      </c>
    </row>
    <row r="368" customFormat="false" ht="15" hidden="false" customHeight="false" outlineLevel="0" collapsed="false">
      <c r="A368" s="72" t="s">
        <v>128</v>
      </c>
      <c r="B368" s="76" t="str">
        <f aca="false">IF(ISNUMBER(週次_媒体別CP!J40),週次_媒体別CP!J40,"")</f>
        <v/>
      </c>
      <c r="C368" s="76" t="str">
        <f aca="false">IF(ISNUMBER(週次_媒体別CP!J96),週次_媒体別CP!J96,"")</f>
        <v/>
      </c>
      <c r="D368" s="76" t="str">
        <f aca="false">IF(ISNUMBER(週次_媒体別CP!J152),週次_媒体別CP!J152,"")</f>
        <v/>
      </c>
      <c r="E368" s="76" t="str">
        <f aca="false">IF(ISNUMBER(週次_媒体別CP!J208),週次_媒体別CP!J208,"")</f>
        <v/>
      </c>
      <c r="F368" s="76" t="str">
        <f aca="false">IF(ISNUMBER(週次_媒体別CP!J264),週次_媒体別CP!J264,"")</f>
        <v/>
      </c>
      <c r="G368" s="76" t="str">
        <f aca="false">IF(ISNUMBER(週次_媒体別CP!J320),週次_媒体別CP!J320,"")</f>
        <v/>
      </c>
      <c r="H368" s="76" t="str">
        <f aca="false">IF(ISNUMBER(週次_媒体別CP!J376),週次_媒体別CP!J376,"")</f>
        <v/>
      </c>
    </row>
    <row r="369" customFormat="false" ht="15" hidden="false" customHeight="false" outlineLevel="0" collapsed="false">
      <c r="A369" s="72" t="s">
        <v>130</v>
      </c>
      <c r="B369" s="76" t="str">
        <f aca="false">IF(ISNUMBER(週次_媒体別CP!J41),週次_媒体別CP!J41,"")</f>
        <v/>
      </c>
      <c r="C369" s="76" t="str">
        <f aca="false">IF(ISNUMBER(週次_媒体別CP!J97),週次_媒体別CP!J97,"")</f>
        <v/>
      </c>
      <c r="D369" s="76" t="str">
        <f aca="false">IF(ISNUMBER(週次_媒体別CP!J153),週次_媒体別CP!J153,"")</f>
        <v/>
      </c>
      <c r="E369" s="76" t="str">
        <f aca="false">IF(ISNUMBER(週次_媒体別CP!J209),週次_媒体別CP!J209,"")</f>
        <v/>
      </c>
      <c r="F369" s="76" t="str">
        <f aca="false">IF(ISNUMBER(週次_媒体別CP!J265),週次_媒体別CP!J265,"")</f>
        <v/>
      </c>
      <c r="G369" s="76" t="str">
        <f aca="false">IF(ISNUMBER(週次_媒体別CP!J321),週次_媒体別CP!J321,"")</f>
        <v/>
      </c>
      <c r="H369" s="76" t="str">
        <f aca="false">IF(ISNUMBER(週次_媒体別CP!J377),週次_媒体別CP!J377,"")</f>
        <v/>
      </c>
    </row>
    <row r="370" customFormat="false" ht="15" hidden="false" customHeight="false" outlineLevel="0" collapsed="false">
      <c r="A370" s="72" t="s">
        <v>132</v>
      </c>
      <c r="B370" s="76" t="str">
        <f aca="false">IF(ISNUMBER(週次_媒体別CP!J42),週次_媒体別CP!J42,"")</f>
        <v/>
      </c>
      <c r="C370" s="76" t="str">
        <f aca="false">IF(ISNUMBER(週次_媒体別CP!J98),週次_媒体別CP!J98,"")</f>
        <v/>
      </c>
      <c r="D370" s="76" t="str">
        <f aca="false">IF(ISNUMBER(週次_媒体別CP!J154),週次_媒体別CP!J154,"")</f>
        <v/>
      </c>
      <c r="E370" s="76" t="str">
        <f aca="false">IF(ISNUMBER(週次_媒体別CP!J210),週次_媒体別CP!J210,"")</f>
        <v/>
      </c>
      <c r="F370" s="76" t="str">
        <f aca="false">IF(ISNUMBER(週次_媒体別CP!J266),週次_媒体別CP!J266,"")</f>
        <v/>
      </c>
      <c r="G370" s="76" t="str">
        <f aca="false">IF(ISNUMBER(週次_媒体別CP!J322),週次_媒体別CP!J322,"")</f>
        <v/>
      </c>
      <c r="H370" s="76" t="str">
        <f aca="false">IF(ISNUMBER(週次_媒体別CP!J378),週次_媒体別CP!J378,"")</f>
        <v/>
      </c>
    </row>
    <row r="371" customFormat="false" ht="15" hidden="false" customHeight="false" outlineLevel="0" collapsed="false">
      <c r="A371" s="72" t="s">
        <v>134</v>
      </c>
      <c r="B371" s="76" t="str">
        <f aca="false">IF(ISNUMBER(週次_媒体別CP!J43),週次_媒体別CP!J43,"")</f>
        <v/>
      </c>
      <c r="C371" s="76" t="str">
        <f aca="false">IF(ISNUMBER(週次_媒体別CP!J99),週次_媒体別CP!J99,"")</f>
        <v/>
      </c>
      <c r="D371" s="76" t="str">
        <f aca="false">IF(ISNUMBER(週次_媒体別CP!J155),週次_媒体別CP!J155,"")</f>
        <v/>
      </c>
      <c r="E371" s="76" t="str">
        <f aca="false">IF(ISNUMBER(週次_媒体別CP!J211),週次_媒体別CP!J211,"")</f>
        <v/>
      </c>
      <c r="F371" s="76" t="str">
        <f aca="false">IF(ISNUMBER(週次_媒体別CP!J267),週次_媒体別CP!J267,"")</f>
        <v/>
      </c>
      <c r="G371" s="76" t="str">
        <f aca="false">IF(ISNUMBER(週次_媒体別CP!J323),週次_媒体別CP!J323,"")</f>
        <v/>
      </c>
      <c r="H371" s="76" t="str">
        <f aca="false">IF(ISNUMBER(週次_媒体別CP!J379),週次_媒体別CP!J379,"")</f>
        <v/>
      </c>
    </row>
    <row r="372" customFormat="false" ht="15" hidden="false" customHeight="false" outlineLevel="0" collapsed="false">
      <c r="A372" s="72" t="s">
        <v>136</v>
      </c>
      <c r="B372" s="76" t="str">
        <f aca="false">IF(ISNUMBER(週次_媒体別CP!J44),週次_媒体別CP!J44,"")</f>
        <v/>
      </c>
      <c r="C372" s="76" t="str">
        <f aca="false">IF(ISNUMBER(週次_媒体別CP!J100),週次_媒体別CP!J100,"")</f>
        <v/>
      </c>
      <c r="D372" s="76" t="str">
        <f aca="false">IF(ISNUMBER(週次_媒体別CP!J156),週次_媒体別CP!J156,"")</f>
        <v/>
      </c>
      <c r="E372" s="76" t="str">
        <f aca="false">IF(ISNUMBER(週次_媒体別CP!J212),週次_媒体別CP!J212,"")</f>
        <v/>
      </c>
      <c r="F372" s="76" t="str">
        <f aca="false">IF(ISNUMBER(週次_媒体別CP!J268),週次_媒体別CP!J268,"")</f>
        <v/>
      </c>
      <c r="G372" s="76" t="str">
        <f aca="false">IF(ISNUMBER(週次_媒体別CP!J324),週次_媒体別CP!J324,"")</f>
        <v/>
      </c>
      <c r="H372" s="76" t="str">
        <f aca="false">IF(ISNUMBER(週次_媒体別CP!J380),週次_媒体別CP!J380,"")</f>
        <v/>
      </c>
    </row>
    <row r="373" customFormat="false" ht="15" hidden="false" customHeight="false" outlineLevel="0" collapsed="false">
      <c r="A373" s="72" t="s">
        <v>138</v>
      </c>
      <c r="B373" s="76" t="str">
        <f aca="false">IF(ISNUMBER(週次_媒体別CP!J45),週次_媒体別CP!J45,"")</f>
        <v/>
      </c>
      <c r="C373" s="76" t="str">
        <f aca="false">IF(ISNUMBER(週次_媒体別CP!J101),週次_媒体別CP!J101,"")</f>
        <v/>
      </c>
      <c r="D373" s="76" t="str">
        <f aca="false">IF(ISNUMBER(週次_媒体別CP!J157),週次_媒体別CP!J157,"")</f>
        <v/>
      </c>
      <c r="E373" s="76" t="str">
        <f aca="false">IF(ISNUMBER(週次_媒体別CP!J213),週次_媒体別CP!J213,"")</f>
        <v/>
      </c>
      <c r="F373" s="76" t="str">
        <f aca="false">IF(ISNUMBER(週次_媒体別CP!J269),週次_媒体別CP!J269,"")</f>
        <v/>
      </c>
      <c r="G373" s="76" t="str">
        <f aca="false">IF(ISNUMBER(週次_媒体別CP!J325),週次_媒体別CP!J325,"")</f>
        <v/>
      </c>
      <c r="H373" s="76" t="str">
        <f aca="false">IF(ISNUMBER(週次_媒体別CP!J381),週次_媒体別CP!J381,"")</f>
        <v/>
      </c>
    </row>
    <row r="374" customFormat="false" ht="15" hidden="false" customHeight="false" outlineLevel="0" collapsed="false">
      <c r="A374" s="72" t="s">
        <v>140</v>
      </c>
      <c r="B374" s="76" t="str">
        <f aca="false">IF(ISNUMBER(週次_媒体別CP!J46),週次_媒体別CP!J46,"")</f>
        <v/>
      </c>
      <c r="C374" s="76" t="str">
        <f aca="false">IF(ISNUMBER(週次_媒体別CP!J102),週次_媒体別CP!J102,"")</f>
        <v/>
      </c>
      <c r="D374" s="76" t="str">
        <f aca="false">IF(ISNUMBER(週次_媒体別CP!J158),週次_媒体別CP!J158,"")</f>
        <v/>
      </c>
      <c r="E374" s="76" t="str">
        <f aca="false">IF(ISNUMBER(週次_媒体別CP!J214),週次_媒体別CP!J214,"")</f>
        <v/>
      </c>
      <c r="F374" s="76" t="str">
        <f aca="false">IF(ISNUMBER(週次_媒体別CP!J270),週次_媒体別CP!J270,"")</f>
        <v/>
      </c>
      <c r="G374" s="76" t="str">
        <f aca="false">IF(ISNUMBER(週次_媒体別CP!J326),週次_媒体別CP!J326,"")</f>
        <v/>
      </c>
      <c r="H374" s="76" t="str">
        <f aca="false">IF(ISNUMBER(週次_媒体別CP!J382),週次_媒体別CP!J382,"")</f>
        <v/>
      </c>
    </row>
    <row r="375" customFormat="false" ht="15" hidden="false" customHeight="false" outlineLevel="0" collapsed="false">
      <c r="A375" s="72" t="s">
        <v>142</v>
      </c>
      <c r="B375" s="76" t="str">
        <f aca="false">IF(ISNUMBER(週次_媒体別CP!J47),週次_媒体別CP!J47,"")</f>
        <v/>
      </c>
      <c r="C375" s="76" t="str">
        <f aca="false">IF(ISNUMBER(週次_媒体別CP!J103),週次_媒体別CP!J103,"")</f>
        <v/>
      </c>
      <c r="D375" s="76" t="str">
        <f aca="false">IF(ISNUMBER(週次_媒体別CP!J159),週次_媒体別CP!J159,"")</f>
        <v/>
      </c>
      <c r="E375" s="76" t="str">
        <f aca="false">IF(ISNUMBER(週次_媒体別CP!J215),週次_媒体別CP!J215,"")</f>
        <v/>
      </c>
      <c r="F375" s="76" t="str">
        <f aca="false">IF(ISNUMBER(週次_媒体別CP!J271),週次_媒体別CP!J271,"")</f>
        <v/>
      </c>
      <c r="G375" s="76" t="str">
        <f aca="false">IF(ISNUMBER(週次_媒体別CP!J327),週次_媒体別CP!J327,"")</f>
        <v/>
      </c>
      <c r="H375" s="76" t="str">
        <f aca="false">IF(ISNUMBER(週次_媒体別CP!J383),週次_媒体別CP!J383,"")</f>
        <v/>
      </c>
    </row>
    <row r="376" customFormat="false" ht="15" hidden="false" customHeight="false" outlineLevel="0" collapsed="false">
      <c r="A376" s="72" t="s">
        <v>144</v>
      </c>
      <c r="B376" s="76" t="str">
        <f aca="false">IF(ISNUMBER(週次_媒体別CP!J48),週次_媒体別CP!J48,"")</f>
        <v/>
      </c>
      <c r="C376" s="76" t="str">
        <f aca="false">IF(ISNUMBER(週次_媒体別CP!J104),週次_媒体別CP!J104,"")</f>
        <v/>
      </c>
      <c r="D376" s="76" t="str">
        <f aca="false">IF(ISNUMBER(週次_媒体別CP!J160),週次_媒体別CP!J160,"")</f>
        <v/>
      </c>
      <c r="E376" s="76" t="str">
        <f aca="false">IF(ISNUMBER(週次_媒体別CP!J216),週次_媒体別CP!J216,"")</f>
        <v/>
      </c>
      <c r="F376" s="76" t="str">
        <f aca="false">IF(ISNUMBER(週次_媒体別CP!J272),週次_媒体別CP!J272,"")</f>
        <v/>
      </c>
      <c r="G376" s="76" t="str">
        <f aca="false">IF(ISNUMBER(週次_媒体別CP!J328),週次_媒体別CP!J328,"")</f>
        <v/>
      </c>
      <c r="H376" s="76" t="str">
        <f aca="false">IF(ISNUMBER(週次_媒体別CP!J384),週次_媒体別CP!J384,"")</f>
        <v/>
      </c>
    </row>
    <row r="377" customFormat="false" ht="15" hidden="false" customHeight="false" outlineLevel="0" collapsed="false">
      <c r="A377" s="72" t="s">
        <v>146</v>
      </c>
      <c r="B377" s="76" t="str">
        <f aca="false">IF(ISNUMBER(週次_媒体別CP!J49),週次_媒体別CP!J49,"")</f>
        <v/>
      </c>
      <c r="C377" s="76" t="str">
        <f aca="false">IF(ISNUMBER(週次_媒体別CP!J105),週次_媒体別CP!J105,"")</f>
        <v/>
      </c>
      <c r="D377" s="76" t="str">
        <f aca="false">IF(ISNUMBER(週次_媒体別CP!J161),週次_媒体別CP!J161,"")</f>
        <v/>
      </c>
      <c r="E377" s="76" t="str">
        <f aca="false">IF(ISNUMBER(週次_媒体別CP!J217),週次_媒体別CP!J217,"")</f>
        <v/>
      </c>
      <c r="F377" s="76" t="str">
        <f aca="false">IF(ISNUMBER(週次_媒体別CP!J273),週次_媒体別CP!J273,"")</f>
        <v/>
      </c>
      <c r="G377" s="76" t="str">
        <f aca="false">IF(ISNUMBER(週次_媒体別CP!J329),週次_媒体別CP!J329,"")</f>
        <v/>
      </c>
      <c r="H377" s="76" t="str">
        <f aca="false">IF(ISNUMBER(週次_媒体別CP!J385),週次_媒体別CP!J385,"")</f>
        <v/>
      </c>
    </row>
    <row r="378" customFormat="false" ht="15" hidden="false" customHeight="false" outlineLevel="0" collapsed="false">
      <c r="A378" s="72" t="s">
        <v>148</v>
      </c>
      <c r="B378" s="76" t="str">
        <f aca="false">IF(ISNUMBER(週次_媒体別CP!J50),週次_媒体別CP!J50,"")</f>
        <v/>
      </c>
      <c r="C378" s="76" t="str">
        <f aca="false">IF(ISNUMBER(週次_媒体別CP!J106),週次_媒体別CP!J106,"")</f>
        <v/>
      </c>
      <c r="D378" s="76" t="str">
        <f aca="false">IF(ISNUMBER(週次_媒体別CP!J162),週次_媒体別CP!J162,"")</f>
        <v/>
      </c>
      <c r="E378" s="76" t="str">
        <f aca="false">IF(ISNUMBER(週次_媒体別CP!J218),週次_媒体別CP!J218,"")</f>
        <v/>
      </c>
      <c r="F378" s="76" t="str">
        <f aca="false">IF(ISNUMBER(週次_媒体別CP!J274),週次_媒体別CP!J274,"")</f>
        <v/>
      </c>
      <c r="G378" s="76" t="str">
        <f aca="false">IF(ISNUMBER(週次_媒体別CP!J330),週次_媒体別CP!J330,"")</f>
        <v/>
      </c>
      <c r="H378" s="76" t="str">
        <f aca="false">IF(ISNUMBER(週次_媒体別CP!J386),週次_媒体別CP!J386,"")</f>
        <v/>
      </c>
    </row>
    <row r="379" customFormat="false" ht="15" hidden="false" customHeight="false" outlineLevel="0" collapsed="false">
      <c r="A379" s="72" t="s">
        <v>150</v>
      </c>
      <c r="B379" s="76" t="str">
        <f aca="false">IF(ISNUMBER(週次_媒体別CP!J51),週次_媒体別CP!J51,"")</f>
        <v/>
      </c>
      <c r="C379" s="76" t="str">
        <f aca="false">IF(ISNUMBER(週次_媒体別CP!J107),週次_媒体別CP!J107,"")</f>
        <v/>
      </c>
      <c r="D379" s="76" t="str">
        <f aca="false">IF(ISNUMBER(週次_媒体別CP!J163),週次_媒体別CP!J163,"")</f>
        <v/>
      </c>
      <c r="E379" s="76" t="str">
        <f aca="false">IF(ISNUMBER(週次_媒体別CP!J219),週次_媒体別CP!J219,"")</f>
        <v/>
      </c>
      <c r="F379" s="76" t="str">
        <f aca="false">IF(ISNUMBER(週次_媒体別CP!J275),週次_媒体別CP!J275,"")</f>
        <v/>
      </c>
      <c r="G379" s="76" t="str">
        <f aca="false">IF(ISNUMBER(週次_媒体別CP!J331),週次_媒体別CP!J331,"")</f>
        <v/>
      </c>
      <c r="H379" s="76" t="str">
        <f aca="false">IF(ISNUMBER(週次_媒体別CP!J387),週次_媒体別CP!J387,"")</f>
        <v/>
      </c>
    </row>
    <row r="380" customFormat="false" ht="15" hidden="false" customHeight="false" outlineLevel="0" collapsed="false">
      <c r="A380" s="72" t="s">
        <v>152</v>
      </c>
      <c r="B380" s="76" t="str">
        <f aca="false">IF(ISNUMBER(週次_媒体別CP!J52),週次_媒体別CP!J52,"")</f>
        <v/>
      </c>
      <c r="C380" s="76" t="str">
        <f aca="false">IF(ISNUMBER(週次_媒体別CP!J108),週次_媒体別CP!J108,"")</f>
        <v/>
      </c>
      <c r="D380" s="76" t="str">
        <f aca="false">IF(ISNUMBER(週次_媒体別CP!J164),週次_媒体別CP!J164,"")</f>
        <v/>
      </c>
      <c r="E380" s="76" t="str">
        <f aca="false">IF(ISNUMBER(週次_媒体別CP!J220),週次_媒体別CP!J220,"")</f>
        <v/>
      </c>
      <c r="F380" s="76" t="str">
        <f aca="false">IF(ISNUMBER(週次_媒体別CP!J276),週次_媒体別CP!J276,"")</f>
        <v/>
      </c>
      <c r="G380" s="76" t="str">
        <f aca="false">IF(ISNUMBER(週次_媒体別CP!J332),週次_媒体別CP!J332,"")</f>
        <v/>
      </c>
      <c r="H380" s="76" t="str">
        <f aca="false">IF(ISNUMBER(週次_媒体別CP!J388),週次_媒体別CP!J388,"")</f>
        <v/>
      </c>
    </row>
    <row r="381" customFormat="false" ht="15" hidden="false" customHeight="false" outlineLevel="0" collapsed="false">
      <c r="A381" s="72" t="s">
        <v>154</v>
      </c>
      <c r="B381" s="76" t="str">
        <f aca="false">IF(ISNUMBER(週次_媒体別CP!J53),週次_媒体別CP!J53,"")</f>
        <v/>
      </c>
      <c r="C381" s="76" t="str">
        <f aca="false">IF(ISNUMBER(週次_媒体別CP!J109),週次_媒体別CP!J109,"")</f>
        <v/>
      </c>
      <c r="D381" s="76" t="str">
        <f aca="false">IF(ISNUMBER(週次_媒体別CP!J165),週次_媒体別CP!J165,"")</f>
        <v/>
      </c>
      <c r="E381" s="76" t="str">
        <f aca="false">IF(ISNUMBER(週次_媒体別CP!J221),週次_媒体別CP!J221,"")</f>
        <v/>
      </c>
      <c r="F381" s="76" t="str">
        <f aca="false">IF(ISNUMBER(週次_媒体別CP!J277),週次_媒体別CP!J277,"")</f>
        <v/>
      </c>
      <c r="G381" s="76" t="str">
        <f aca="false">IF(ISNUMBER(週次_媒体別CP!J333),週次_媒体別CP!J333,"")</f>
        <v/>
      </c>
      <c r="H381" s="76" t="str">
        <f aca="false">IF(ISNUMBER(週次_媒体別CP!J389),週次_媒体別CP!J389,"")</f>
        <v/>
      </c>
    </row>
    <row r="382" customFormat="false" ht="15" hidden="false" customHeight="false" outlineLevel="0" collapsed="false">
      <c r="A382" s="72" t="s">
        <v>156</v>
      </c>
      <c r="B382" s="76" t="str">
        <f aca="false">IF(ISNUMBER(週次_媒体別CP!J54),週次_媒体別CP!J54,"")</f>
        <v/>
      </c>
      <c r="C382" s="76" t="str">
        <f aca="false">IF(ISNUMBER(週次_媒体別CP!J110),週次_媒体別CP!J110,"")</f>
        <v/>
      </c>
      <c r="D382" s="76" t="str">
        <f aca="false">IF(ISNUMBER(週次_媒体別CP!J166),週次_媒体別CP!J166,"")</f>
        <v/>
      </c>
      <c r="E382" s="76" t="str">
        <f aca="false">IF(ISNUMBER(週次_媒体別CP!J222),週次_媒体別CP!J222,"")</f>
        <v/>
      </c>
      <c r="F382" s="76" t="str">
        <f aca="false">IF(ISNUMBER(週次_媒体別CP!J278),週次_媒体別CP!J278,"")</f>
        <v/>
      </c>
      <c r="G382" s="76" t="str">
        <f aca="false">IF(ISNUMBER(週次_媒体別CP!J334),週次_媒体別CP!J334,"")</f>
        <v/>
      </c>
      <c r="H382" s="76" t="str">
        <f aca="false">IF(ISNUMBER(週次_媒体別CP!J390),週次_媒体別CP!J390,"")</f>
        <v/>
      </c>
    </row>
    <row r="383" customFormat="false" ht="15" hidden="false" customHeight="false" outlineLevel="0" collapsed="false">
      <c r="A383" s="72" t="s">
        <v>158</v>
      </c>
      <c r="B383" s="76" t="str">
        <f aca="false">IF(ISNUMBER(週次_媒体別CP!J55),週次_媒体別CP!J55,"")</f>
        <v/>
      </c>
      <c r="C383" s="76" t="str">
        <f aca="false">IF(ISNUMBER(週次_媒体別CP!J111),週次_媒体別CP!J111,"")</f>
        <v/>
      </c>
      <c r="D383" s="76" t="str">
        <f aca="false">IF(ISNUMBER(週次_媒体別CP!J167),週次_媒体別CP!J167,"")</f>
        <v/>
      </c>
      <c r="E383" s="76" t="str">
        <f aca="false">IF(ISNUMBER(週次_媒体別CP!J223),週次_媒体別CP!J223,"")</f>
        <v/>
      </c>
      <c r="F383" s="76" t="str">
        <f aca="false">IF(ISNUMBER(週次_媒体別CP!J279),週次_媒体別CP!J279,"")</f>
        <v/>
      </c>
      <c r="G383" s="76" t="str">
        <f aca="false">IF(ISNUMBER(週次_媒体別CP!J335),週次_媒体別CP!J335,"")</f>
        <v/>
      </c>
      <c r="H383" s="76" t="str">
        <f aca="false">IF(ISNUMBER(週次_媒体別CP!J391),週次_媒体別CP!J391,"")</f>
        <v/>
      </c>
    </row>
    <row r="384" customFormat="false" ht="15" hidden="false" customHeight="false" outlineLevel="0" collapsed="false">
      <c r="A384" s="72" t="s">
        <v>160</v>
      </c>
      <c r="B384" s="76" t="str">
        <f aca="false">IF(ISNUMBER(週次_媒体別CP!J56),週次_媒体別CP!J56,"")</f>
        <v/>
      </c>
      <c r="C384" s="76" t="str">
        <f aca="false">IF(ISNUMBER(週次_媒体別CP!J112),週次_媒体別CP!J112,"")</f>
        <v/>
      </c>
      <c r="D384" s="76" t="str">
        <f aca="false">IF(ISNUMBER(週次_媒体別CP!J168),週次_媒体別CP!J168,"")</f>
        <v/>
      </c>
      <c r="E384" s="76" t="str">
        <f aca="false">IF(ISNUMBER(週次_媒体別CP!J224),週次_媒体別CP!J224,"")</f>
        <v/>
      </c>
      <c r="F384" s="76" t="str">
        <f aca="false">IF(ISNUMBER(週次_媒体別CP!J280),週次_媒体別CP!J280,"")</f>
        <v/>
      </c>
      <c r="G384" s="76" t="str">
        <f aca="false">IF(ISNUMBER(週次_媒体別CP!J336),週次_媒体別CP!J336,"")</f>
        <v/>
      </c>
      <c r="H384" s="76" t="str">
        <f aca="false">IF(ISNUMBER(週次_媒体別CP!J392),週次_媒体別CP!J392,"")</f>
        <v/>
      </c>
    </row>
    <row r="385" customFormat="false" ht="15" hidden="false" customHeight="false" outlineLevel="0" collapsed="false">
      <c r="A385" s="72" t="s">
        <v>162</v>
      </c>
      <c r="B385" s="76" t="str">
        <f aca="false">IF(ISNUMBER(週次_媒体別CP!J57),週次_媒体別CP!J57,"")</f>
        <v/>
      </c>
      <c r="C385" s="76" t="str">
        <f aca="false">IF(ISNUMBER(週次_媒体別CP!J113),週次_媒体別CP!J113,"")</f>
        <v/>
      </c>
      <c r="D385" s="76" t="str">
        <f aca="false">IF(ISNUMBER(週次_媒体別CP!J169),週次_媒体別CP!J169,"")</f>
        <v/>
      </c>
      <c r="E385" s="76" t="str">
        <f aca="false">IF(ISNUMBER(週次_媒体別CP!J225),週次_媒体別CP!J225,"")</f>
        <v/>
      </c>
      <c r="F385" s="76" t="str">
        <f aca="false">IF(ISNUMBER(週次_媒体別CP!J281),週次_媒体別CP!J281,"")</f>
        <v/>
      </c>
      <c r="G385" s="76" t="str">
        <f aca="false">IF(ISNUMBER(週次_媒体別CP!J337),週次_媒体別CP!J337,"")</f>
        <v/>
      </c>
      <c r="H385" s="76" t="str">
        <f aca="false">IF(ISNUMBER(週次_媒体別CP!J393),週次_媒体別CP!J393,"")</f>
        <v/>
      </c>
    </row>
    <row r="387" customFormat="false" ht="15" hidden="false" customHeight="false" outlineLevel="0" collapsed="false">
      <c r="A387" s="69" t="s">
        <v>39</v>
      </c>
    </row>
    <row r="388" customFormat="false" ht="37.3" hidden="false" customHeight="false" outlineLevel="0" collapsed="false">
      <c r="A388" s="70" t="s">
        <v>48</v>
      </c>
      <c r="B388" s="71" t="s">
        <v>243</v>
      </c>
      <c r="C388" s="71" t="s">
        <v>244</v>
      </c>
      <c r="D388" s="71" t="s">
        <v>245</v>
      </c>
      <c r="E388" s="71" t="s">
        <v>246</v>
      </c>
      <c r="F388" s="71" t="s">
        <v>247</v>
      </c>
      <c r="G388" s="71" t="s">
        <v>248</v>
      </c>
      <c r="H388" s="71" t="s">
        <v>249</v>
      </c>
      <c r="I388" s="77" t="s">
        <v>251</v>
      </c>
    </row>
    <row r="389" customFormat="false" ht="15" hidden="false" customHeight="false" outlineLevel="0" collapsed="false">
      <c r="A389" s="72" t="s">
        <v>59</v>
      </c>
      <c r="B389" s="75" t="n">
        <f aca="false">IF(ISNUMBER(週次_媒体別CP!L6),週次_媒体別CP!L6,0)</f>
        <v>0</v>
      </c>
      <c r="C389" s="75" t="n">
        <f aca="false">IF(ISNUMBER(週次_媒体別CP!L62),週次_媒体別CP!L62,0)</f>
        <v>1</v>
      </c>
      <c r="D389" s="75" t="n">
        <f aca="false">IF(ISNUMBER(週次_媒体別CP!L118),週次_媒体別CP!L118,0)</f>
        <v>0</v>
      </c>
      <c r="E389" s="75" t="n">
        <f aca="false">IF(ISNUMBER(週次_媒体別CP!L174),週次_媒体別CP!L174,0)</f>
        <v>0</v>
      </c>
      <c r="F389" s="75" t="n">
        <f aca="false">IF(ISNUMBER(週次_媒体別CP!L230),週次_媒体別CP!L230,0)</f>
        <v>0</v>
      </c>
      <c r="G389" s="75" t="n">
        <f aca="false">IF(ISNUMBER(週次_媒体別CP!L286),週次_媒体別CP!L286,0)</f>
        <v>0</v>
      </c>
      <c r="H389" s="75" t="n">
        <f aca="false">IF(ISNUMBER(週次_媒体別CP!L342),週次_媒体別CP!L342,0)</f>
        <v>0</v>
      </c>
      <c r="I389" s="75" t="n">
        <f aca="false">IF(ISNUMBER(週次_媒体別CP!L399),週次_媒体別CP!L399,0)</f>
        <v>0</v>
      </c>
    </row>
    <row r="390" customFormat="false" ht="15" hidden="false" customHeight="false" outlineLevel="0" collapsed="false">
      <c r="A390" s="72" t="s">
        <v>61</v>
      </c>
      <c r="B390" s="75" t="n">
        <f aca="false">IF(ISNUMBER(週次_媒体別CP!L7),週次_媒体別CP!L7,0)</f>
        <v>0</v>
      </c>
      <c r="C390" s="75" t="n">
        <f aca="false">IF(ISNUMBER(週次_媒体別CP!L63),週次_媒体別CP!L63,0)</f>
        <v>2</v>
      </c>
      <c r="D390" s="75" t="n">
        <f aca="false">IF(ISNUMBER(週次_媒体別CP!L119),週次_媒体別CP!L119,0)</f>
        <v>0</v>
      </c>
      <c r="E390" s="75" t="n">
        <f aca="false">IF(ISNUMBER(週次_媒体別CP!L175),週次_媒体別CP!L175,0)</f>
        <v>0</v>
      </c>
      <c r="F390" s="75" t="n">
        <f aca="false">IF(ISNUMBER(週次_媒体別CP!L231),週次_媒体別CP!L231,0)</f>
        <v>0</v>
      </c>
      <c r="G390" s="75" t="n">
        <f aca="false">IF(ISNUMBER(週次_媒体別CP!L287),週次_媒体別CP!L287,0)</f>
        <v>0</v>
      </c>
      <c r="H390" s="75" t="n">
        <f aca="false">IF(ISNUMBER(週次_媒体別CP!L343),週次_媒体別CP!L343,0)</f>
        <v>0</v>
      </c>
      <c r="I390" s="75" t="n">
        <f aca="false">IF(ISNUMBER(週次_媒体別CP!L400),週次_媒体別CP!L400,0)</f>
        <v>0</v>
      </c>
    </row>
    <row r="391" customFormat="false" ht="15" hidden="false" customHeight="false" outlineLevel="0" collapsed="false">
      <c r="A391" s="72" t="s">
        <v>63</v>
      </c>
      <c r="B391" s="75" t="n">
        <f aca="false">IF(ISNUMBER(週次_媒体別CP!L8),週次_媒体別CP!L8,0)</f>
        <v>0</v>
      </c>
      <c r="C391" s="75" t="n">
        <f aca="false">IF(ISNUMBER(週次_媒体別CP!L64),週次_媒体別CP!L64,0)</f>
        <v>2</v>
      </c>
      <c r="D391" s="75" t="n">
        <f aca="false">IF(ISNUMBER(週次_媒体別CP!L120),週次_媒体別CP!L120,0)</f>
        <v>0</v>
      </c>
      <c r="E391" s="75" t="n">
        <f aca="false">IF(ISNUMBER(週次_媒体別CP!L176),週次_媒体別CP!L176,0)</f>
        <v>0</v>
      </c>
      <c r="F391" s="75" t="n">
        <f aca="false">IF(ISNUMBER(週次_媒体別CP!L232),週次_媒体別CP!L232,0)</f>
        <v>0</v>
      </c>
      <c r="G391" s="75" t="n">
        <f aca="false">IF(ISNUMBER(週次_媒体別CP!L288),週次_媒体別CP!L288,0)</f>
        <v>0</v>
      </c>
      <c r="H391" s="75" t="n">
        <f aca="false">IF(ISNUMBER(週次_媒体別CP!L344),週次_媒体別CP!L344,0)</f>
        <v>0</v>
      </c>
      <c r="I391" s="75" t="n">
        <f aca="false">IF(ISNUMBER(週次_媒体別CP!L401),週次_媒体別CP!L401,0)</f>
        <v>0</v>
      </c>
    </row>
    <row r="392" customFormat="false" ht="15" hidden="false" customHeight="false" outlineLevel="0" collapsed="false">
      <c r="A392" s="72" t="s">
        <v>65</v>
      </c>
      <c r="B392" s="75" t="n">
        <f aca="false">IF(ISNUMBER(週次_媒体別CP!L9),週次_媒体別CP!L9,0)</f>
        <v>0</v>
      </c>
      <c r="C392" s="75" t="n">
        <f aca="false">IF(ISNUMBER(週次_媒体別CP!L65),週次_媒体別CP!L65,0)</f>
        <v>1</v>
      </c>
      <c r="D392" s="75" t="n">
        <f aca="false">IF(ISNUMBER(週次_媒体別CP!L121),週次_媒体別CP!L121,0)</f>
        <v>0</v>
      </c>
      <c r="E392" s="75" t="n">
        <f aca="false">IF(ISNUMBER(週次_媒体別CP!L177),週次_媒体別CP!L177,0)</f>
        <v>0</v>
      </c>
      <c r="F392" s="75" t="n">
        <f aca="false">IF(ISNUMBER(週次_媒体別CP!L233),週次_媒体別CP!L233,0)</f>
        <v>0</v>
      </c>
      <c r="G392" s="75" t="n">
        <f aca="false">IF(ISNUMBER(週次_媒体別CP!L289),週次_媒体別CP!L289,0)</f>
        <v>0</v>
      </c>
      <c r="H392" s="75" t="n">
        <f aca="false">IF(ISNUMBER(週次_媒体別CP!L345),週次_媒体別CP!L345,0)</f>
        <v>0</v>
      </c>
      <c r="I392" s="75" t="n">
        <f aca="false">IF(ISNUMBER(週次_媒体別CP!L402),週次_媒体別CP!L402,0)</f>
        <v>0</v>
      </c>
    </row>
    <row r="393" customFormat="false" ht="15" hidden="false" customHeight="false" outlineLevel="0" collapsed="false">
      <c r="A393" s="72" t="s">
        <v>68</v>
      </c>
      <c r="B393" s="75" t="n">
        <f aca="false">IF(ISNUMBER(週次_媒体別CP!L10),週次_媒体別CP!L10,0)</f>
        <v>0</v>
      </c>
      <c r="C393" s="75" t="n">
        <f aca="false">IF(ISNUMBER(週次_媒体別CP!L66),週次_媒体別CP!L66,0)</f>
        <v>2</v>
      </c>
      <c r="D393" s="75" t="n">
        <f aca="false">IF(ISNUMBER(週次_媒体別CP!L122),週次_媒体別CP!L122,0)</f>
        <v>0</v>
      </c>
      <c r="E393" s="75" t="n">
        <f aca="false">IF(ISNUMBER(週次_媒体別CP!L178),週次_媒体別CP!L178,0)</f>
        <v>0</v>
      </c>
      <c r="F393" s="75" t="n">
        <f aca="false">IF(ISNUMBER(週次_媒体別CP!L234),週次_媒体別CP!L234,0)</f>
        <v>0</v>
      </c>
      <c r="G393" s="75" t="n">
        <f aca="false">IF(ISNUMBER(週次_媒体別CP!L290),週次_媒体別CP!L290,0)</f>
        <v>0</v>
      </c>
      <c r="H393" s="75" t="n">
        <f aca="false">IF(ISNUMBER(週次_媒体別CP!L346),週次_媒体別CP!L346,0)</f>
        <v>0</v>
      </c>
      <c r="I393" s="75" t="n">
        <f aca="false">IF(ISNUMBER(週次_媒体別CP!L403),週次_媒体別CP!L403,0)</f>
        <v>0</v>
      </c>
    </row>
    <row r="394" customFormat="false" ht="15" hidden="false" customHeight="false" outlineLevel="0" collapsed="false">
      <c r="A394" s="72" t="s">
        <v>70</v>
      </c>
      <c r="B394" s="75" t="n">
        <f aca="false">IF(ISNUMBER(週次_媒体別CP!L11),週次_媒体別CP!L11,0)</f>
        <v>0</v>
      </c>
      <c r="C394" s="75" t="n">
        <f aca="false">IF(ISNUMBER(週次_媒体別CP!L67),週次_媒体別CP!L67,0)</f>
        <v>3</v>
      </c>
      <c r="D394" s="75" t="n">
        <f aca="false">IF(ISNUMBER(週次_媒体別CP!L123),週次_媒体別CP!L123,0)</f>
        <v>0</v>
      </c>
      <c r="E394" s="75" t="n">
        <f aca="false">IF(ISNUMBER(週次_媒体別CP!L179),週次_媒体別CP!L179,0)</f>
        <v>0</v>
      </c>
      <c r="F394" s="75" t="n">
        <f aca="false">IF(ISNUMBER(週次_媒体別CP!L235),週次_媒体別CP!L235,0)</f>
        <v>0</v>
      </c>
      <c r="G394" s="75" t="n">
        <f aca="false">IF(ISNUMBER(週次_媒体別CP!L291),週次_媒体別CP!L291,0)</f>
        <v>0</v>
      </c>
      <c r="H394" s="75" t="n">
        <f aca="false">IF(ISNUMBER(週次_媒体別CP!L347),週次_媒体別CP!L347,0)</f>
        <v>0</v>
      </c>
      <c r="I394" s="75" t="n">
        <f aca="false">IF(ISNUMBER(週次_媒体別CP!L404),週次_媒体別CP!L404,0)</f>
        <v>0</v>
      </c>
    </row>
    <row r="395" customFormat="false" ht="15" hidden="false" customHeight="false" outlineLevel="0" collapsed="false">
      <c r="A395" s="72" t="s">
        <v>72</v>
      </c>
      <c r="B395" s="75" t="n">
        <f aca="false">IF(ISNUMBER(週次_媒体別CP!L12),週次_媒体別CP!L12,0)</f>
        <v>0</v>
      </c>
      <c r="C395" s="75" t="n">
        <f aca="false">IF(ISNUMBER(週次_媒体別CP!L68),週次_媒体別CP!L68,0)</f>
        <v>2</v>
      </c>
      <c r="D395" s="75" t="n">
        <f aca="false">IF(ISNUMBER(週次_媒体別CP!L124),週次_媒体別CP!L124,0)</f>
        <v>1</v>
      </c>
      <c r="E395" s="75" t="n">
        <f aca="false">IF(ISNUMBER(週次_媒体別CP!L180),週次_媒体別CP!L180,0)</f>
        <v>0</v>
      </c>
      <c r="F395" s="75" t="n">
        <f aca="false">IF(ISNUMBER(週次_媒体別CP!L236),週次_媒体別CP!L236,0)</f>
        <v>0</v>
      </c>
      <c r="G395" s="75" t="n">
        <f aca="false">IF(ISNUMBER(週次_媒体別CP!L292),週次_媒体別CP!L292,0)</f>
        <v>0</v>
      </c>
      <c r="H395" s="75" t="n">
        <f aca="false">IF(ISNUMBER(週次_媒体別CP!L348),週次_媒体別CP!L348,0)</f>
        <v>0</v>
      </c>
      <c r="I395" s="75" t="n">
        <f aca="false">IF(ISNUMBER(週次_媒体別CP!L405),週次_媒体別CP!L405,0)</f>
        <v>0</v>
      </c>
    </row>
    <row r="396" customFormat="false" ht="15" hidden="false" customHeight="false" outlineLevel="0" collapsed="false">
      <c r="A396" s="72" t="s">
        <v>74</v>
      </c>
      <c r="B396" s="75" t="n">
        <f aca="false">IF(ISNUMBER(週次_媒体別CP!L13),週次_媒体別CP!L13,0)</f>
        <v>0</v>
      </c>
      <c r="C396" s="75" t="n">
        <f aca="false">IF(ISNUMBER(週次_媒体別CP!L69),週次_媒体別CP!L69,0)</f>
        <v>1</v>
      </c>
      <c r="D396" s="75" t="n">
        <f aca="false">IF(ISNUMBER(週次_媒体別CP!L125),週次_媒体別CP!L125,0)</f>
        <v>0</v>
      </c>
      <c r="E396" s="75" t="n">
        <f aca="false">IF(ISNUMBER(週次_媒体別CP!L181),週次_媒体別CP!L181,0)</f>
        <v>0</v>
      </c>
      <c r="F396" s="75" t="n">
        <f aca="false">IF(ISNUMBER(週次_媒体別CP!L237),週次_媒体別CP!L237,0)</f>
        <v>0</v>
      </c>
      <c r="G396" s="75" t="n">
        <f aca="false">IF(ISNUMBER(週次_媒体別CP!L293),週次_媒体別CP!L293,0)</f>
        <v>0</v>
      </c>
      <c r="H396" s="75" t="n">
        <f aca="false">IF(ISNUMBER(週次_媒体別CP!L349),週次_媒体別CP!L349,0)</f>
        <v>0</v>
      </c>
      <c r="I396" s="75" t="n">
        <f aca="false">IF(ISNUMBER(週次_媒体別CP!L406),週次_媒体別CP!L406,0)</f>
        <v>0</v>
      </c>
    </row>
    <row r="397" customFormat="false" ht="15" hidden="false" customHeight="false" outlineLevel="0" collapsed="false">
      <c r="A397" s="72" t="s">
        <v>76</v>
      </c>
      <c r="B397" s="75" t="n">
        <f aca="false">IF(ISNUMBER(週次_媒体別CP!L14),週次_媒体別CP!L14,0)</f>
        <v>0</v>
      </c>
      <c r="C397" s="75" t="n">
        <f aca="false">IF(ISNUMBER(週次_媒体別CP!L70),週次_媒体別CP!L70,0)</f>
        <v>0</v>
      </c>
      <c r="D397" s="75" t="n">
        <f aca="false">IF(ISNUMBER(週次_媒体別CP!L126),週次_媒体別CP!L126,0)</f>
        <v>0</v>
      </c>
      <c r="E397" s="75" t="n">
        <f aca="false">IF(ISNUMBER(週次_媒体別CP!L182),週次_媒体別CP!L182,0)</f>
        <v>0</v>
      </c>
      <c r="F397" s="75" t="n">
        <f aca="false">IF(ISNUMBER(週次_媒体別CP!L238),週次_媒体別CP!L238,0)</f>
        <v>0</v>
      </c>
      <c r="G397" s="75" t="n">
        <f aca="false">IF(ISNUMBER(週次_媒体別CP!L294),週次_媒体別CP!L294,0)</f>
        <v>0</v>
      </c>
      <c r="H397" s="75" t="n">
        <f aca="false">IF(ISNUMBER(週次_媒体別CP!L350),週次_媒体別CP!L350,0)</f>
        <v>0</v>
      </c>
      <c r="I397" s="75" t="n">
        <f aca="false">IF(ISNUMBER(週次_媒体別CP!L407),週次_媒体別CP!L407,0)</f>
        <v>0</v>
      </c>
    </row>
    <row r="398" customFormat="false" ht="15" hidden="false" customHeight="false" outlineLevel="0" collapsed="false">
      <c r="A398" s="72" t="s">
        <v>78</v>
      </c>
      <c r="B398" s="75" t="n">
        <f aca="false">IF(ISNUMBER(週次_媒体別CP!L15),週次_媒体別CP!L15,0)</f>
        <v>0</v>
      </c>
      <c r="C398" s="75" t="n">
        <f aca="false">IF(ISNUMBER(週次_媒体別CP!L71),週次_媒体別CP!L71,0)</f>
        <v>0</v>
      </c>
      <c r="D398" s="75" t="n">
        <f aca="false">IF(ISNUMBER(週次_媒体別CP!L127),週次_媒体別CP!L127,0)</f>
        <v>0</v>
      </c>
      <c r="E398" s="75" t="n">
        <f aca="false">IF(ISNUMBER(週次_媒体別CP!L183),週次_媒体別CP!L183,0)</f>
        <v>0</v>
      </c>
      <c r="F398" s="75" t="n">
        <f aca="false">IF(ISNUMBER(週次_媒体別CP!L239),週次_媒体別CP!L239,0)</f>
        <v>0</v>
      </c>
      <c r="G398" s="75" t="n">
        <f aca="false">IF(ISNUMBER(週次_媒体別CP!L295),週次_媒体別CP!L295,0)</f>
        <v>0</v>
      </c>
      <c r="H398" s="75" t="n">
        <f aca="false">IF(ISNUMBER(週次_媒体別CP!L351),週次_媒体別CP!L351,0)</f>
        <v>0</v>
      </c>
      <c r="I398" s="75" t="n">
        <f aca="false">IF(ISNUMBER(週次_媒体別CP!L408),週次_媒体別CP!L408,0)</f>
        <v>0</v>
      </c>
    </row>
    <row r="399" customFormat="false" ht="15" hidden="false" customHeight="false" outlineLevel="0" collapsed="false">
      <c r="A399" s="72" t="s">
        <v>80</v>
      </c>
      <c r="B399" s="75" t="n">
        <f aca="false">IF(ISNUMBER(週次_媒体別CP!L16),週次_媒体別CP!L16,0)</f>
        <v>3</v>
      </c>
      <c r="C399" s="75" t="n">
        <f aca="false">IF(ISNUMBER(週次_媒体別CP!L72),週次_媒体別CP!L72,0)</f>
        <v>2</v>
      </c>
      <c r="D399" s="75" t="n">
        <f aca="false">IF(ISNUMBER(週次_媒体別CP!L128),週次_媒体別CP!L128,0)</f>
        <v>0</v>
      </c>
      <c r="E399" s="75" t="n">
        <f aca="false">IF(ISNUMBER(週次_媒体別CP!L184),週次_媒体別CP!L184,0)</f>
        <v>0</v>
      </c>
      <c r="F399" s="75" t="n">
        <f aca="false">IF(ISNUMBER(週次_媒体別CP!L240),週次_媒体別CP!L240,0)</f>
        <v>0</v>
      </c>
      <c r="G399" s="75" t="n">
        <f aca="false">IF(ISNUMBER(週次_媒体別CP!L296),週次_媒体別CP!L296,0)</f>
        <v>0</v>
      </c>
      <c r="H399" s="75" t="n">
        <f aca="false">IF(ISNUMBER(週次_媒体別CP!L352),週次_媒体別CP!L352,0)</f>
        <v>0</v>
      </c>
      <c r="I399" s="75" t="n">
        <f aca="false">IF(ISNUMBER(週次_媒体別CP!L409),週次_媒体別CP!L409,0)</f>
        <v>0</v>
      </c>
    </row>
    <row r="400" customFormat="false" ht="15" hidden="false" customHeight="false" outlineLevel="0" collapsed="false">
      <c r="A400" s="72" t="s">
        <v>82</v>
      </c>
      <c r="B400" s="75" t="n">
        <f aca="false">IF(ISNUMBER(週次_媒体別CP!L17),週次_媒体別CP!L17,0)</f>
        <v>0</v>
      </c>
      <c r="C400" s="75" t="n">
        <f aca="false">IF(ISNUMBER(週次_媒体別CP!L73),週次_媒体別CP!L73,0)</f>
        <v>0</v>
      </c>
      <c r="D400" s="75" t="n">
        <f aca="false">IF(ISNUMBER(週次_媒体別CP!L129),週次_媒体別CP!L129,0)</f>
        <v>0</v>
      </c>
      <c r="E400" s="75" t="n">
        <f aca="false">IF(ISNUMBER(週次_媒体別CP!L185),週次_媒体別CP!L185,0)</f>
        <v>0</v>
      </c>
      <c r="F400" s="75" t="n">
        <f aca="false">IF(ISNUMBER(週次_媒体別CP!L241),週次_媒体別CP!L241,0)</f>
        <v>0</v>
      </c>
      <c r="G400" s="75" t="n">
        <f aca="false">IF(ISNUMBER(週次_媒体別CP!L297),週次_媒体別CP!L297,0)</f>
        <v>0</v>
      </c>
      <c r="H400" s="75" t="n">
        <f aca="false">IF(ISNUMBER(週次_媒体別CP!L353),週次_媒体別CP!L353,0)</f>
        <v>0</v>
      </c>
      <c r="I400" s="75" t="n">
        <f aca="false">IF(ISNUMBER(週次_媒体別CP!L410),週次_媒体別CP!L410,0)</f>
        <v>0</v>
      </c>
    </row>
    <row r="401" customFormat="false" ht="15" hidden="false" customHeight="false" outlineLevel="0" collapsed="false">
      <c r="A401" s="72" t="s">
        <v>84</v>
      </c>
      <c r="B401" s="75" t="n">
        <f aca="false">IF(ISNUMBER(週次_媒体別CP!L18),週次_媒体別CP!L18,0)</f>
        <v>0</v>
      </c>
      <c r="C401" s="75" t="n">
        <f aca="false">IF(ISNUMBER(週次_媒体別CP!L74),週次_媒体別CP!L74,0)</f>
        <v>0</v>
      </c>
      <c r="D401" s="75" t="n">
        <f aca="false">IF(ISNUMBER(週次_媒体別CP!L130),週次_媒体別CP!L130,0)</f>
        <v>0</v>
      </c>
      <c r="E401" s="75" t="n">
        <f aca="false">IF(ISNUMBER(週次_媒体別CP!L186),週次_媒体別CP!L186,0)</f>
        <v>0</v>
      </c>
      <c r="F401" s="75" t="n">
        <f aca="false">IF(ISNUMBER(週次_媒体別CP!L242),週次_媒体別CP!L242,0)</f>
        <v>0</v>
      </c>
      <c r="G401" s="75" t="n">
        <f aca="false">IF(ISNUMBER(週次_媒体別CP!L298),週次_媒体別CP!L298,0)</f>
        <v>0</v>
      </c>
      <c r="H401" s="75" t="n">
        <f aca="false">IF(ISNUMBER(週次_媒体別CP!L354),週次_媒体別CP!L354,0)</f>
        <v>0</v>
      </c>
      <c r="I401" s="75" t="n">
        <f aca="false">IF(ISNUMBER(週次_媒体別CP!L411),週次_媒体別CP!L411,0)</f>
        <v>0</v>
      </c>
    </row>
    <row r="402" customFormat="false" ht="15" hidden="false" customHeight="false" outlineLevel="0" collapsed="false">
      <c r="A402" s="72" t="s">
        <v>86</v>
      </c>
      <c r="B402" s="75" t="n">
        <f aca="false">IF(ISNUMBER(週次_媒体別CP!L19),週次_媒体別CP!L19,0)</f>
        <v>0</v>
      </c>
      <c r="C402" s="75" t="n">
        <f aca="false">IF(ISNUMBER(週次_媒体別CP!L75),週次_媒体別CP!L75,0)</f>
        <v>0</v>
      </c>
      <c r="D402" s="75" t="n">
        <f aca="false">IF(ISNUMBER(週次_媒体別CP!L131),週次_媒体別CP!L131,0)</f>
        <v>0</v>
      </c>
      <c r="E402" s="75" t="n">
        <f aca="false">IF(ISNUMBER(週次_媒体別CP!L187),週次_媒体別CP!L187,0)</f>
        <v>0</v>
      </c>
      <c r="F402" s="75" t="n">
        <f aca="false">IF(ISNUMBER(週次_媒体別CP!L243),週次_媒体別CP!L243,0)</f>
        <v>0</v>
      </c>
      <c r="G402" s="75" t="n">
        <f aca="false">IF(ISNUMBER(週次_媒体別CP!L299),週次_媒体別CP!L299,0)</f>
        <v>0</v>
      </c>
      <c r="H402" s="75" t="n">
        <f aca="false">IF(ISNUMBER(週次_媒体別CP!L355),週次_媒体別CP!L355,0)</f>
        <v>0</v>
      </c>
      <c r="I402" s="75" t="n">
        <f aca="false">IF(ISNUMBER(週次_媒体別CP!L412),週次_媒体別CP!L412,0)</f>
        <v>0</v>
      </c>
    </row>
    <row r="403" customFormat="false" ht="15" hidden="false" customHeight="false" outlineLevel="0" collapsed="false">
      <c r="A403" s="72" t="s">
        <v>88</v>
      </c>
      <c r="B403" s="75" t="n">
        <f aca="false">IF(ISNUMBER(週次_媒体別CP!L20),週次_媒体別CP!L20,0)</f>
        <v>0</v>
      </c>
      <c r="C403" s="75" t="n">
        <f aca="false">IF(ISNUMBER(週次_媒体別CP!L76),週次_媒体別CP!L76,0)</f>
        <v>0</v>
      </c>
      <c r="D403" s="75" t="n">
        <f aca="false">IF(ISNUMBER(週次_媒体別CP!L132),週次_媒体別CP!L132,0)</f>
        <v>0</v>
      </c>
      <c r="E403" s="75" t="n">
        <f aca="false">IF(ISNUMBER(週次_媒体別CP!L188),週次_媒体別CP!L188,0)</f>
        <v>0</v>
      </c>
      <c r="F403" s="75" t="n">
        <f aca="false">IF(ISNUMBER(週次_媒体別CP!L244),週次_媒体別CP!L244,0)</f>
        <v>0</v>
      </c>
      <c r="G403" s="75" t="n">
        <f aca="false">IF(ISNUMBER(週次_媒体別CP!L300),週次_媒体別CP!L300,0)</f>
        <v>0</v>
      </c>
      <c r="H403" s="75" t="n">
        <f aca="false">IF(ISNUMBER(週次_媒体別CP!L356),週次_媒体別CP!L356,0)</f>
        <v>0</v>
      </c>
      <c r="I403" s="75" t="n">
        <f aca="false">IF(ISNUMBER(週次_媒体別CP!L413),週次_媒体別CP!L413,0)</f>
        <v>0</v>
      </c>
    </row>
    <row r="404" customFormat="false" ht="15" hidden="false" customHeight="false" outlineLevel="0" collapsed="false">
      <c r="A404" s="72" t="s">
        <v>90</v>
      </c>
      <c r="B404" s="75" t="n">
        <f aca="false">IF(ISNUMBER(週次_媒体別CP!L21),週次_媒体別CP!L21,0)</f>
        <v>0</v>
      </c>
      <c r="C404" s="75" t="n">
        <f aca="false">IF(ISNUMBER(週次_媒体別CP!L77),週次_媒体別CP!L77,0)</f>
        <v>0</v>
      </c>
      <c r="D404" s="75" t="n">
        <f aca="false">IF(ISNUMBER(週次_媒体別CP!L133),週次_媒体別CP!L133,0)</f>
        <v>0</v>
      </c>
      <c r="E404" s="75" t="n">
        <f aca="false">IF(ISNUMBER(週次_媒体別CP!L189),週次_媒体別CP!L189,0)</f>
        <v>0</v>
      </c>
      <c r="F404" s="75" t="n">
        <f aca="false">IF(ISNUMBER(週次_媒体別CP!L245),週次_媒体別CP!L245,0)</f>
        <v>0</v>
      </c>
      <c r="G404" s="75" t="n">
        <f aca="false">IF(ISNUMBER(週次_媒体別CP!L301),週次_媒体別CP!L301,0)</f>
        <v>0</v>
      </c>
      <c r="H404" s="75" t="n">
        <f aca="false">IF(ISNUMBER(週次_媒体別CP!L357),週次_媒体別CP!L357,0)</f>
        <v>0</v>
      </c>
      <c r="I404" s="75" t="n">
        <f aca="false">IF(ISNUMBER(週次_媒体別CP!L414),週次_媒体別CP!L414,0)</f>
        <v>0</v>
      </c>
    </row>
    <row r="405" customFormat="false" ht="15" hidden="false" customHeight="false" outlineLevel="0" collapsed="false">
      <c r="A405" s="72" t="s">
        <v>92</v>
      </c>
      <c r="B405" s="75" t="n">
        <f aca="false">IF(ISNUMBER(週次_媒体別CP!L22),週次_媒体別CP!L22,0)</f>
        <v>0</v>
      </c>
      <c r="C405" s="75" t="n">
        <f aca="false">IF(ISNUMBER(週次_媒体別CP!L78),週次_媒体別CP!L78,0)</f>
        <v>0</v>
      </c>
      <c r="D405" s="75" t="n">
        <f aca="false">IF(ISNUMBER(週次_媒体別CP!L134),週次_媒体別CP!L134,0)</f>
        <v>0</v>
      </c>
      <c r="E405" s="75" t="n">
        <f aca="false">IF(ISNUMBER(週次_媒体別CP!L190),週次_媒体別CP!L190,0)</f>
        <v>0</v>
      </c>
      <c r="F405" s="75" t="n">
        <f aca="false">IF(ISNUMBER(週次_媒体別CP!L246),週次_媒体別CP!L246,0)</f>
        <v>0</v>
      </c>
      <c r="G405" s="75" t="n">
        <f aca="false">IF(ISNUMBER(週次_媒体別CP!L302),週次_媒体別CP!L302,0)</f>
        <v>0</v>
      </c>
      <c r="H405" s="75" t="n">
        <f aca="false">IF(ISNUMBER(週次_媒体別CP!L358),週次_媒体別CP!L358,0)</f>
        <v>0</v>
      </c>
      <c r="I405" s="75" t="n">
        <f aca="false">IF(ISNUMBER(週次_媒体別CP!L415),週次_媒体別CP!L415,0)</f>
        <v>0</v>
      </c>
    </row>
    <row r="406" customFormat="false" ht="15" hidden="false" customHeight="false" outlineLevel="0" collapsed="false">
      <c r="A406" s="72" t="s">
        <v>94</v>
      </c>
      <c r="B406" s="75" t="n">
        <f aca="false">IF(ISNUMBER(週次_媒体別CP!L23),週次_媒体別CP!L23,0)</f>
        <v>0</v>
      </c>
      <c r="C406" s="75" t="n">
        <f aca="false">IF(ISNUMBER(週次_媒体別CP!L79),週次_媒体別CP!L79,0)</f>
        <v>0</v>
      </c>
      <c r="D406" s="75" t="n">
        <f aca="false">IF(ISNUMBER(週次_媒体別CP!L135),週次_媒体別CP!L135,0)</f>
        <v>0</v>
      </c>
      <c r="E406" s="75" t="n">
        <f aca="false">IF(ISNUMBER(週次_媒体別CP!L191),週次_媒体別CP!L191,0)</f>
        <v>0</v>
      </c>
      <c r="F406" s="75" t="n">
        <f aca="false">IF(ISNUMBER(週次_媒体別CP!L247),週次_媒体別CP!L247,0)</f>
        <v>0</v>
      </c>
      <c r="G406" s="75" t="n">
        <f aca="false">IF(ISNUMBER(週次_媒体別CP!L303),週次_媒体別CP!L303,0)</f>
        <v>0</v>
      </c>
      <c r="H406" s="75" t="n">
        <f aca="false">IF(ISNUMBER(週次_媒体別CP!L359),週次_媒体別CP!L359,0)</f>
        <v>0</v>
      </c>
      <c r="I406" s="75" t="n">
        <f aca="false">IF(ISNUMBER(週次_媒体別CP!L416),週次_媒体別CP!L416,0)</f>
        <v>0</v>
      </c>
    </row>
    <row r="407" customFormat="false" ht="15" hidden="false" customHeight="false" outlineLevel="0" collapsed="false">
      <c r="A407" s="72" t="s">
        <v>96</v>
      </c>
      <c r="B407" s="75" t="n">
        <f aca="false">IF(ISNUMBER(週次_媒体別CP!L24),週次_媒体別CP!L24,0)</f>
        <v>0</v>
      </c>
      <c r="C407" s="75" t="n">
        <f aca="false">IF(ISNUMBER(週次_媒体別CP!L80),週次_媒体別CP!L80,0)</f>
        <v>0</v>
      </c>
      <c r="D407" s="75" t="n">
        <f aca="false">IF(ISNUMBER(週次_媒体別CP!L136),週次_媒体別CP!L136,0)</f>
        <v>0</v>
      </c>
      <c r="E407" s="75" t="n">
        <f aca="false">IF(ISNUMBER(週次_媒体別CP!L192),週次_媒体別CP!L192,0)</f>
        <v>0</v>
      </c>
      <c r="F407" s="75" t="n">
        <f aca="false">IF(ISNUMBER(週次_媒体別CP!L248),週次_媒体別CP!L248,0)</f>
        <v>0</v>
      </c>
      <c r="G407" s="75" t="n">
        <f aca="false">IF(ISNUMBER(週次_媒体別CP!L304),週次_媒体別CP!L304,0)</f>
        <v>0</v>
      </c>
      <c r="H407" s="75" t="n">
        <f aca="false">IF(ISNUMBER(週次_媒体別CP!L360),週次_媒体別CP!L360,0)</f>
        <v>0</v>
      </c>
      <c r="I407" s="75" t="n">
        <f aca="false">IF(ISNUMBER(週次_媒体別CP!L417),週次_媒体別CP!L417,0)</f>
        <v>0</v>
      </c>
    </row>
    <row r="408" customFormat="false" ht="15" hidden="false" customHeight="false" outlineLevel="0" collapsed="false">
      <c r="A408" s="72" t="s">
        <v>98</v>
      </c>
      <c r="B408" s="75" t="n">
        <f aca="false">IF(ISNUMBER(週次_媒体別CP!L25),週次_媒体別CP!L25,0)</f>
        <v>0</v>
      </c>
      <c r="C408" s="75" t="n">
        <f aca="false">IF(ISNUMBER(週次_媒体別CP!L81),週次_媒体別CP!L81,0)</f>
        <v>0</v>
      </c>
      <c r="D408" s="75" t="n">
        <f aca="false">IF(ISNUMBER(週次_媒体別CP!L137),週次_媒体別CP!L137,0)</f>
        <v>0</v>
      </c>
      <c r="E408" s="75" t="n">
        <f aca="false">IF(ISNUMBER(週次_媒体別CP!L193),週次_媒体別CP!L193,0)</f>
        <v>0</v>
      </c>
      <c r="F408" s="75" t="n">
        <f aca="false">IF(ISNUMBER(週次_媒体別CP!L249),週次_媒体別CP!L249,0)</f>
        <v>0</v>
      </c>
      <c r="G408" s="75" t="n">
        <f aca="false">IF(ISNUMBER(週次_媒体別CP!L305),週次_媒体別CP!L305,0)</f>
        <v>0</v>
      </c>
      <c r="H408" s="75" t="n">
        <f aca="false">IF(ISNUMBER(週次_媒体別CP!L361),週次_媒体別CP!L361,0)</f>
        <v>0</v>
      </c>
      <c r="I408" s="75" t="n">
        <f aca="false">IF(ISNUMBER(週次_媒体別CP!L418),週次_媒体別CP!L418,0)</f>
        <v>0</v>
      </c>
    </row>
    <row r="409" customFormat="false" ht="15" hidden="false" customHeight="false" outlineLevel="0" collapsed="false">
      <c r="A409" s="72" t="s">
        <v>100</v>
      </c>
      <c r="B409" s="75" t="n">
        <f aca="false">IF(ISNUMBER(週次_媒体別CP!L26),週次_媒体別CP!L26,0)</f>
        <v>0</v>
      </c>
      <c r="C409" s="75" t="n">
        <f aca="false">IF(ISNUMBER(週次_媒体別CP!L82),週次_媒体別CP!L82,0)</f>
        <v>0</v>
      </c>
      <c r="D409" s="75" t="n">
        <f aca="false">IF(ISNUMBER(週次_媒体別CP!L138),週次_媒体別CP!L138,0)</f>
        <v>0</v>
      </c>
      <c r="E409" s="75" t="n">
        <f aca="false">IF(ISNUMBER(週次_媒体別CP!L194),週次_媒体別CP!L194,0)</f>
        <v>0</v>
      </c>
      <c r="F409" s="75" t="n">
        <f aca="false">IF(ISNUMBER(週次_媒体別CP!L250),週次_媒体別CP!L250,0)</f>
        <v>0</v>
      </c>
      <c r="G409" s="75" t="n">
        <f aca="false">IF(ISNUMBER(週次_媒体別CP!L306),週次_媒体別CP!L306,0)</f>
        <v>0</v>
      </c>
      <c r="H409" s="75" t="n">
        <f aca="false">IF(ISNUMBER(週次_媒体別CP!L362),週次_媒体別CP!L362,0)</f>
        <v>0</v>
      </c>
      <c r="I409" s="75" t="n">
        <f aca="false">IF(ISNUMBER(週次_媒体別CP!L419),週次_媒体別CP!L419,0)</f>
        <v>0</v>
      </c>
    </row>
    <row r="410" customFormat="false" ht="15" hidden="false" customHeight="false" outlineLevel="0" collapsed="false">
      <c r="A410" s="72" t="s">
        <v>102</v>
      </c>
      <c r="B410" s="75" t="n">
        <f aca="false">IF(ISNUMBER(週次_媒体別CP!L27),週次_媒体別CP!L27,0)</f>
        <v>0</v>
      </c>
      <c r="C410" s="75" t="n">
        <f aca="false">IF(ISNUMBER(週次_媒体別CP!L83),週次_媒体別CP!L83,0)</f>
        <v>0</v>
      </c>
      <c r="D410" s="75" t="n">
        <f aca="false">IF(ISNUMBER(週次_媒体別CP!L139),週次_媒体別CP!L139,0)</f>
        <v>0</v>
      </c>
      <c r="E410" s="75" t="n">
        <f aca="false">IF(ISNUMBER(週次_媒体別CP!L195),週次_媒体別CP!L195,0)</f>
        <v>0</v>
      </c>
      <c r="F410" s="75" t="n">
        <f aca="false">IF(ISNUMBER(週次_媒体別CP!L251),週次_媒体別CP!L251,0)</f>
        <v>0</v>
      </c>
      <c r="G410" s="75" t="n">
        <f aca="false">IF(ISNUMBER(週次_媒体別CP!L307),週次_媒体別CP!L307,0)</f>
        <v>0</v>
      </c>
      <c r="H410" s="75" t="n">
        <f aca="false">IF(ISNUMBER(週次_媒体別CP!L363),週次_媒体別CP!L363,0)</f>
        <v>0</v>
      </c>
      <c r="I410" s="75" t="n">
        <f aca="false">IF(ISNUMBER(週次_媒体別CP!L420),週次_媒体別CP!L420,0)</f>
        <v>0</v>
      </c>
    </row>
    <row r="411" customFormat="false" ht="15" hidden="false" customHeight="false" outlineLevel="0" collapsed="false">
      <c r="A411" s="72" t="s">
        <v>104</v>
      </c>
      <c r="B411" s="75" t="n">
        <f aca="false">IF(ISNUMBER(週次_媒体別CP!L28),週次_媒体別CP!L28,0)</f>
        <v>0</v>
      </c>
      <c r="C411" s="75" t="n">
        <f aca="false">IF(ISNUMBER(週次_媒体別CP!L84),週次_媒体別CP!L84,0)</f>
        <v>0</v>
      </c>
      <c r="D411" s="75" t="n">
        <f aca="false">IF(ISNUMBER(週次_媒体別CP!L140),週次_媒体別CP!L140,0)</f>
        <v>0</v>
      </c>
      <c r="E411" s="75" t="n">
        <f aca="false">IF(ISNUMBER(週次_媒体別CP!L196),週次_媒体別CP!L196,0)</f>
        <v>0</v>
      </c>
      <c r="F411" s="75" t="n">
        <f aca="false">IF(ISNUMBER(週次_媒体別CP!L252),週次_媒体別CP!L252,0)</f>
        <v>0</v>
      </c>
      <c r="G411" s="75" t="n">
        <f aca="false">IF(ISNUMBER(週次_媒体別CP!L308),週次_媒体別CP!L308,0)</f>
        <v>0</v>
      </c>
      <c r="H411" s="75" t="n">
        <f aca="false">IF(ISNUMBER(週次_媒体別CP!L364),週次_媒体別CP!L364,0)</f>
        <v>0</v>
      </c>
      <c r="I411" s="75" t="n">
        <f aca="false">IF(ISNUMBER(週次_媒体別CP!L421),週次_媒体別CP!L421,0)</f>
        <v>0</v>
      </c>
    </row>
    <row r="412" customFormat="false" ht="15" hidden="false" customHeight="false" outlineLevel="0" collapsed="false">
      <c r="A412" s="72" t="s">
        <v>106</v>
      </c>
      <c r="B412" s="75" t="n">
        <f aca="false">IF(ISNUMBER(週次_媒体別CP!L29),週次_媒体別CP!L29,0)</f>
        <v>0</v>
      </c>
      <c r="C412" s="75" t="n">
        <f aca="false">IF(ISNUMBER(週次_媒体別CP!L85),週次_媒体別CP!L85,0)</f>
        <v>0</v>
      </c>
      <c r="D412" s="75" t="n">
        <f aca="false">IF(ISNUMBER(週次_媒体別CP!L141),週次_媒体別CP!L141,0)</f>
        <v>0</v>
      </c>
      <c r="E412" s="75" t="n">
        <f aca="false">IF(ISNUMBER(週次_媒体別CP!L197),週次_媒体別CP!L197,0)</f>
        <v>0</v>
      </c>
      <c r="F412" s="75" t="n">
        <f aca="false">IF(ISNUMBER(週次_媒体別CP!L253),週次_媒体別CP!L253,0)</f>
        <v>0</v>
      </c>
      <c r="G412" s="75" t="n">
        <f aca="false">IF(ISNUMBER(週次_媒体別CP!L309),週次_媒体別CP!L309,0)</f>
        <v>0</v>
      </c>
      <c r="H412" s="75" t="n">
        <f aca="false">IF(ISNUMBER(週次_媒体別CP!L365),週次_媒体別CP!L365,0)</f>
        <v>0</v>
      </c>
      <c r="I412" s="75" t="n">
        <f aca="false">IF(ISNUMBER(週次_媒体別CP!L422),週次_媒体別CP!L422,0)</f>
        <v>0</v>
      </c>
    </row>
    <row r="413" customFormat="false" ht="15" hidden="false" customHeight="false" outlineLevel="0" collapsed="false">
      <c r="A413" s="72" t="s">
        <v>108</v>
      </c>
      <c r="B413" s="75" t="n">
        <f aca="false">IF(ISNUMBER(週次_媒体別CP!L30),週次_媒体別CP!L30,0)</f>
        <v>0</v>
      </c>
      <c r="C413" s="75" t="n">
        <f aca="false">IF(ISNUMBER(週次_媒体別CP!L86),週次_媒体別CP!L86,0)</f>
        <v>0</v>
      </c>
      <c r="D413" s="75" t="n">
        <f aca="false">IF(ISNUMBER(週次_媒体別CP!L142),週次_媒体別CP!L142,0)</f>
        <v>0</v>
      </c>
      <c r="E413" s="75" t="n">
        <f aca="false">IF(ISNUMBER(週次_媒体別CP!L198),週次_媒体別CP!L198,0)</f>
        <v>0</v>
      </c>
      <c r="F413" s="75" t="n">
        <f aca="false">IF(ISNUMBER(週次_媒体別CP!L254),週次_媒体別CP!L254,0)</f>
        <v>0</v>
      </c>
      <c r="G413" s="75" t="n">
        <f aca="false">IF(ISNUMBER(週次_媒体別CP!L310),週次_媒体別CP!L310,0)</f>
        <v>0</v>
      </c>
      <c r="H413" s="75" t="n">
        <f aca="false">IF(ISNUMBER(週次_媒体別CP!L366),週次_媒体別CP!L366,0)</f>
        <v>0</v>
      </c>
      <c r="I413" s="75" t="n">
        <f aca="false">IF(ISNUMBER(週次_媒体別CP!L423),週次_媒体別CP!L423,0)</f>
        <v>0</v>
      </c>
    </row>
    <row r="414" customFormat="false" ht="15" hidden="false" customHeight="false" outlineLevel="0" collapsed="false">
      <c r="A414" s="72" t="s">
        <v>110</v>
      </c>
      <c r="B414" s="75" t="n">
        <f aca="false">IF(ISNUMBER(週次_媒体別CP!L31),週次_媒体別CP!L31,0)</f>
        <v>0</v>
      </c>
      <c r="C414" s="75" t="n">
        <f aca="false">IF(ISNUMBER(週次_媒体別CP!L87),週次_媒体別CP!L87,0)</f>
        <v>0</v>
      </c>
      <c r="D414" s="75" t="n">
        <f aca="false">IF(ISNUMBER(週次_媒体別CP!L143),週次_媒体別CP!L143,0)</f>
        <v>0</v>
      </c>
      <c r="E414" s="75" t="n">
        <f aca="false">IF(ISNUMBER(週次_媒体別CP!L199),週次_媒体別CP!L199,0)</f>
        <v>0</v>
      </c>
      <c r="F414" s="75" t="n">
        <f aca="false">IF(ISNUMBER(週次_媒体別CP!L255),週次_媒体別CP!L255,0)</f>
        <v>0</v>
      </c>
      <c r="G414" s="75" t="n">
        <f aca="false">IF(ISNUMBER(週次_媒体別CP!L311),週次_媒体別CP!L311,0)</f>
        <v>0</v>
      </c>
      <c r="H414" s="75" t="n">
        <f aca="false">IF(ISNUMBER(週次_媒体別CP!L367),週次_媒体別CP!L367,0)</f>
        <v>0</v>
      </c>
      <c r="I414" s="75" t="n">
        <f aca="false">IF(ISNUMBER(週次_媒体別CP!L424),週次_媒体別CP!L424,0)</f>
        <v>0</v>
      </c>
    </row>
    <row r="415" customFormat="false" ht="15" hidden="false" customHeight="false" outlineLevel="0" collapsed="false">
      <c r="A415" s="72" t="s">
        <v>112</v>
      </c>
      <c r="B415" s="75" t="n">
        <f aca="false">IF(ISNUMBER(週次_媒体別CP!L32),週次_媒体別CP!L32,0)</f>
        <v>0</v>
      </c>
      <c r="C415" s="75" t="n">
        <f aca="false">IF(ISNUMBER(週次_媒体別CP!L88),週次_媒体別CP!L88,0)</f>
        <v>0</v>
      </c>
      <c r="D415" s="75" t="n">
        <f aca="false">IF(ISNUMBER(週次_媒体別CP!L144),週次_媒体別CP!L144,0)</f>
        <v>0</v>
      </c>
      <c r="E415" s="75" t="n">
        <f aca="false">IF(ISNUMBER(週次_媒体別CP!L200),週次_媒体別CP!L200,0)</f>
        <v>0</v>
      </c>
      <c r="F415" s="75" t="n">
        <f aca="false">IF(ISNUMBER(週次_媒体別CP!L256),週次_媒体別CP!L256,0)</f>
        <v>0</v>
      </c>
      <c r="G415" s="75" t="n">
        <f aca="false">IF(ISNUMBER(週次_媒体別CP!L312),週次_媒体別CP!L312,0)</f>
        <v>0</v>
      </c>
      <c r="H415" s="75" t="n">
        <f aca="false">IF(ISNUMBER(週次_媒体別CP!L368),週次_媒体別CP!L368,0)</f>
        <v>0</v>
      </c>
      <c r="I415" s="75" t="n">
        <f aca="false">IF(ISNUMBER(週次_媒体別CP!L425),週次_媒体別CP!L425,0)</f>
        <v>0</v>
      </c>
    </row>
    <row r="416" customFormat="false" ht="15" hidden="false" customHeight="false" outlineLevel="0" collapsed="false">
      <c r="A416" s="72" t="s">
        <v>114</v>
      </c>
      <c r="B416" s="75" t="n">
        <f aca="false">IF(ISNUMBER(週次_媒体別CP!L33),週次_媒体別CP!L33,0)</f>
        <v>0</v>
      </c>
      <c r="C416" s="75" t="n">
        <f aca="false">IF(ISNUMBER(週次_媒体別CP!L89),週次_媒体別CP!L89,0)</f>
        <v>0</v>
      </c>
      <c r="D416" s="75" t="n">
        <f aca="false">IF(ISNUMBER(週次_媒体別CP!L145),週次_媒体別CP!L145,0)</f>
        <v>0</v>
      </c>
      <c r="E416" s="75" t="n">
        <f aca="false">IF(ISNUMBER(週次_媒体別CP!L201),週次_媒体別CP!L201,0)</f>
        <v>0</v>
      </c>
      <c r="F416" s="75" t="n">
        <f aca="false">IF(ISNUMBER(週次_媒体別CP!L257),週次_媒体別CP!L257,0)</f>
        <v>0</v>
      </c>
      <c r="G416" s="75" t="n">
        <f aca="false">IF(ISNUMBER(週次_媒体別CP!L313),週次_媒体別CP!L313,0)</f>
        <v>0</v>
      </c>
      <c r="H416" s="75" t="n">
        <f aca="false">IF(ISNUMBER(週次_媒体別CP!L369),週次_媒体別CP!L369,0)</f>
        <v>0</v>
      </c>
      <c r="I416" s="75" t="n">
        <f aca="false">IF(ISNUMBER(週次_媒体別CP!L426),週次_媒体別CP!L426,0)</f>
        <v>0</v>
      </c>
    </row>
    <row r="417" customFormat="false" ht="15" hidden="false" customHeight="false" outlineLevel="0" collapsed="false">
      <c r="A417" s="72" t="s">
        <v>116</v>
      </c>
      <c r="B417" s="75" t="n">
        <f aca="false">IF(ISNUMBER(週次_媒体別CP!L34),週次_媒体別CP!L34,0)</f>
        <v>0</v>
      </c>
      <c r="C417" s="75" t="n">
        <f aca="false">IF(ISNUMBER(週次_媒体別CP!L90),週次_媒体別CP!L90,0)</f>
        <v>0</v>
      </c>
      <c r="D417" s="75" t="n">
        <f aca="false">IF(ISNUMBER(週次_媒体別CP!L146),週次_媒体別CP!L146,0)</f>
        <v>0</v>
      </c>
      <c r="E417" s="75" t="n">
        <f aca="false">IF(ISNUMBER(週次_媒体別CP!L202),週次_媒体別CP!L202,0)</f>
        <v>0</v>
      </c>
      <c r="F417" s="75" t="n">
        <f aca="false">IF(ISNUMBER(週次_媒体別CP!L258),週次_媒体別CP!L258,0)</f>
        <v>0</v>
      </c>
      <c r="G417" s="75" t="n">
        <f aca="false">IF(ISNUMBER(週次_媒体別CP!L314),週次_媒体別CP!L314,0)</f>
        <v>0</v>
      </c>
      <c r="H417" s="75" t="n">
        <f aca="false">IF(ISNUMBER(週次_媒体別CP!L370),週次_媒体別CP!L370,0)</f>
        <v>0</v>
      </c>
      <c r="I417" s="75" t="n">
        <f aca="false">IF(ISNUMBER(週次_媒体別CP!L427),週次_媒体別CP!L427,0)</f>
        <v>0</v>
      </c>
    </row>
    <row r="418" customFormat="false" ht="15" hidden="false" customHeight="false" outlineLevel="0" collapsed="false">
      <c r="A418" s="72" t="s">
        <v>118</v>
      </c>
      <c r="B418" s="75" t="n">
        <f aca="false">IF(ISNUMBER(週次_媒体別CP!L35),週次_媒体別CP!L35,0)</f>
        <v>0</v>
      </c>
      <c r="C418" s="75" t="n">
        <f aca="false">IF(ISNUMBER(週次_媒体別CP!L91),週次_媒体別CP!L91,0)</f>
        <v>0</v>
      </c>
      <c r="D418" s="75" t="n">
        <f aca="false">IF(ISNUMBER(週次_媒体別CP!L147),週次_媒体別CP!L147,0)</f>
        <v>0</v>
      </c>
      <c r="E418" s="75" t="n">
        <f aca="false">IF(ISNUMBER(週次_媒体別CP!L203),週次_媒体別CP!L203,0)</f>
        <v>0</v>
      </c>
      <c r="F418" s="75" t="n">
        <f aca="false">IF(ISNUMBER(週次_媒体別CP!L259),週次_媒体別CP!L259,0)</f>
        <v>0</v>
      </c>
      <c r="G418" s="75" t="n">
        <f aca="false">IF(ISNUMBER(週次_媒体別CP!L315),週次_媒体別CP!L315,0)</f>
        <v>0</v>
      </c>
      <c r="H418" s="75" t="n">
        <f aca="false">IF(ISNUMBER(週次_媒体別CP!L371),週次_媒体別CP!L371,0)</f>
        <v>0</v>
      </c>
      <c r="I418" s="75" t="n">
        <f aca="false">IF(ISNUMBER(週次_媒体別CP!L428),週次_媒体別CP!L428,0)</f>
        <v>0</v>
      </c>
    </row>
    <row r="419" customFormat="false" ht="15" hidden="false" customHeight="false" outlineLevel="0" collapsed="false">
      <c r="A419" s="72" t="s">
        <v>120</v>
      </c>
      <c r="B419" s="75" t="n">
        <f aca="false">IF(ISNUMBER(週次_媒体別CP!L36),週次_媒体別CP!L36,0)</f>
        <v>0</v>
      </c>
      <c r="C419" s="75" t="n">
        <f aca="false">IF(ISNUMBER(週次_媒体別CP!L92),週次_媒体別CP!L92,0)</f>
        <v>0</v>
      </c>
      <c r="D419" s="75" t="n">
        <f aca="false">IF(ISNUMBER(週次_媒体別CP!L148),週次_媒体別CP!L148,0)</f>
        <v>0</v>
      </c>
      <c r="E419" s="75" t="n">
        <f aca="false">IF(ISNUMBER(週次_媒体別CP!L204),週次_媒体別CP!L204,0)</f>
        <v>0</v>
      </c>
      <c r="F419" s="75" t="n">
        <f aca="false">IF(ISNUMBER(週次_媒体別CP!L260),週次_媒体別CP!L260,0)</f>
        <v>0</v>
      </c>
      <c r="G419" s="75" t="n">
        <f aca="false">IF(ISNUMBER(週次_媒体別CP!L316),週次_媒体別CP!L316,0)</f>
        <v>0</v>
      </c>
      <c r="H419" s="75" t="n">
        <f aca="false">IF(ISNUMBER(週次_媒体別CP!L372),週次_媒体別CP!L372,0)</f>
        <v>0</v>
      </c>
      <c r="I419" s="75" t="n">
        <f aca="false">IF(ISNUMBER(週次_媒体別CP!L429),週次_媒体別CP!L429,0)</f>
        <v>0</v>
      </c>
    </row>
    <row r="420" customFormat="false" ht="15" hidden="false" customHeight="false" outlineLevel="0" collapsed="false">
      <c r="A420" s="72" t="s">
        <v>122</v>
      </c>
      <c r="B420" s="75" t="n">
        <f aca="false">IF(ISNUMBER(週次_媒体別CP!L37),週次_媒体別CP!L37,0)</f>
        <v>0</v>
      </c>
      <c r="C420" s="75" t="n">
        <f aca="false">IF(ISNUMBER(週次_媒体別CP!L93),週次_媒体別CP!L93,0)</f>
        <v>0</v>
      </c>
      <c r="D420" s="75" t="n">
        <f aca="false">IF(ISNUMBER(週次_媒体別CP!L149),週次_媒体別CP!L149,0)</f>
        <v>0</v>
      </c>
      <c r="E420" s="75" t="n">
        <f aca="false">IF(ISNUMBER(週次_媒体別CP!L205),週次_媒体別CP!L205,0)</f>
        <v>0</v>
      </c>
      <c r="F420" s="75" t="n">
        <f aca="false">IF(ISNUMBER(週次_媒体別CP!L261),週次_媒体別CP!L261,0)</f>
        <v>0</v>
      </c>
      <c r="G420" s="75" t="n">
        <f aca="false">IF(ISNUMBER(週次_媒体別CP!L317),週次_媒体別CP!L317,0)</f>
        <v>0</v>
      </c>
      <c r="H420" s="75" t="n">
        <f aca="false">IF(ISNUMBER(週次_媒体別CP!L373),週次_媒体別CP!L373,0)</f>
        <v>0</v>
      </c>
      <c r="I420" s="75" t="n">
        <f aca="false">IF(ISNUMBER(週次_媒体別CP!L430),週次_媒体別CP!L430,0)</f>
        <v>0</v>
      </c>
    </row>
    <row r="421" customFormat="false" ht="15" hidden="false" customHeight="false" outlineLevel="0" collapsed="false">
      <c r="A421" s="72" t="s">
        <v>124</v>
      </c>
      <c r="B421" s="75" t="n">
        <f aca="false">IF(ISNUMBER(週次_媒体別CP!L38),週次_媒体別CP!L38,0)</f>
        <v>0</v>
      </c>
      <c r="C421" s="75" t="n">
        <f aca="false">IF(ISNUMBER(週次_媒体別CP!L94),週次_媒体別CP!L94,0)</f>
        <v>0</v>
      </c>
      <c r="D421" s="75" t="n">
        <f aca="false">IF(ISNUMBER(週次_媒体別CP!L150),週次_媒体別CP!L150,0)</f>
        <v>0</v>
      </c>
      <c r="E421" s="75" t="n">
        <f aca="false">IF(ISNUMBER(週次_媒体別CP!L206),週次_媒体別CP!L206,0)</f>
        <v>0</v>
      </c>
      <c r="F421" s="75" t="n">
        <f aca="false">IF(ISNUMBER(週次_媒体別CP!L262),週次_媒体別CP!L262,0)</f>
        <v>0</v>
      </c>
      <c r="G421" s="75" t="n">
        <f aca="false">IF(ISNUMBER(週次_媒体別CP!L318),週次_媒体別CP!L318,0)</f>
        <v>0</v>
      </c>
      <c r="H421" s="75" t="n">
        <f aca="false">IF(ISNUMBER(週次_媒体別CP!L374),週次_媒体別CP!L374,0)</f>
        <v>0</v>
      </c>
      <c r="I421" s="75" t="n">
        <f aca="false">IF(ISNUMBER(週次_媒体別CP!L431),週次_媒体別CP!L431,0)</f>
        <v>0</v>
      </c>
    </row>
    <row r="422" customFormat="false" ht="15" hidden="false" customHeight="false" outlineLevel="0" collapsed="false">
      <c r="A422" s="72" t="s">
        <v>126</v>
      </c>
      <c r="B422" s="75" t="n">
        <f aca="false">IF(ISNUMBER(週次_媒体別CP!L39),週次_媒体別CP!L39,0)</f>
        <v>0</v>
      </c>
      <c r="C422" s="75" t="n">
        <f aca="false">IF(ISNUMBER(週次_媒体別CP!L95),週次_媒体別CP!L95,0)</f>
        <v>0</v>
      </c>
      <c r="D422" s="75" t="n">
        <f aca="false">IF(ISNUMBER(週次_媒体別CP!L151),週次_媒体別CP!L151,0)</f>
        <v>0</v>
      </c>
      <c r="E422" s="75" t="n">
        <f aca="false">IF(ISNUMBER(週次_媒体別CP!L207),週次_媒体別CP!L207,0)</f>
        <v>0</v>
      </c>
      <c r="F422" s="75" t="n">
        <f aca="false">IF(ISNUMBER(週次_媒体別CP!L263),週次_媒体別CP!L263,0)</f>
        <v>0</v>
      </c>
      <c r="G422" s="75" t="n">
        <f aca="false">IF(ISNUMBER(週次_媒体別CP!L319),週次_媒体別CP!L319,0)</f>
        <v>0</v>
      </c>
      <c r="H422" s="75" t="n">
        <f aca="false">IF(ISNUMBER(週次_媒体別CP!L375),週次_媒体別CP!L375,0)</f>
        <v>0</v>
      </c>
      <c r="I422" s="75" t="n">
        <f aca="false">IF(ISNUMBER(週次_媒体別CP!L432),週次_媒体別CP!L432,0)</f>
        <v>0</v>
      </c>
    </row>
    <row r="423" customFormat="false" ht="15" hidden="false" customHeight="false" outlineLevel="0" collapsed="false">
      <c r="A423" s="72" t="s">
        <v>128</v>
      </c>
      <c r="B423" s="75" t="n">
        <f aca="false">IF(ISNUMBER(週次_媒体別CP!L40),週次_媒体別CP!L40,0)</f>
        <v>0</v>
      </c>
      <c r="C423" s="75" t="n">
        <f aca="false">IF(ISNUMBER(週次_媒体別CP!L96),週次_媒体別CP!L96,0)</f>
        <v>0</v>
      </c>
      <c r="D423" s="75" t="n">
        <f aca="false">IF(ISNUMBER(週次_媒体別CP!L152),週次_媒体別CP!L152,0)</f>
        <v>0</v>
      </c>
      <c r="E423" s="75" t="n">
        <f aca="false">IF(ISNUMBER(週次_媒体別CP!L208),週次_媒体別CP!L208,0)</f>
        <v>0</v>
      </c>
      <c r="F423" s="75" t="n">
        <f aca="false">IF(ISNUMBER(週次_媒体別CP!L264),週次_媒体別CP!L264,0)</f>
        <v>0</v>
      </c>
      <c r="G423" s="75" t="n">
        <f aca="false">IF(ISNUMBER(週次_媒体別CP!L320),週次_媒体別CP!L320,0)</f>
        <v>0</v>
      </c>
      <c r="H423" s="75" t="n">
        <f aca="false">IF(ISNUMBER(週次_媒体別CP!L376),週次_媒体別CP!L376,0)</f>
        <v>0</v>
      </c>
      <c r="I423" s="75" t="n">
        <f aca="false">IF(ISNUMBER(週次_媒体別CP!L433),週次_媒体別CP!L433,0)</f>
        <v>0</v>
      </c>
    </row>
    <row r="424" customFormat="false" ht="15" hidden="false" customHeight="false" outlineLevel="0" collapsed="false">
      <c r="A424" s="72" t="s">
        <v>130</v>
      </c>
      <c r="B424" s="75" t="n">
        <f aca="false">IF(ISNUMBER(週次_媒体別CP!L41),週次_媒体別CP!L41,0)</f>
        <v>0</v>
      </c>
      <c r="C424" s="75" t="n">
        <f aca="false">IF(ISNUMBER(週次_媒体別CP!L97),週次_媒体別CP!L97,0)</f>
        <v>0</v>
      </c>
      <c r="D424" s="75" t="n">
        <f aca="false">IF(ISNUMBER(週次_媒体別CP!L153),週次_媒体別CP!L153,0)</f>
        <v>0</v>
      </c>
      <c r="E424" s="75" t="n">
        <f aca="false">IF(ISNUMBER(週次_媒体別CP!L209),週次_媒体別CP!L209,0)</f>
        <v>0</v>
      </c>
      <c r="F424" s="75" t="n">
        <f aca="false">IF(ISNUMBER(週次_媒体別CP!L265),週次_媒体別CP!L265,0)</f>
        <v>0</v>
      </c>
      <c r="G424" s="75" t="n">
        <f aca="false">IF(ISNUMBER(週次_媒体別CP!L321),週次_媒体別CP!L321,0)</f>
        <v>0</v>
      </c>
      <c r="H424" s="75" t="n">
        <f aca="false">IF(ISNUMBER(週次_媒体別CP!L377),週次_媒体別CP!L377,0)</f>
        <v>0</v>
      </c>
      <c r="I424" s="75" t="n">
        <f aca="false">IF(ISNUMBER(週次_媒体別CP!L434),週次_媒体別CP!L434,0)</f>
        <v>0</v>
      </c>
    </row>
    <row r="425" customFormat="false" ht="15" hidden="false" customHeight="false" outlineLevel="0" collapsed="false">
      <c r="A425" s="72" t="s">
        <v>132</v>
      </c>
      <c r="B425" s="75" t="n">
        <f aca="false">IF(ISNUMBER(週次_媒体別CP!L42),週次_媒体別CP!L42,0)</f>
        <v>0</v>
      </c>
      <c r="C425" s="75" t="n">
        <f aca="false">IF(ISNUMBER(週次_媒体別CP!L98),週次_媒体別CP!L98,0)</f>
        <v>0</v>
      </c>
      <c r="D425" s="75" t="n">
        <f aca="false">IF(ISNUMBER(週次_媒体別CP!L154),週次_媒体別CP!L154,0)</f>
        <v>0</v>
      </c>
      <c r="E425" s="75" t="n">
        <f aca="false">IF(ISNUMBER(週次_媒体別CP!L210),週次_媒体別CP!L210,0)</f>
        <v>0</v>
      </c>
      <c r="F425" s="75" t="n">
        <f aca="false">IF(ISNUMBER(週次_媒体別CP!L266),週次_媒体別CP!L266,0)</f>
        <v>0</v>
      </c>
      <c r="G425" s="75" t="n">
        <f aca="false">IF(ISNUMBER(週次_媒体別CP!L322),週次_媒体別CP!L322,0)</f>
        <v>0</v>
      </c>
      <c r="H425" s="75" t="n">
        <f aca="false">IF(ISNUMBER(週次_媒体別CP!L378),週次_媒体別CP!L378,0)</f>
        <v>0</v>
      </c>
      <c r="I425" s="75" t="n">
        <f aca="false">IF(ISNUMBER(週次_媒体別CP!L435),週次_媒体別CP!L435,0)</f>
        <v>0</v>
      </c>
    </row>
    <row r="426" customFormat="false" ht="15" hidden="false" customHeight="false" outlineLevel="0" collapsed="false">
      <c r="A426" s="72" t="s">
        <v>134</v>
      </c>
      <c r="B426" s="75" t="n">
        <f aca="false">IF(ISNUMBER(週次_媒体別CP!L43),週次_媒体別CP!L43,0)</f>
        <v>0</v>
      </c>
      <c r="C426" s="75" t="n">
        <f aca="false">IF(ISNUMBER(週次_媒体別CP!L99),週次_媒体別CP!L99,0)</f>
        <v>0</v>
      </c>
      <c r="D426" s="75" t="n">
        <f aca="false">IF(ISNUMBER(週次_媒体別CP!L155),週次_媒体別CP!L155,0)</f>
        <v>0</v>
      </c>
      <c r="E426" s="75" t="n">
        <f aca="false">IF(ISNUMBER(週次_媒体別CP!L211),週次_媒体別CP!L211,0)</f>
        <v>0</v>
      </c>
      <c r="F426" s="75" t="n">
        <f aca="false">IF(ISNUMBER(週次_媒体別CP!L267),週次_媒体別CP!L267,0)</f>
        <v>0</v>
      </c>
      <c r="G426" s="75" t="n">
        <f aca="false">IF(ISNUMBER(週次_媒体別CP!L323),週次_媒体別CP!L323,0)</f>
        <v>0</v>
      </c>
      <c r="H426" s="75" t="n">
        <f aca="false">IF(ISNUMBER(週次_媒体別CP!L379),週次_媒体別CP!L379,0)</f>
        <v>0</v>
      </c>
      <c r="I426" s="75" t="n">
        <f aca="false">IF(ISNUMBER(週次_媒体別CP!L436),週次_媒体別CP!L436,0)</f>
        <v>0</v>
      </c>
    </row>
    <row r="427" customFormat="false" ht="15" hidden="false" customHeight="false" outlineLevel="0" collapsed="false">
      <c r="A427" s="72" t="s">
        <v>136</v>
      </c>
      <c r="B427" s="75" t="n">
        <f aca="false">IF(ISNUMBER(週次_媒体別CP!L44),週次_媒体別CP!L44,0)</f>
        <v>0</v>
      </c>
      <c r="C427" s="75" t="n">
        <f aca="false">IF(ISNUMBER(週次_媒体別CP!L100),週次_媒体別CP!L100,0)</f>
        <v>0</v>
      </c>
      <c r="D427" s="75" t="n">
        <f aca="false">IF(ISNUMBER(週次_媒体別CP!L156),週次_媒体別CP!L156,0)</f>
        <v>0</v>
      </c>
      <c r="E427" s="75" t="n">
        <f aca="false">IF(ISNUMBER(週次_媒体別CP!L212),週次_媒体別CP!L212,0)</f>
        <v>0</v>
      </c>
      <c r="F427" s="75" t="n">
        <f aca="false">IF(ISNUMBER(週次_媒体別CP!L268),週次_媒体別CP!L268,0)</f>
        <v>0</v>
      </c>
      <c r="G427" s="75" t="n">
        <f aca="false">IF(ISNUMBER(週次_媒体別CP!L324),週次_媒体別CP!L324,0)</f>
        <v>0</v>
      </c>
      <c r="H427" s="75" t="n">
        <f aca="false">IF(ISNUMBER(週次_媒体別CP!L380),週次_媒体別CP!L380,0)</f>
        <v>0</v>
      </c>
      <c r="I427" s="75" t="n">
        <f aca="false">IF(ISNUMBER(週次_媒体別CP!L437),週次_媒体別CP!L437,0)</f>
        <v>0</v>
      </c>
    </row>
    <row r="428" customFormat="false" ht="15" hidden="false" customHeight="false" outlineLevel="0" collapsed="false">
      <c r="A428" s="72" t="s">
        <v>138</v>
      </c>
      <c r="B428" s="75" t="n">
        <f aca="false">IF(ISNUMBER(週次_媒体別CP!L45),週次_媒体別CP!L45,0)</f>
        <v>0</v>
      </c>
      <c r="C428" s="75" t="n">
        <f aca="false">IF(ISNUMBER(週次_媒体別CP!L101),週次_媒体別CP!L101,0)</f>
        <v>0</v>
      </c>
      <c r="D428" s="75" t="n">
        <f aca="false">IF(ISNUMBER(週次_媒体別CP!L157),週次_媒体別CP!L157,0)</f>
        <v>0</v>
      </c>
      <c r="E428" s="75" t="n">
        <f aca="false">IF(ISNUMBER(週次_媒体別CP!L213),週次_媒体別CP!L213,0)</f>
        <v>0</v>
      </c>
      <c r="F428" s="75" t="n">
        <f aca="false">IF(ISNUMBER(週次_媒体別CP!L269),週次_媒体別CP!L269,0)</f>
        <v>0</v>
      </c>
      <c r="G428" s="75" t="n">
        <f aca="false">IF(ISNUMBER(週次_媒体別CP!L325),週次_媒体別CP!L325,0)</f>
        <v>0</v>
      </c>
      <c r="H428" s="75" t="n">
        <f aca="false">IF(ISNUMBER(週次_媒体別CP!L381),週次_媒体別CP!L381,0)</f>
        <v>0</v>
      </c>
      <c r="I428" s="75" t="n">
        <f aca="false">IF(ISNUMBER(週次_媒体別CP!L438),週次_媒体別CP!L438,0)</f>
        <v>0</v>
      </c>
    </row>
    <row r="429" customFormat="false" ht="15" hidden="false" customHeight="false" outlineLevel="0" collapsed="false">
      <c r="A429" s="72" t="s">
        <v>140</v>
      </c>
      <c r="B429" s="75" t="n">
        <f aca="false">IF(ISNUMBER(週次_媒体別CP!L46),週次_媒体別CP!L46,0)</f>
        <v>0</v>
      </c>
      <c r="C429" s="75" t="n">
        <f aca="false">IF(ISNUMBER(週次_媒体別CP!L102),週次_媒体別CP!L102,0)</f>
        <v>0</v>
      </c>
      <c r="D429" s="75" t="n">
        <f aca="false">IF(ISNUMBER(週次_媒体別CP!L158),週次_媒体別CP!L158,0)</f>
        <v>0</v>
      </c>
      <c r="E429" s="75" t="n">
        <f aca="false">IF(ISNUMBER(週次_媒体別CP!L214),週次_媒体別CP!L214,0)</f>
        <v>0</v>
      </c>
      <c r="F429" s="75" t="n">
        <f aca="false">IF(ISNUMBER(週次_媒体別CP!L270),週次_媒体別CP!L270,0)</f>
        <v>0</v>
      </c>
      <c r="G429" s="75" t="n">
        <f aca="false">IF(ISNUMBER(週次_媒体別CP!L326),週次_媒体別CP!L326,0)</f>
        <v>0</v>
      </c>
      <c r="H429" s="75" t="n">
        <f aca="false">IF(ISNUMBER(週次_媒体別CP!L382),週次_媒体別CP!L382,0)</f>
        <v>0</v>
      </c>
      <c r="I429" s="75" t="n">
        <f aca="false">IF(ISNUMBER(週次_媒体別CP!L439),週次_媒体別CP!L439,0)</f>
        <v>0</v>
      </c>
    </row>
    <row r="430" customFormat="false" ht="15" hidden="false" customHeight="false" outlineLevel="0" collapsed="false">
      <c r="A430" s="72" t="s">
        <v>142</v>
      </c>
      <c r="B430" s="75" t="n">
        <f aca="false">IF(ISNUMBER(週次_媒体別CP!L47),週次_媒体別CP!L47,0)</f>
        <v>0</v>
      </c>
      <c r="C430" s="75" t="n">
        <f aca="false">IF(ISNUMBER(週次_媒体別CP!L103),週次_媒体別CP!L103,0)</f>
        <v>0</v>
      </c>
      <c r="D430" s="75" t="n">
        <f aca="false">IF(ISNUMBER(週次_媒体別CP!L159),週次_媒体別CP!L159,0)</f>
        <v>0</v>
      </c>
      <c r="E430" s="75" t="n">
        <f aca="false">IF(ISNUMBER(週次_媒体別CP!L215),週次_媒体別CP!L215,0)</f>
        <v>0</v>
      </c>
      <c r="F430" s="75" t="n">
        <f aca="false">IF(ISNUMBER(週次_媒体別CP!L271),週次_媒体別CP!L271,0)</f>
        <v>0</v>
      </c>
      <c r="G430" s="75" t="n">
        <f aca="false">IF(ISNUMBER(週次_媒体別CP!L327),週次_媒体別CP!L327,0)</f>
        <v>0</v>
      </c>
      <c r="H430" s="75" t="n">
        <f aca="false">IF(ISNUMBER(週次_媒体別CP!L383),週次_媒体別CP!L383,0)</f>
        <v>0</v>
      </c>
      <c r="I430" s="75" t="n">
        <f aca="false">IF(ISNUMBER(週次_媒体別CP!L440),週次_媒体別CP!L440,0)</f>
        <v>0</v>
      </c>
    </row>
    <row r="431" customFormat="false" ht="15" hidden="false" customHeight="false" outlineLevel="0" collapsed="false">
      <c r="A431" s="72" t="s">
        <v>144</v>
      </c>
      <c r="B431" s="75" t="n">
        <f aca="false">IF(ISNUMBER(週次_媒体別CP!L48),週次_媒体別CP!L48,0)</f>
        <v>0</v>
      </c>
      <c r="C431" s="75" t="n">
        <f aca="false">IF(ISNUMBER(週次_媒体別CP!L104),週次_媒体別CP!L104,0)</f>
        <v>0</v>
      </c>
      <c r="D431" s="75" t="n">
        <f aca="false">IF(ISNUMBER(週次_媒体別CP!L160),週次_媒体別CP!L160,0)</f>
        <v>0</v>
      </c>
      <c r="E431" s="75" t="n">
        <f aca="false">IF(ISNUMBER(週次_媒体別CP!L216),週次_媒体別CP!L216,0)</f>
        <v>0</v>
      </c>
      <c r="F431" s="75" t="n">
        <f aca="false">IF(ISNUMBER(週次_媒体別CP!L272),週次_媒体別CP!L272,0)</f>
        <v>0</v>
      </c>
      <c r="G431" s="75" t="n">
        <f aca="false">IF(ISNUMBER(週次_媒体別CP!L328),週次_媒体別CP!L328,0)</f>
        <v>0</v>
      </c>
      <c r="H431" s="75" t="n">
        <f aca="false">IF(ISNUMBER(週次_媒体別CP!L384),週次_媒体別CP!L384,0)</f>
        <v>0</v>
      </c>
      <c r="I431" s="75" t="n">
        <f aca="false">IF(ISNUMBER(週次_媒体別CP!L441),週次_媒体別CP!L441,0)</f>
        <v>0</v>
      </c>
    </row>
    <row r="432" customFormat="false" ht="15" hidden="false" customHeight="false" outlineLevel="0" collapsed="false">
      <c r="A432" s="72" t="s">
        <v>146</v>
      </c>
      <c r="B432" s="75" t="n">
        <f aca="false">IF(ISNUMBER(週次_媒体別CP!L49),週次_媒体別CP!L49,0)</f>
        <v>0</v>
      </c>
      <c r="C432" s="75" t="n">
        <f aca="false">IF(ISNUMBER(週次_媒体別CP!L105),週次_媒体別CP!L105,0)</f>
        <v>0</v>
      </c>
      <c r="D432" s="75" t="n">
        <f aca="false">IF(ISNUMBER(週次_媒体別CP!L161),週次_媒体別CP!L161,0)</f>
        <v>0</v>
      </c>
      <c r="E432" s="75" t="n">
        <f aca="false">IF(ISNUMBER(週次_媒体別CP!L217),週次_媒体別CP!L217,0)</f>
        <v>0</v>
      </c>
      <c r="F432" s="75" t="n">
        <f aca="false">IF(ISNUMBER(週次_媒体別CP!L273),週次_媒体別CP!L273,0)</f>
        <v>0</v>
      </c>
      <c r="G432" s="75" t="n">
        <f aca="false">IF(ISNUMBER(週次_媒体別CP!L329),週次_媒体別CP!L329,0)</f>
        <v>0</v>
      </c>
      <c r="H432" s="75" t="n">
        <f aca="false">IF(ISNUMBER(週次_媒体別CP!L385),週次_媒体別CP!L385,0)</f>
        <v>0</v>
      </c>
      <c r="I432" s="75" t="n">
        <f aca="false">IF(ISNUMBER(週次_媒体別CP!L442),週次_媒体別CP!L442,0)</f>
        <v>0</v>
      </c>
    </row>
    <row r="433" customFormat="false" ht="15" hidden="false" customHeight="false" outlineLevel="0" collapsed="false">
      <c r="A433" s="72" t="s">
        <v>148</v>
      </c>
      <c r="B433" s="75" t="n">
        <f aca="false">IF(ISNUMBER(週次_媒体別CP!L50),週次_媒体別CP!L50,0)</f>
        <v>0</v>
      </c>
      <c r="C433" s="75" t="n">
        <f aca="false">IF(ISNUMBER(週次_媒体別CP!L106),週次_媒体別CP!L106,0)</f>
        <v>0</v>
      </c>
      <c r="D433" s="75" t="n">
        <f aca="false">IF(ISNUMBER(週次_媒体別CP!L162),週次_媒体別CP!L162,0)</f>
        <v>0</v>
      </c>
      <c r="E433" s="75" t="n">
        <f aca="false">IF(ISNUMBER(週次_媒体別CP!L218),週次_媒体別CP!L218,0)</f>
        <v>0</v>
      </c>
      <c r="F433" s="75" t="n">
        <f aca="false">IF(ISNUMBER(週次_媒体別CP!L274),週次_媒体別CP!L274,0)</f>
        <v>0</v>
      </c>
      <c r="G433" s="75" t="n">
        <f aca="false">IF(ISNUMBER(週次_媒体別CP!L330),週次_媒体別CP!L330,0)</f>
        <v>0</v>
      </c>
      <c r="H433" s="75" t="n">
        <f aca="false">IF(ISNUMBER(週次_媒体別CP!L386),週次_媒体別CP!L386,0)</f>
        <v>0</v>
      </c>
      <c r="I433" s="75" t="n">
        <f aca="false">IF(ISNUMBER(週次_媒体別CP!L443),週次_媒体別CP!L443,0)</f>
        <v>0</v>
      </c>
    </row>
    <row r="434" customFormat="false" ht="15" hidden="false" customHeight="false" outlineLevel="0" collapsed="false">
      <c r="A434" s="72" t="s">
        <v>150</v>
      </c>
      <c r="B434" s="75" t="n">
        <f aca="false">IF(ISNUMBER(週次_媒体別CP!L51),週次_媒体別CP!L51,0)</f>
        <v>0</v>
      </c>
      <c r="C434" s="75" t="n">
        <f aca="false">IF(ISNUMBER(週次_媒体別CP!L107),週次_媒体別CP!L107,0)</f>
        <v>0</v>
      </c>
      <c r="D434" s="75" t="n">
        <f aca="false">IF(ISNUMBER(週次_媒体別CP!L163),週次_媒体別CP!L163,0)</f>
        <v>0</v>
      </c>
      <c r="E434" s="75" t="n">
        <f aca="false">IF(ISNUMBER(週次_媒体別CP!L219),週次_媒体別CP!L219,0)</f>
        <v>0</v>
      </c>
      <c r="F434" s="75" t="n">
        <f aca="false">IF(ISNUMBER(週次_媒体別CP!L275),週次_媒体別CP!L275,0)</f>
        <v>0</v>
      </c>
      <c r="G434" s="75" t="n">
        <f aca="false">IF(ISNUMBER(週次_媒体別CP!L331),週次_媒体別CP!L331,0)</f>
        <v>0</v>
      </c>
      <c r="H434" s="75" t="n">
        <f aca="false">IF(ISNUMBER(週次_媒体別CP!L387),週次_媒体別CP!L387,0)</f>
        <v>0</v>
      </c>
      <c r="I434" s="75" t="n">
        <f aca="false">IF(ISNUMBER(週次_媒体別CP!L444),週次_媒体別CP!L444,0)</f>
        <v>0</v>
      </c>
    </row>
    <row r="435" customFormat="false" ht="15" hidden="false" customHeight="false" outlineLevel="0" collapsed="false">
      <c r="A435" s="72" t="s">
        <v>152</v>
      </c>
      <c r="B435" s="75" t="n">
        <f aca="false">IF(ISNUMBER(週次_媒体別CP!L52),週次_媒体別CP!L52,0)</f>
        <v>0</v>
      </c>
      <c r="C435" s="75" t="n">
        <f aca="false">IF(ISNUMBER(週次_媒体別CP!L108),週次_媒体別CP!L108,0)</f>
        <v>0</v>
      </c>
      <c r="D435" s="75" t="n">
        <f aca="false">IF(ISNUMBER(週次_媒体別CP!L164),週次_媒体別CP!L164,0)</f>
        <v>0</v>
      </c>
      <c r="E435" s="75" t="n">
        <f aca="false">IF(ISNUMBER(週次_媒体別CP!L220),週次_媒体別CP!L220,0)</f>
        <v>0</v>
      </c>
      <c r="F435" s="75" t="n">
        <f aca="false">IF(ISNUMBER(週次_媒体別CP!L276),週次_媒体別CP!L276,0)</f>
        <v>0</v>
      </c>
      <c r="G435" s="75" t="n">
        <f aca="false">IF(ISNUMBER(週次_媒体別CP!L332),週次_媒体別CP!L332,0)</f>
        <v>0</v>
      </c>
      <c r="H435" s="75" t="n">
        <f aca="false">IF(ISNUMBER(週次_媒体別CP!L388),週次_媒体別CP!L388,0)</f>
        <v>0</v>
      </c>
      <c r="I435" s="75" t="n">
        <f aca="false">IF(ISNUMBER(週次_媒体別CP!L445),週次_媒体別CP!L445,0)</f>
        <v>0</v>
      </c>
    </row>
    <row r="436" customFormat="false" ht="15" hidden="false" customHeight="false" outlineLevel="0" collapsed="false">
      <c r="A436" s="72" t="s">
        <v>154</v>
      </c>
      <c r="B436" s="75" t="n">
        <f aca="false">IF(ISNUMBER(週次_媒体別CP!L53),週次_媒体別CP!L53,0)</f>
        <v>0</v>
      </c>
      <c r="C436" s="75" t="n">
        <f aca="false">IF(ISNUMBER(週次_媒体別CP!L109),週次_媒体別CP!L109,0)</f>
        <v>0</v>
      </c>
      <c r="D436" s="75" t="n">
        <f aca="false">IF(ISNUMBER(週次_媒体別CP!L165),週次_媒体別CP!L165,0)</f>
        <v>0</v>
      </c>
      <c r="E436" s="75" t="n">
        <f aca="false">IF(ISNUMBER(週次_媒体別CP!L221),週次_媒体別CP!L221,0)</f>
        <v>0</v>
      </c>
      <c r="F436" s="75" t="n">
        <f aca="false">IF(ISNUMBER(週次_媒体別CP!L277),週次_媒体別CP!L277,0)</f>
        <v>0</v>
      </c>
      <c r="G436" s="75" t="n">
        <f aca="false">IF(ISNUMBER(週次_媒体別CP!L333),週次_媒体別CP!L333,0)</f>
        <v>0</v>
      </c>
      <c r="H436" s="75" t="n">
        <f aca="false">IF(ISNUMBER(週次_媒体別CP!L389),週次_媒体別CP!L389,0)</f>
        <v>0</v>
      </c>
      <c r="I436" s="75" t="n">
        <f aca="false">IF(ISNUMBER(週次_媒体別CP!L446),週次_媒体別CP!L446,0)</f>
        <v>0</v>
      </c>
    </row>
    <row r="437" customFormat="false" ht="15" hidden="false" customHeight="false" outlineLevel="0" collapsed="false">
      <c r="A437" s="72" t="s">
        <v>156</v>
      </c>
      <c r="B437" s="75" t="n">
        <f aca="false">IF(ISNUMBER(週次_媒体別CP!L54),週次_媒体別CP!L54,0)</f>
        <v>0</v>
      </c>
      <c r="C437" s="75" t="n">
        <f aca="false">IF(ISNUMBER(週次_媒体別CP!L110),週次_媒体別CP!L110,0)</f>
        <v>0</v>
      </c>
      <c r="D437" s="75" t="n">
        <f aca="false">IF(ISNUMBER(週次_媒体別CP!L166),週次_媒体別CP!L166,0)</f>
        <v>0</v>
      </c>
      <c r="E437" s="75" t="n">
        <f aca="false">IF(ISNUMBER(週次_媒体別CP!L222),週次_媒体別CP!L222,0)</f>
        <v>0</v>
      </c>
      <c r="F437" s="75" t="n">
        <f aca="false">IF(ISNUMBER(週次_媒体別CP!L278),週次_媒体別CP!L278,0)</f>
        <v>0</v>
      </c>
      <c r="G437" s="75" t="n">
        <f aca="false">IF(ISNUMBER(週次_媒体別CP!L334),週次_媒体別CP!L334,0)</f>
        <v>0</v>
      </c>
      <c r="H437" s="75" t="n">
        <f aca="false">IF(ISNUMBER(週次_媒体別CP!L390),週次_媒体別CP!L390,0)</f>
        <v>0</v>
      </c>
      <c r="I437" s="75" t="n">
        <f aca="false">IF(ISNUMBER(週次_媒体別CP!L447),週次_媒体別CP!L447,0)</f>
        <v>0</v>
      </c>
    </row>
    <row r="438" customFormat="false" ht="15" hidden="false" customHeight="false" outlineLevel="0" collapsed="false">
      <c r="A438" s="72" t="s">
        <v>158</v>
      </c>
      <c r="B438" s="75" t="n">
        <f aca="false">IF(ISNUMBER(週次_媒体別CP!L55),週次_媒体別CP!L55,0)</f>
        <v>0</v>
      </c>
      <c r="C438" s="75" t="n">
        <f aca="false">IF(ISNUMBER(週次_媒体別CP!L111),週次_媒体別CP!L111,0)</f>
        <v>0</v>
      </c>
      <c r="D438" s="75" t="n">
        <f aca="false">IF(ISNUMBER(週次_媒体別CP!L167),週次_媒体別CP!L167,0)</f>
        <v>0</v>
      </c>
      <c r="E438" s="75" t="n">
        <f aca="false">IF(ISNUMBER(週次_媒体別CP!L223),週次_媒体別CP!L223,0)</f>
        <v>0</v>
      </c>
      <c r="F438" s="75" t="n">
        <f aca="false">IF(ISNUMBER(週次_媒体別CP!L279),週次_媒体別CP!L279,0)</f>
        <v>0</v>
      </c>
      <c r="G438" s="75" t="n">
        <f aca="false">IF(ISNUMBER(週次_媒体別CP!L335),週次_媒体別CP!L335,0)</f>
        <v>0</v>
      </c>
      <c r="H438" s="75" t="n">
        <f aca="false">IF(ISNUMBER(週次_媒体別CP!L391),週次_媒体別CP!L391,0)</f>
        <v>0</v>
      </c>
      <c r="I438" s="75" t="n">
        <f aca="false">IF(ISNUMBER(週次_媒体別CP!L448),週次_媒体別CP!L448,0)</f>
        <v>0</v>
      </c>
    </row>
    <row r="439" customFormat="false" ht="15" hidden="false" customHeight="false" outlineLevel="0" collapsed="false">
      <c r="A439" s="72" t="s">
        <v>160</v>
      </c>
      <c r="B439" s="75" t="n">
        <f aca="false">IF(ISNUMBER(週次_媒体別CP!L56),週次_媒体別CP!L56,0)</f>
        <v>0</v>
      </c>
      <c r="C439" s="75" t="n">
        <f aca="false">IF(ISNUMBER(週次_媒体別CP!L112),週次_媒体別CP!L112,0)</f>
        <v>0</v>
      </c>
      <c r="D439" s="75" t="n">
        <f aca="false">IF(ISNUMBER(週次_媒体別CP!L168),週次_媒体別CP!L168,0)</f>
        <v>0</v>
      </c>
      <c r="E439" s="75" t="n">
        <f aca="false">IF(ISNUMBER(週次_媒体別CP!L224),週次_媒体別CP!L224,0)</f>
        <v>0</v>
      </c>
      <c r="F439" s="75" t="n">
        <f aca="false">IF(ISNUMBER(週次_媒体別CP!L280),週次_媒体別CP!L280,0)</f>
        <v>0</v>
      </c>
      <c r="G439" s="75" t="n">
        <f aca="false">IF(ISNUMBER(週次_媒体別CP!L336),週次_媒体別CP!L336,0)</f>
        <v>0</v>
      </c>
      <c r="H439" s="75" t="n">
        <f aca="false">IF(ISNUMBER(週次_媒体別CP!L392),週次_媒体別CP!L392,0)</f>
        <v>0</v>
      </c>
      <c r="I439" s="75" t="n">
        <f aca="false">IF(ISNUMBER(週次_媒体別CP!L449),週次_媒体別CP!L449,0)</f>
        <v>0</v>
      </c>
    </row>
    <row r="440" customFormat="false" ht="15" hidden="false" customHeight="false" outlineLevel="0" collapsed="false">
      <c r="A440" s="72" t="s">
        <v>162</v>
      </c>
      <c r="B440" s="75" t="n">
        <f aca="false">IF(ISNUMBER(週次_媒体別CP!L57),週次_媒体別CP!L57,0)</f>
        <v>0</v>
      </c>
      <c r="C440" s="75" t="n">
        <f aca="false">IF(ISNUMBER(週次_媒体別CP!L113),週次_媒体別CP!L113,0)</f>
        <v>0</v>
      </c>
      <c r="D440" s="75" t="n">
        <f aca="false">IF(ISNUMBER(週次_媒体別CP!L169),週次_媒体別CP!L169,0)</f>
        <v>0</v>
      </c>
      <c r="E440" s="75" t="n">
        <f aca="false">IF(ISNUMBER(週次_媒体別CP!L225),週次_媒体別CP!L225,0)</f>
        <v>0</v>
      </c>
      <c r="F440" s="75" t="n">
        <f aca="false">IF(ISNUMBER(週次_媒体別CP!L281),週次_媒体別CP!L281,0)</f>
        <v>0</v>
      </c>
      <c r="G440" s="75" t="n">
        <f aca="false">IF(ISNUMBER(週次_媒体別CP!L337),週次_媒体別CP!L337,0)</f>
        <v>0</v>
      </c>
      <c r="H440" s="75" t="n">
        <f aca="false">IF(ISNUMBER(週次_媒体別CP!L393),週次_媒体別CP!L393,0)</f>
        <v>0</v>
      </c>
      <c r="I440" s="75" t="n">
        <f aca="false">IF(ISNUMBER(週次_媒体別CP!L450),週次_媒体別CP!L450,0)</f>
        <v>0</v>
      </c>
    </row>
    <row r="442" customFormat="false" ht="15" hidden="false" customHeight="false" outlineLevel="0" collapsed="false">
      <c r="A442" s="69" t="s">
        <v>252</v>
      </c>
    </row>
    <row r="443" customFormat="false" ht="15" hidden="false" customHeight="false" outlineLevel="0" collapsed="false">
      <c r="A443" s="70" t="s">
        <v>48</v>
      </c>
      <c r="B443" s="77" t="s">
        <v>253</v>
      </c>
    </row>
    <row r="444" customFormat="false" ht="15" hidden="false" customHeight="false" outlineLevel="0" collapsed="false">
      <c r="A444" s="72" t="s">
        <v>59</v>
      </c>
      <c r="B444" s="76" t="n">
        <f aca="false">IF(ISNUMBER(全体集計!M6),全体集計!M6,"")</f>
        <v>0.0188679245283019</v>
      </c>
    </row>
    <row r="445" customFormat="false" ht="15" hidden="false" customHeight="false" outlineLevel="0" collapsed="false">
      <c r="A445" s="72" t="s">
        <v>61</v>
      </c>
      <c r="B445" s="76" t="n">
        <f aca="false">IF(ISNUMBER(全体集計!M7),全体集計!M7,"")</f>
        <v>0.0222222222222222</v>
      </c>
    </row>
    <row r="446" customFormat="false" ht="15" hidden="false" customHeight="false" outlineLevel="0" collapsed="false">
      <c r="A446" s="72" t="s">
        <v>63</v>
      </c>
      <c r="B446" s="76" t="n">
        <f aca="false">IF(ISNUMBER(全体集計!M8),全体集計!M8,"")</f>
        <v>0.0384615384615385</v>
      </c>
    </row>
    <row r="447" customFormat="false" ht="15" hidden="false" customHeight="false" outlineLevel="0" collapsed="false">
      <c r="A447" s="72" t="s">
        <v>65</v>
      </c>
      <c r="B447" s="76" t="n">
        <f aca="false">IF(ISNUMBER(全体集計!M9),全体集計!M9,"")</f>
        <v>0.0285714285714286</v>
      </c>
    </row>
    <row r="448" customFormat="false" ht="15" hidden="false" customHeight="false" outlineLevel="0" collapsed="false">
      <c r="A448" s="72" t="s">
        <v>68</v>
      </c>
      <c r="B448" s="76" t="n">
        <f aca="false">IF(ISNUMBER(全体集計!M10),全体集計!M10,"")</f>
        <v>0.0555555555555556</v>
      </c>
    </row>
    <row r="449" customFormat="false" ht="15" hidden="false" customHeight="false" outlineLevel="0" collapsed="false">
      <c r="A449" s="72" t="s">
        <v>70</v>
      </c>
      <c r="B449" s="76" t="n">
        <f aca="false">IF(ISNUMBER(全体集計!M11),全体集計!M11,"")</f>
        <v>0.0967741935483871</v>
      </c>
    </row>
    <row r="450" customFormat="false" ht="15" hidden="false" customHeight="false" outlineLevel="0" collapsed="false">
      <c r="A450" s="72" t="s">
        <v>72</v>
      </c>
      <c r="B450" s="76" t="n">
        <f aca="false">IF(ISNUMBER(全体集計!M12),全体集計!M12,"")</f>
        <v>0.0555555555555556</v>
      </c>
    </row>
    <row r="451" customFormat="false" ht="15" hidden="false" customHeight="false" outlineLevel="0" collapsed="false">
      <c r="A451" s="72" t="s">
        <v>74</v>
      </c>
      <c r="B451" s="76" t="n">
        <f aca="false">IF(ISNUMBER(全体集計!M13),全体集計!M13,"")</f>
        <v>0.0103092783505155</v>
      </c>
    </row>
    <row r="452" customFormat="false" ht="15" hidden="false" customHeight="false" outlineLevel="0" collapsed="false">
      <c r="A452" s="72" t="s">
        <v>76</v>
      </c>
      <c r="B452" s="76" t="n">
        <f aca="false">IF(ISNUMBER(全体集計!M14),全体集計!M14,"")</f>
        <v>0</v>
      </c>
    </row>
    <row r="453" customFormat="false" ht="15" hidden="false" customHeight="false" outlineLevel="0" collapsed="false">
      <c r="A453" s="72" t="s">
        <v>78</v>
      </c>
      <c r="B453" s="76" t="n">
        <f aca="false">IF(ISNUMBER(全体集計!M15),全体集計!M15,"")</f>
        <v>0</v>
      </c>
    </row>
    <row r="454" customFormat="false" ht="15" hidden="false" customHeight="false" outlineLevel="0" collapsed="false">
      <c r="A454" s="72" t="s">
        <v>80</v>
      </c>
      <c r="B454" s="76" t="n">
        <f aca="false">IF(ISNUMBER(全体集計!M16),全体集計!M16,"")</f>
        <v>0.0617283950617284</v>
      </c>
    </row>
    <row r="455" customFormat="false" ht="15" hidden="false" customHeight="false" outlineLevel="0" collapsed="false">
      <c r="A455" s="72" t="s">
        <v>82</v>
      </c>
      <c r="B455" s="76" t="str">
        <f aca="false">IF(ISNUMBER(全体集計!M17),全体集計!M17,"")</f>
        <v/>
      </c>
    </row>
    <row r="456" customFormat="false" ht="15" hidden="false" customHeight="false" outlineLevel="0" collapsed="false">
      <c r="A456" s="72" t="s">
        <v>84</v>
      </c>
      <c r="B456" s="76" t="str">
        <f aca="false">IF(ISNUMBER(全体集計!M18),全体集計!M18,"")</f>
        <v/>
      </c>
    </row>
    <row r="457" customFormat="false" ht="15" hidden="false" customHeight="false" outlineLevel="0" collapsed="false">
      <c r="A457" s="72" t="s">
        <v>86</v>
      </c>
      <c r="B457" s="76" t="str">
        <f aca="false">IF(ISNUMBER(全体集計!M19),全体集計!M19,"")</f>
        <v/>
      </c>
    </row>
    <row r="458" customFormat="false" ht="15" hidden="false" customHeight="false" outlineLevel="0" collapsed="false">
      <c r="A458" s="72" t="s">
        <v>88</v>
      </c>
      <c r="B458" s="76" t="str">
        <f aca="false">IF(ISNUMBER(全体集計!M20),全体集計!M20,"")</f>
        <v/>
      </c>
    </row>
    <row r="459" customFormat="false" ht="15" hidden="false" customHeight="false" outlineLevel="0" collapsed="false">
      <c r="A459" s="72" t="s">
        <v>90</v>
      </c>
      <c r="B459" s="76" t="str">
        <f aca="false">IF(ISNUMBER(全体集計!M21),全体集計!M21,"")</f>
        <v/>
      </c>
    </row>
    <row r="460" customFormat="false" ht="15" hidden="false" customHeight="false" outlineLevel="0" collapsed="false">
      <c r="A460" s="72" t="s">
        <v>92</v>
      </c>
      <c r="B460" s="76" t="str">
        <f aca="false">IF(ISNUMBER(全体集計!M22),全体集計!M22,"")</f>
        <v/>
      </c>
    </row>
    <row r="461" customFormat="false" ht="15" hidden="false" customHeight="false" outlineLevel="0" collapsed="false">
      <c r="A461" s="72" t="s">
        <v>94</v>
      </c>
      <c r="B461" s="76" t="str">
        <f aca="false">IF(ISNUMBER(全体集計!M23),全体集計!M23,"")</f>
        <v/>
      </c>
    </row>
    <row r="462" customFormat="false" ht="15" hidden="false" customHeight="false" outlineLevel="0" collapsed="false">
      <c r="A462" s="72" t="s">
        <v>96</v>
      </c>
      <c r="B462" s="76" t="str">
        <f aca="false">IF(ISNUMBER(全体集計!M24),全体集計!M24,"")</f>
        <v/>
      </c>
    </row>
    <row r="463" customFormat="false" ht="15" hidden="false" customHeight="false" outlineLevel="0" collapsed="false">
      <c r="A463" s="72" t="s">
        <v>98</v>
      </c>
      <c r="B463" s="76" t="str">
        <f aca="false">IF(ISNUMBER(全体集計!M25),全体集計!M25,"")</f>
        <v/>
      </c>
    </row>
    <row r="464" customFormat="false" ht="15" hidden="false" customHeight="false" outlineLevel="0" collapsed="false">
      <c r="A464" s="72" t="s">
        <v>100</v>
      </c>
      <c r="B464" s="76" t="str">
        <f aca="false">IF(ISNUMBER(全体集計!M26),全体集計!M26,"")</f>
        <v/>
      </c>
    </row>
    <row r="465" customFormat="false" ht="15" hidden="false" customHeight="false" outlineLevel="0" collapsed="false">
      <c r="A465" s="72" t="s">
        <v>102</v>
      </c>
      <c r="B465" s="76" t="str">
        <f aca="false">IF(ISNUMBER(全体集計!M27),全体集計!M27,"")</f>
        <v/>
      </c>
    </row>
    <row r="466" customFormat="false" ht="15" hidden="false" customHeight="false" outlineLevel="0" collapsed="false">
      <c r="A466" s="72" t="s">
        <v>104</v>
      </c>
      <c r="B466" s="76" t="str">
        <f aca="false">IF(ISNUMBER(全体集計!M28),全体集計!M28,"")</f>
        <v/>
      </c>
    </row>
    <row r="467" customFormat="false" ht="15" hidden="false" customHeight="false" outlineLevel="0" collapsed="false">
      <c r="A467" s="72" t="s">
        <v>106</v>
      </c>
      <c r="B467" s="76" t="str">
        <f aca="false">IF(ISNUMBER(全体集計!M29),全体集計!M29,"")</f>
        <v/>
      </c>
    </row>
    <row r="468" customFormat="false" ht="15" hidden="false" customHeight="false" outlineLevel="0" collapsed="false">
      <c r="A468" s="72" t="s">
        <v>108</v>
      </c>
      <c r="B468" s="76" t="str">
        <f aca="false">IF(ISNUMBER(全体集計!M30),全体集計!M30,"")</f>
        <v/>
      </c>
    </row>
    <row r="469" customFormat="false" ht="15" hidden="false" customHeight="false" outlineLevel="0" collapsed="false">
      <c r="A469" s="72" t="s">
        <v>110</v>
      </c>
      <c r="B469" s="76" t="str">
        <f aca="false">IF(ISNUMBER(全体集計!M31),全体集計!M31,"")</f>
        <v/>
      </c>
    </row>
    <row r="470" customFormat="false" ht="15" hidden="false" customHeight="false" outlineLevel="0" collapsed="false">
      <c r="A470" s="72" t="s">
        <v>112</v>
      </c>
      <c r="B470" s="76" t="str">
        <f aca="false">IF(ISNUMBER(全体集計!M32),全体集計!M32,"")</f>
        <v/>
      </c>
    </row>
    <row r="471" customFormat="false" ht="15" hidden="false" customHeight="false" outlineLevel="0" collapsed="false">
      <c r="A471" s="72" t="s">
        <v>114</v>
      </c>
      <c r="B471" s="76" t="str">
        <f aca="false">IF(ISNUMBER(全体集計!M33),全体集計!M33,"")</f>
        <v/>
      </c>
    </row>
    <row r="472" customFormat="false" ht="15" hidden="false" customHeight="false" outlineLevel="0" collapsed="false">
      <c r="A472" s="72" t="s">
        <v>116</v>
      </c>
      <c r="B472" s="76" t="str">
        <f aca="false">IF(ISNUMBER(全体集計!M34),全体集計!M34,"")</f>
        <v/>
      </c>
    </row>
    <row r="473" customFormat="false" ht="15" hidden="false" customHeight="false" outlineLevel="0" collapsed="false">
      <c r="A473" s="72" t="s">
        <v>118</v>
      </c>
      <c r="B473" s="76" t="str">
        <f aca="false">IF(ISNUMBER(全体集計!M35),全体集計!M35,"")</f>
        <v/>
      </c>
    </row>
    <row r="474" customFormat="false" ht="15" hidden="false" customHeight="false" outlineLevel="0" collapsed="false">
      <c r="A474" s="72" t="s">
        <v>120</v>
      </c>
      <c r="B474" s="76" t="str">
        <f aca="false">IF(ISNUMBER(全体集計!M36),全体集計!M36,"")</f>
        <v/>
      </c>
    </row>
    <row r="475" customFormat="false" ht="15" hidden="false" customHeight="false" outlineLevel="0" collapsed="false">
      <c r="A475" s="72" t="s">
        <v>122</v>
      </c>
      <c r="B475" s="76" t="str">
        <f aca="false">IF(ISNUMBER(全体集計!M37),全体集計!M37,"")</f>
        <v/>
      </c>
    </row>
    <row r="476" customFormat="false" ht="15" hidden="false" customHeight="false" outlineLevel="0" collapsed="false">
      <c r="A476" s="72" t="s">
        <v>124</v>
      </c>
      <c r="B476" s="76" t="str">
        <f aca="false">IF(ISNUMBER(全体集計!M38),全体集計!M38,"")</f>
        <v/>
      </c>
    </row>
    <row r="477" customFormat="false" ht="15" hidden="false" customHeight="false" outlineLevel="0" collapsed="false">
      <c r="A477" s="72" t="s">
        <v>126</v>
      </c>
      <c r="B477" s="76" t="str">
        <f aca="false">IF(ISNUMBER(全体集計!M39),全体集計!M39,"")</f>
        <v/>
      </c>
    </row>
    <row r="478" customFormat="false" ht="15" hidden="false" customHeight="false" outlineLevel="0" collapsed="false">
      <c r="A478" s="72" t="s">
        <v>128</v>
      </c>
      <c r="B478" s="76" t="str">
        <f aca="false">IF(ISNUMBER(全体集計!M40),全体集計!M40,"")</f>
        <v/>
      </c>
    </row>
    <row r="479" customFormat="false" ht="15" hidden="false" customHeight="false" outlineLevel="0" collapsed="false">
      <c r="A479" s="72" t="s">
        <v>130</v>
      </c>
      <c r="B479" s="76" t="str">
        <f aca="false">IF(ISNUMBER(全体集計!M41),全体集計!M41,"")</f>
        <v/>
      </c>
    </row>
    <row r="480" customFormat="false" ht="15" hidden="false" customHeight="false" outlineLevel="0" collapsed="false">
      <c r="A480" s="72" t="s">
        <v>132</v>
      </c>
      <c r="B480" s="76" t="str">
        <f aca="false">IF(ISNUMBER(全体集計!M42),全体集計!M42,"")</f>
        <v/>
      </c>
    </row>
    <row r="481" customFormat="false" ht="15" hidden="false" customHeight="false" outlineLevel="0" collapsed="false">
      <c r="A481" s="72" t="s">
        <v>134</v>
      </c>
      <c r="B481" s="76" t="str">
        <f aca="false">IF(ISNUMBER(全体集計!M43),全体集計!M43,"")</f>
        <v/>
      </c>
    </row>
    <row r="482" customFormat="false" ht="15" hidden="false" customHeight="false" outlineLevel="0" collapsed="false">
      <c r="A482" s="72" t="s">
        <v>136</v>
      </c>
      <c r="B482" s="76" t="str">
        <f aca="false">IF(ISNUMBER(全体集計!M44),全体集計!M44,"")</f>
        <v/>
      </c>
    </row>
    <row r="483" customFormat="false" ht="15" hidden="false" customHeight="false" outlineLevel="0" collapsed="false">
      <c r="A483" s="72" t="s">
        <v>138</v>
      </c>
      <c r="B483" s="76" t="str">
        <f aca="false">IF(ISNUMBER(全体集計!M45),全体集計!M45,"")</f>
        <v/>
      </c>
    </row>
    <row r="484" customFormat="false" ht="15" hidden="false" customHeight="false" outlineLevel="0" collapsed="false">
      <c r="A484" s="72" t="s">
        <v>140</v>
      </c>
      <c r="B484" s="76" t="str">
        <f aca="false">IF(ISNUMBER(全体集計!M46),全体集計!M46,"")</f>
        <v/>
      </c>
    </row>
    <row r="485" customFormat="false" ht="15" hidden="false" customHeight="false" outlineLevel="0" collapsed="false">
      <c r="A485" s="72" t="s">
        <v>142</v>
      </c>
      <c r="B485" s="76" t="str">
        <f aca="false">IF(ISNUMBER(全体集計!M47),全体集計!M47,"")</f>
        <v/>
      </c>
    </row>
    <row r="486" customFormat="false" ht="15" hidden="false" customHeight="false" outlineLevel="0" collapsed="false">
      <c r="A486" s="72" t="s">
        <v>144</v>
      </c>
      <c r="B486" s="76" t="str">
        <f aca="false">IF(ISNUMBER(全体集計!M48),全体集計!M48,"")</f>
        <v/>
      </c>
    </row>
    <row r="487" customFormat="false" ht="15" hidden="false" customHeight="false" outlineLevel="0" collapsed="false">
      <c r="A487" s="72" t="s">
        <v>146</v>
      </c>
      <c r="B487" s="76" t="str">
        <f aca="false">IF(ISNUMBER(全体集計!M49),全体集計!M49,"")</f>
        <v/>
      </c>
    </row>
    <row r="488" customFormat="false" ht="15" hidden="false" customHeight="false" outlineLevel="0" collapsed="false">
      <c r="A488" s="72" t="s">
        <v>148</v>
      </c>
      <c r="B488" s="76" t="str">
        <f aca="false">IF(ISNUMBER(全体集計!M50),全体集計!M50,"")</f>
        <v/>
      </c>
    </row>
    <row r="489" customFormat="false" ht="15" hidden="false" customHeight="false" outlineLevel="0" collapsed="false">
      <c r="A489" s="72" t="s">
        <v>150</v>
      </c>
      <c r="B489" s="76" t="str">
        <f aca="false">IF(ISNUMBER(全体集計!M51),全体集計!M51,"")</f>
        <v/>
      </c>
    </row>
    <row r="490" customFormat="false" ht="15" hidden="false" customHeight="false" outlineLevel="0" collapsed="false">
      <c r="A490" s="72" t="s">
        <v>152</v>
      </c>
      <c r="B490" s="76" t="str">
        <f aca="false">IF(ISNUMBER(全体集計!M52),全体集計!M52,"")</f>
        <v/>
      </c>
    </row>
    <row r="491" customFormat="false" ht="15" hidden="false" customHeight="false" outlineLevel="0" collapsed="false">
      <c r="A491" s="72" t="s">
        <v>154</v>
      </c>
      <c r="B491" s="76" t="str">
        <f aca="false">IF(ISNUMBER(全体集計!M53),全体集計!M53,"")</f>
        <v/>
      </c>
    </row>
    <row r="492" customFormat="false" ht="15" hidden="false" customHeight="false" outlineLevel="0" collapsed="false">
      <c r="A492" s="72" t="s">
        <v>156</v>
      </c>
      <c r="B492" s="76" t="str">
        <f aca="false">IF(ISNUMBER(全体集計!M54),全体集計!M54,"")</f>
        <v/>
      </c>
    </row>
    <row r="493" customFormat="false" ht="15" hidden="false" customHeight="false" outlineLevel="0" collapsed="false">
      <c r="A493" s="72" t="s">
        <v>158</v>
      </c>
      <c r="B493" s="76" t="str">
        <f aca="false">IF(ISNUMBER(全体集計!M55),全体集計!M55,"")</f>
        <v/>
      </c>
    </row>
    <row r="494" customFormat="false" ht="15" hidden="false" customHeight="false" outlineLevel="0" collapsed="false">
      <c r="A494" s="72" t="s">
        <v>160</v>
      </c>
      <c r="B494" s="76" t="str">
        <f aca="false">IF(ISNUMBER(全体集計!M56),全体集計!M56,"")</f>
        <v/>
      </c>
    </row>
    <row r="495" customFormat="false" ht="15" hidden="false" customHeight="false" outlineLevel="0" collapsed="false">
      <c r="A495" s="72" t="s">
        <v>162</v>
      </c>
      <c r="B495" s="76" t="str">
        <f aca="false">IF(ISNUMBER(全体集計!M57),全体集計!M57,"")</f>
        <v/>
      </c>
    </row>
    <row r="497" customFormat="false" ht="15" hidden="false" customHeight="false" outlineLevel="0" collapsed="false">
      <c r="A497" s="69" t="s">
        <v>40</v>
      </c>
    </row>
    <row r="498" customFormat="false" ht="37.3" hidden="false" customHeight="false" outlineLevel="0" collapsed="false">
      <c r="A498" s="70" t="s">
        <v>48</v>
      </c>
      <c r="B498" s="71" t="s">
        <v>243</v>
      </c>
      <c r="C498" s="71" t="s">
        <v>244</v>
      </c>
      <c r="D498" s="71" t="s">
        <v>245</v>
      </c>
      <c r="E498" s="71" t="s">
        <v>246</v>
      </c>
      <c r="F498" s="71" t="s">
        <v>247</v>
      </c>
      <c r="G498" s="71" t="s">
        <v>248</v>
      </c>
      <c r="H498" s="71" t="s">
        <v>249</v>
      </c>
      <c r="I498" s="77" t="s">
        <v>251</v>
      </c>
    </row>
    <row r="499" customFormat="false" ht="15" hidden="false" customHeight="false" outlineLevel="0" collapsed="false">
      <c r="A499" s="72" t="s">
        <v>59</v>
      </c>
      <c r="B499" s="75" t="n">
        <f aca="false">IF(ISNUMBER(週次_媒体別CP!N6),週次_媒体別CP!N6,0)</f>
        <v>0</v>
      </c>
      <c r="C499" s="75" t="n">
        <f aca="false">IF(ISNUMBER(週次_媒体別CP!N62),週次_媒体別CP!N62,0)</f>
        <v>0</v>
      </c>
      <c r="D499" s="75" t="n">
        <f aca="false">IF(ISNUMBER(週次_媒体別CP!N118),週次_媒体別CP!N118,0)</f>
        <v>0</v>
      </c>
      <c r="E499" s="75" t="n">
        <f aca="false">IF(ISNUMBER(週次_媒体別CP!N174),週次_媒体別CP!N174,0)</f>
        <v>0</v>
      </c>
      <c r="F499" s="75" t="n">
        <f aca="false">IF(ISNUMBER(週次_媒体別CP!N230),週次_媒体別CP!N230,0)</f>
        <v>0</v>
      </c>
      <c r="G499" s="75" t="n">
        <f aca="false">IF(ISNUMBER(週次_媒体別CP!N286),週次_媒体別CP!N286,0)</f>
        <v>0</v>
      </c>
      <c r="H499" s="75" t="n">
        <f aca="false">IF(ISNUMBER(週次_媒体別CP!N342),週次_媒体別CP!N342,0)</f>
        <v>0</v>
      </c>
      <c r="I499" s="75" t="n">
        <f aca="false">IF(ISNUMBER(週次_媒体別CP!N399),週次_媒体別CP!N399,0)</f>
        <v>0</v>
      </c>
    </row>
    <row r="500" customFormat="false" ht="15" hidden="false" customHeight="false" outlineLevel="0" collapsed="false">
      <c r="A500" s="72" t="s">
        <v>61</v>
      </c>
      <c r="B500" s="75" t="n">
        <f aca="false">IF(ISNUMBER(週次_媒体別CP!N7),週次_媒体別CP!N7,0)</f>
        <v>0</v>
      </c>
      <c r="C500" s="75" t="n">
        <f aca="false">IF(ISNUMBER(週次_媒体別CP!N63),週次_媒体別CP!N63,0)</f>
        <v>0</v>
      </c>
      <c r="D500" s="75" t="n">
        <f aca="false">IF(ISNUMBER(週次_媒体別CP!N119),週次_媒体別CP!N119,0)</f>
        <v>0</v>
      </c>
      <c r="E500" s="75" t="n">
        <f aca="false">IF(ISNUMBER(週次_媒体別CP!N175),週次_媒体別CP!N175,0)</f>
        <v>0</v>
      </c>
      <c r="F500" s="75" t="n">
        <f aca="false">IF(ISNUMBER(週次_媒体別CP!N231),週次_媒体別CP!N231,0)</f>
        <v>0</v>
      </c>
      <c r="G500" s="75" t="n">
        <f aca="false">IF(ISNUMBER(週次_媒体別CP!N287),週次_媒体別CP!N287,0)</f>
        <v>0</v>
      </c>
      <c r="H500" s="75" t="n">
        <f aca="false">IF(ISNUMBER(週次_媒体別CP!N343),週次_媒体別CP!N343,0)</f>
        <v>0</v>
      </c>
      <c r="I500" s="75" t="n">
        <f aca="false">IF(ISNUMBER(週次_媒体別CP!N400),週次_媒体別CP!N400,0)</f>
        <v>0</v>
      </c>
    </row>
    <row r="501" customFormat="false" ht="15" hidden="false" customHeight="false" outlineLevel="0" collapsed="false">
      <c r="A501" s="72" t="s">
        <v>63</v>
      </c>
      <c r="B501" s="75" t="n">
        <f aca="false">IF(ISNUMBER(週次_媒体別CP!N8),週次_媒体別CP!N8,0)</f>
        <v>0</v>
      </c>
      <c r="C501" s="75" t="n">
        <f aca="false">IF(ISNUMBER(週次_媒体別CP!N64),週次_媒体別CP!N64,0)</f>
        <v>0</v>
      </c>
      <c r="D501" s="75" t="n">
        <f aca="false">IF(ISNUMBER(週次_媒体別CP!N120),週次_媒体別CP!N120,0)</f>
        <v>0</v>
      </c>
      <c r="E501" s="75" t="n">
        <f aca="false">IF(ISNUMBER(週次_媒体別CP!N176),週次_媒体別CP!N176,0)</f>
        <v>0</v>
      </c>
      <c r="F501" s="75" t="n">
        <f aca="false">IF(ISNUMBER(週次_媒体別CP!N232),週次_媒体別CP!N232,0)</f>
        <v>0</v>
      </c>
      <c r="G501" s="75" t="n">
        <f aca="false">IF(ISNUMBER(週次_媒体別CP!N288),週次_媒体別CP!N288,0)</f>
        <v>0</v>
      </c>
      <c r="H501" s="75" t="n">
        <f aca="false">IF(ISNUMBER(週次_媒体別CP!N344),週次_媒体別CP!N344,0)</f>
        <v>0</v>
      </c>
      <c r="I501" s="75" t="n">
        <f aca="false">IF(ISNUMBER(週次_媒体別CP!N401),週次_媒体別CP!N401,0)</f>
        <v>0</v>
      </c>
    </row>
    <row r="502" customFormat="false" ht="15" hidden="false" customHeight="false" outlineLevel="0" collapsed="false">
      <c r="A502" s="72" t="s">
        <v>65</v>
      </c>
      <c r="B502" s="75" t="n">
        <f aca="false">IF(ISNUMBER(週次_媒体別CP!N9),週次_媒体別CP!N9,0)</f>
        <v>0</v>
      </c>
      <c r="C502" s="75" t="n">
        <f aca="false">IF(ISNUMBER(週次_媒体別CP!N65),週次_媒体別CP!N65,0)</f>
        <v>0</v>
      </c>
      <c r="D502" s="75" t="n">
        <f aca="false">IF(ISNUMBER(週次_媒体別CP!N121),週次_媒体別CP!N121,0)</f>
        <v>0</v>
      </c>
      <c r="E502" s="75" t="n">
        <f aca="false">IF(ISNUMBER(週次_媒体別CP!N177),週次_媒体別CP!N177,0)</f>
        <v>0</v>
      </c>
      <c r="F502" s="75" t="n">
        <f aca="false">IF(ISNUMBER(週次_媒体別CP!N233),週次_媒体別CP!N233,0)</f>
        <v>0</v>
      </c>
      <c r="G502" s="75" t="n">
        <f aca="false">IF(ISNUMBER(週次_媒体別CP!N289),週次_媒体別CP!N289,0)</f>
        <v>0</v>
      </c>
      <c r="H502" s="75" t="n">
        <f aca="false">IF(ISNUMBER(週次_媒体別CP!N345),週次_媒体別CP!N345,0)</f>
        <v>0</v>
      </c>
      <c r="I502" s="75" t="n">
        <f aca="false">IF(ISNUMBER(週次_媒体別CP!N402),週次_媒体別CP!N402,0)</f>
        <v>0</v>
      </c>
    </row>
    <row r="503" customFormat="false" ht="15" hidden="false" customHeight="false" outlineLevel="0" collapsed="false">
      <c r="A503" s="72" t="s">
        <v>68</v>
      </c>
      <c r="B503" s="75" t="n">
        <f aca="false">IF(ISNUMBER(週次_媒体別CP!N10),週次_媒体別CP!N10,0)</f>
        <v>0</v>
      </c>
      <c r="C503" s="75" t="n">
        <f aca="false">IF(ISNUMBER(週次_媒体別CP!N66),週次_媒体別CP!N66,0)</f>
        <v>0</v>
      </c>
      <c r="D503" s="75" t="n">
        <f aca="false">IF(ISNUMBER(週次_媒体別CP!N122),週次_媒体別CP!N122,0)</f>
        <v>0</v>
      </c>
      <c r="E503" s="75" t="n">
        <f aca="false">IF(ISNUMBER(週次_媒体別CP!N178),週次_媒体別CP!N178,0)</f>
        <v>0</v>
      </c>
      <c r="F503" s="75" t="n">
        <f aca="false">IF(ISNUMBER(週次_媒体別CP!N234),週次_媒体別CP!N234,0)</f>
        <v>0</v>
      </c>
      <c r="G503" s="75" t="n">
        <f aca="false">IF(ISNUMBER(週次_媒体別CP!N290),週次_媒体別CP!N290,0)</f>
        <v>0</v>
      </c>
      <c r="H503" s="75" t="n">
        <f aca="false">IF(ISNUMBER(週次_媒体別CP!N346),週次_媒体別CP!N346,0)</f>
        <v>0</v>
      </c>
      <c r="I503" s="75" t="n">
        <f aca="false">IF(ISNUMBER(週次_媒体別CP!N403),週次_媒体別CP!N403,0)</f>
        <v>0</v>
      </c>
    </row>
    <row r="504" customFormat="false" ht="15" hidden="false" customHeight="false" outlineLevel="0" collapsed="false">
      <c r="A504" s="72" t="s">
        <v>70</v>
      </c>
      <c r="B504" s="75" t="n">
        <f aca="false">IF(ISNUMBER(週次_媒体別CP!N11),週次_媒体別CP!N11,0)</f>
        <v>0</v>
      </c>
      <c r="C504" s="75" t="n">
        <f aca="false">IF(ISNUMBER(週次_媒体別CP!N67),週次_媒体別CP!N67,0)</f>
        <v>0</v>
      </c>
      <c r="D504" s="75" t="n">
        <f aca="false">IF(ISNUMBER(週次_媒体別CP!N123),週次_媒体別CP!N123,0)</f>
        <v>0</v>
      </c>
      <c r="E504" s="75" t="n">
        <f aca="false">IF(ISNUMBER(週次_媒体別CP!N179),週次_媒体別CP!N179,0)</f>
        <v>0</v>
      </c>
      <c r="F504" s="75" t="n">
        <f aca="false">IF(ISNUMBER(週次_媒体別CP!N235),週次_媒体別CP!N235,0)</f>
        <v>0</v>
      </c>
      <c r="G504" s="75" t="n">
        <f aca="false">IF(ISNUMBER(週次_媒体別CP!N291),週次_媒体別CP!N291,0)</f>
        <v>0</v>
      </c>
      <c r="H504" s="75" t="n">
        <f aca="false">IF(ISNUMBER(週次_媒体別CP!N347),週次_媒体別CP!N347,0)</f>
        <v>0</v>
      </c>
      <c r="I504" s="75" t="n">
        <f aca="false">IF(ISNUMBER(週次_媒体別CP!N404),週次_媒体別CP!N404,0)</f>
        <v>0</v>
      </c>
    </row>
    <row r="505" customFormat="false" ht="15" hidden="false" customHeight="false" outlineLevel="0" collapsed="false">
      <c r="A505" s="72" t="s">
        <v>72</v>
      </c>
      <c r="B505" s="75" t="n">
        <f aca="false">IF(ISNUMBER(週次_媒体別CP!N12),週次_媒体別CP!N12,0)</f>
        <v>0</v>
      </c>
      <c r="C505" s="75" t="n">
        <f aca="false">IF(ISNUMBER(週次_媒体別CP!N68),週次_媒体別CP!N68,0)</f>
        <v>1</v>
      </c>
      <c r="D505" s="75" t="n">
        <f aca="false">IF(ISNUMBER(週次_媒体別CP!N124),週次_媒体別CP!N124,0)</f>
        <v>0</v>
      </c>
      <c r="E505" s="75" t="n">
        <f aca="false">IF(ISNUMBER(週次_媒体別CP!N180),週次_媒体別CP!N180,0)</f>
        <v>0</v>
      </c>
      <c r="F505" s="75" t="n">
        <f aca="false">IF(ISNUMBER(週次_媒体別CP!N236),週次_媒体別CP!N236,0)</f>
        <v>0</v>
      </c>
      <c r="G505" s="75" t="n">
        <f aca="false">IF(ISNUMBER(週次_媒体別CP!N292),週次_媒体別CP!N292,0)</f>
        <v>0</v>
      </c>
      <c r="H505" s="75" t="n">
        <f aca="false">IF(ISNUMBER(週次_媒体別CP!N348),週次_媒体別CP!N348,0)</f>
        <v>0</v>
      </c>
      <c r="I505" s="75" t="n">
        <f aca="false">IF(ISNUMBER(週次_媒体別CP!N405),週次_媒体別CP!N405,0)</f>
        <v>0</v>
      </c>
    </row>
    <row r="506" customFormat="false" ht="15" hidden="false" customHeight="false" outlineLevel="0" collapsed="false">
      <c r="A506" s="72" t="s">
        <v>74</v>
      </c>
      <c r="B506" s="75" t="n">
        <f aca="false">IF(ISNUMBER(週次_媒体別CP!N13),週次_媒体別CP!N13,0)</f>
        <v>0</v>
      </c>
      <c r="C506" s="75" t="n">
        <f aca="false">IF(ISNUMBER(週次_媒体別CP!N69),週次_媒体別CP!N69,0)</f>
        <v>0</v>
      </c>
      <c r="D506" s="75" t="n">
        <f aca="false">IF(ISNUMBER(週次_媒体別CP!N125),週次_媒体別CP!N125,0)</f>
        <v>0</v>
      </c>
      <c r="E506" s="75" t="n">
        <f aca="false">IF(ISNUMBER(週次_媒体別CP!N181),週次_媒体別CP!N181,0)</f>
        <v>0</v>
      </c>
      <c r="F506" s="75" t="n">
        <f aca="false">IF(ISNUMBER(週次_媒体別CP!N237),週次_媒体別CP!N237,0)</f>
        <v>0</v>
      </c>
      <c r="G506" s="75" t="n">
        <f aca="false">IF(ISNUMBER(週次_媒体別CP!N293),週次_媒体別CP!N293,0)</f>
        <v>0</v>
      </c>
      <c r="H506" s="75" t="n">
        <f aca="false">IF(ISNUMBER(週次_媒体別CP!N349),週次_媒体別CP!N349,0)</f>
        <v>0</v>
      </c>
      <c r="I506" s="75" t="n">
        <f aca="false">IF(ISNUMBER(週次_媒体別CP!N406),週次_媒体別CP!N406,0)</f>
        <v>0</v>
      </c>
    </row>
    <row r="507" customFormat="false" ht="15" hidden="false" customHeight="false" outlineLevel="0" collapsed="false">
      <c r="A507" s="72" t="s">
        <v>76</v>
      </c>
      <c r="B507" s="75" t="n">
        <f aca="false">IF(ISNUMBER(週次_媒体別CP!N14),週次_媒体別CP!N14,0)</f>
        <v>0</v>
      </c>
      <c r="C507" s="75" t="n">
        <f aca="false">IF(ISNUMBER(週次_媒体別CP!N70),週次_媒体別CP!N70,0)</f>
        <v>0</v>
      </c>
      <c r="D507" s="75" t="n">
        <f aca="false">IF(ISNUMBER(週次_媒体別CP!N126),週次_媒体別CP!N126,0)</f>
        <v>0</v>
      </c>
      <c r="E507" s="75" t="n">
        <f aca="false">IF(ISNUMBER(週次_媒体別CP!N182),週次_媒体別CP!N182,0)</f>
        <v>0</v>
      </c>
      <c r="F507" s="75" t="n">
        <f aca="false">IF(ISNUMBER(週次_媒体別CP!N238),週次_媒体別CP!N238,0)</f>
        <v>0</v>
      </c>
      <c r="G507" s="75" t="n">
        <f aca="false">IF(ISNUMBER(週次_媒体別CP!N294),週次_媒体別CP!N294,0)</f>
        <v>0</v>
      </c>
      <c r="H507" s="75" t="n">
        <f aca="false">IF(ISNUMBER(週次_媒体別CP!N350),週次_媒体別CP!N350,0)</f>
        <v>0</v>
      </c>
      <c r="I507" s="75" t="n">
        <f aca="false">IF(ISNUMBER(週次_媒体別CP!N407),週次_媒体別CP!N407,0)</f>
        <v>0</v>
      </c>
    </row>
    <row r="508" customFormat="false" ht="15" hidden="false" customHeight="false" outlineLevel="0" collapsed="false">
      <c r="A508" s="72" t="s">
        <v>78</v>
      </c>
      <c r="B508" s="75" t="n">
        <f aca="false">IF(ISNUMBER(週次_媒体別CP!N15),週次_媒体別CP!N15,0)</f>
        <v>0</v>
      </c>
      <c r="C508" s="75" t="n">
        <f aca="false">IF(ISNUMBER(週次_媒体別CP!N71),週次_媒体別CP!N71,0)</f>
        <v>0</v>
      </c>
      <c r="D508" s="75" t="n">
        <f aca="false">IF(ISNUMBER(週次_媒体別CP!N127),週次_媒体別CP!N127,0)</f>
        <v>0</v>
      </c>
      <c r="E508" s="75" t="n">
        <f aca="false">IF(ISNUMBER(週次_媒体別CP!N183),週次_媒体別CP!N183,0)</f>
        <v>0</v>
      </c>
      <c r="F508" s="75" t="n">
        <f aca="false">IF(ISNUMBER(週次_媒体別CP!N239),週次_媒体別CP!N239,0)</f>
        <v>0</v>
      </c>
      <c r="G508" s="75" t="n">
        <f aca="false">IF(ISNUMBER(週次_媒体別CP!N295),週次_媒体別CP!N295,0)</f>
        <v>0</v>
      </c>
      <c r="H508" s="75" t="n">
        <f aca="false">IF(ISNUMBER(週次_媒体別CP!N351),週次_媒体別CP!N351,0)</f>
        <v>0</v>
      </c>
      <c r="I508" s="75" t="n">
        <f aca="false">IF(ISNUMBER(週次_媒体別CP!N408),週次_媒体別CP!N408,0)</f>
        <v>0</v>
      </c>
    </row>
    <row r="509" customFormat="false" ht="15" hidden="false" customHeight="false" outlineLevel="0" collapsed="false">
      <c r="A509" s="72" t="s">
        <v>80</v>
      </c>
      <c r="B509" s="75" t="n">
        <f aca="false">IF(ISNUMBER(週次_媒体別CP!N16),週次_媒体別CP!N16,0)</f>
        <v>0</v>
      </c>
      <c r="C509" s="75" t="n">
        <f aca="false">IF(ISNUMBER(週次_媒体別CP!N72),週次_媒体別CP!N72,0)</f>
        <v>0</v>
      </c>
      <c r="D509" s="75" t="n">
        <f aca="false">IF(ISNUMBER(週次_媒体別CP!N128),週次_媒体別CP!N128,0)</f>
        <v>0</v>
      </c>
      <c r="E509" s="75" t="n">
        <f aca="false">IF(ISNUMBER(週次_媒体別CP!N184),週次_媒体別CP!N184,0)</f>
        <v>0</v>
      </c>
      <c r="F509" s="75" t="n">
        <f aca="false">IF(ISNUMBER(週次_媒体別CP!N240),週次_媒体別CP!N240,0)</f>
        <v>0</v>
      </c>
      <c r="G509" s="75" t="n">
        <f aca="false">IF(ISNUMBER(週次_媒体別CP!N296),週次_媒体別CP!N296,0)</f>
        <v>0</v>
      </c>
      <c r="H509" s="75" t="n">
        <f aca="false">IF(ISNUMBER(週次_媒体別CP!N352),週次_媒体別CP!N352,0)</f>
        <v>0</v>
      </c>
      <c r="I509" s="75" t="n">
        <f aca="false">IF(ISNUMBER(週次_媒体別CP!N409),週次_媒体別CP!N409,0)</f>
        <v>0</v>
      </c>
    </row>
    <row r="510" customFormat="false" ht="15" hidden="false" customHeight="false" outlineLevel="0" collapsed="false">
      <c r="A510" s="72" t="s">
        <v>82</v>
      </c>
      <c r="B510" s="75" t="n">
        <f aca="false">IF(ISNUMBER(週次_媒体別CP!N17),週次_媒体別CP!N17,0)</f>
        <v>0</v>
      </c>
      <c r="C510" s="75" t="n">
        <f aca="false">IF(ISNUMBER(週次_媒体別CP!N73),週次_媒体別CP!N73,0)</f>
        <v>0</v>
      </c>
      <c r="D510" s="75" t="n">
        <f aca="false">IF(ISNUMBER(週次_媒体別CP!N129),週次_媒体別CP!N129,0)</f>
        <v>0</v>
      </c>
      <c r="E510" s="75" t="n">
        <f aca="false">IF(ISNUMBER(週次_媒体別CP!N185),週次_媒体別CP!N185,0)</f>
        <v>0</v>
      </c>
      <c r="F510" s="75" t="n">
        <f aca="false">IF(ISNUMBER(週次_媒体別CP!N241),週次_媒体別CP!N241,0)</f>
        <v>0</v>
      </c>
      <c r="G510" s="75" t="n">
        <f aca="false">IF(ISNUMBER(週次_媒体別CP!N297),週次_媒体別CP!N297,0)</f>
        <v>0</v>
      </c>
      <c r="H510" s="75" t="n">
        <f aca="false">IF(ISNUMBER(週次_媒体別CP!N353),週次_媒体別CP!N353,0)</f>
        <v>0</v>
      </c>
      <c r="I510" s="75" t="n">
        <f aca="false">IF(ISNUMBER(週次_媒体別CP!N410),週次_媒体別CP!N410,0)</f>
        <v>0</v>
      </c>
    </row>
    <row r="511" customFormat="false" ht="15" hidden="false" customHeight="false" outlineLevel="0" collapsed="false">
      <c r="A511" s="72" t="s">
        <v>84</v>
      </c>
      <c r="B511" s="75" t="n">
        <f aca="false">IF(ISNUMBER(週次_媒体別CP!N18),週次_媒体別CP!N18,0)</f>
        <v>0</v>
      </c>
      <c r="C511" s="75" t="n">
        <f aca="false">IF(ISNUMBER(週次_媒体別CP!N74),週次_媒体別CP!N74,0)</f>
        <v>0</v>
      </c>
      <c r="D511" s="75" t="n">
        <f aca="false">IF(ISNUMBER(週次_媒体別CP!N130),週次_媒体別CP!N130,0)</f>
        <v>0</v>
      </c>
      <c r="E511" s="75" t="n">
        <f aca="false">IF(ISNUMBER(週次_媒体別CP!N186),週次_媒体別CP!N186,0)</f>
        <v>0</v>
      </c>
      <c r="F511" s="75" t="n">
        <f aca="false">IF(ISNUMBER(週次_媒体別CP!N242),週次_媒体別CP!N242,0)</f>
        <v>0</v>
      </c>
      <c r="G511" s="75" t="n">
        <f aca="false">IF(ISNUMBER(週次_媒体別CP!N298),週次_媒体別CP!N298,0)</f>
        <v>0</v>
      </c>
      <c r="H511" s="75" t="n">
        <f aca="false">IF(ISNUMBER(週次_媒体別CP!N354),週次_媒体別CP!N354,0)</f>
        <v>0</v>
      </c>
      <c r="I511" s="75" t="n">
        <f aca="false">IF(ISNUMBER(週次_媒体別CP!N411),週次_媒体別CP!N411,0)</f>
        <v>0</v>
      </c>
    </row>
    <row r="512" customFormat="false" ht="15" hidden="false" customHeight="false" outlineLevel="0" collapsed="false">
      <c r="A512" s="72" t="s">
        <v>86</v>
      </c>
      <c r="B512" s="75" t="n">
        <f aca="false">IF(ISNUMBER(週次_媒体別CP!N19),週次_媒体別CP!N19,0)</f>
        <v>0</v>
      </c>
      <c r="C512" s="75" t="n">
        <f aca="false">IF(ISNUMBER(週次_媒体別CP!N75),週次_媒体別CP!N75,0)</f>
        <v>0</v>
      </c>
      <c r="D512" s="75" t="n">
        <f aca="false">IF(ISNUMBER(週次_媒体別CP!N131),週次_媒体別CP!N131,0)</f>
        <v>0</v>
      </c>
      <c r="E512" s="75" t="n">
        <f aca="false">IF(ISNUMBER(週次_媒体別CP!N187),週次_媒体別CP!N187,0)</f>
        <v>0</v>
      </c>
      <c r="F512" s="75" t="n">
        <f aca="false">IF(ISNUMBER(週次_媒体別CP!N243),週次_媒体別CP!N243,0)</f>
        <v>0</v>
      </c>
      <c r="G512" s="75" t="n">
        <f aca="false">IF(ISNUMBER(週次_媒体別CP!N299),週次_媒体別CP!N299,0)</f>
        <v>0</v>
      </c>
      <c r="H512" s="75" t="n">
        <f aca="false">IF(ISNUMBER(週次_媒体別CP!N355),週次_媒体別CP!N355,0)</f>
        <v>0</v>
      </c>
      <c r="I512" s="75" t="n">
        <f aca="false">IF(ISNUMBER(週次_媒体別CP!N412),週次_媒体別CP!N412,0)</f>
        <v>0</v>
      </c>
    </row>
    <row r="513" customFormat="false" ht="15" hidden="false" customHeight="false" outlineLevel="0" collapsed="false">
      <c r="A513" s="72" t="s">
        <v>88</v>
      </c>
      <c r="B513" s="75" t="n">
        <f aca="false">IF(ISNUMBER(週次_媒体別CP!N20),週次_媒体別CP!N20,0)</f>
        <v>0</v>
      </c>
      <c r="C513" s="75" t="n">
        <f aca="false">IF(ISNUMBER(週次_媒体別CP!N76),週次_媒体別CP!N76,0)</f>
        <v>0</v>
      </c>
      <c r="D513" s="75" t="n">
        <f aca="false">IF(ISNUMBER(週次_媒体別CP!N132),週次_媒体別CP!N132,0)</f>
        <v>0</v>
      </c>
      <c r="E513" s="75" t="n">
        <f aca="false">IF(ISNUMBER(週次_媒体別CP!N188),週次_媒体別CP!N188,0)</f>
        <v>0</v>
      </c>
      <c r="F513" s="75" t="n">
        <f aca="false">IF(ISNUMBER(週次_媒体別CP!N244),週次_媒体別CP!N244,0)</f>
        <v>0</v>
      </c>
      <c r="G513" s="75" t="n">
        <f aca="false">IF(ISNUMBER(週次_媒体別CP!N300),週次_媒体別CP!N300,0)</f>
        <v>0</v>
      </c>
      <c r="H513" s="75" t="n">
        <f aca="false">IF(ISNUMBER(週次_媒体別CP!N356),週次_媒体別CP!N356,0)</f>
        <v>0</v>
      </c>
      <c r="I513" s="75" t="n">
        <f aca="false">IF(ISNUMBER(週次_媒体別CP!N413),週次_媒体別CP!N413,0)</f>
        <v>0</v>
      </c>
    </row>
    <row r="514" customFormat="false" ht="15" hidden="false" customHeight="false" outlineLevel="0" collapsed="false">
      <c r="A514" s="72" t="s">
        <v>90</v>
      </c>
      <c r="B514" s="75" t="n">
        <f aca="false">IF(ISNUMBER(週次_媒体別CP!N21),週次_媒体別CP!N21,0)</f>
        <v>0</v>
      </c>
      <c r="C514" s="75" t="n">
        <f aca="false">IF(ISNUMBER(週次_媒体別CP!N77),週次_媒体別CP!N77,0)</f>
        <v>0</v>
      </c>
      <c r="D514" s="75" t="n">
        <f aca="false">IF(ISNUMBER(週次_媒体別CP!N133),週次_媒体別CP!N133,0)</f>
        <v>0</v>
      </c>
      <c r="E514" s="75" t="n">
        <f aca="false">IF(ISNUMBER(週次_媒体別CP!N189),週次_媒体別CP!N189,0)</f>
        <v>0</v>
      </c>
      <c r="F514" s="75" t="n">
        <f aca="false">IF(ISNUMBER(週次_媒体別CP!N245),週次_媒体別CP!N245,0)</f>
        <v>0</v>
      </c>
      <c r="G514" s="75" t="n">
        <f aca="false">IF(ISNUMBER(週次_媒体別CP!N301),週次_媒体別CP!N301,0)</f>
        <v>0</v>
      </c>
      <c r="H514" s="75" t="n">
        <f aca="false">IF(ISNUMBER(週次_媒体別CP!N357),週次_媒体別CP!N357,0)</f>
        <v>0</v>
      </c>
      <c r="I514" s="75" t="n">
        <f aca="false">IF(ISNUMBER(週次_媒体別CP!N414),週次_媒体別CP!N414,0)</f>
        <v>0</v>
      </c>
    </row>
    <row r="515" customFormat="false" ht="15" hidden="false" customHeight="false" outlineLevel="0" collapsed="false">
      <c r="A515" s="72" t="s">
        <v>92</v>
      </c>
      <c r="B515" s="75" t="n">
        <f aca="false">IF(ISNUMBER(週次_媒体別CP!N22),週次_媒体別CP!N22,0)</f>
        <v>0</v>
      </c>
      <c r="C515" s="75" t="n">
        <f aca="false">IF(ISNUMBER(週次_媒体別CP!N78),週次_媒体別CP!N78,0)</f>
        <v>0</v>
      </c>
      <c r="D515" s="75" t="n">
        <f aca="false">IF(ISNUMBER(週次_媒体別CP!N134),週次_媒体別CP!N134,0)</f>
        <v>0</v>
      </c>
      <c r="E515" s="75" t="n">
        <f aca="false">IF(ISNUMBER(週次_媒体別CP!N190),週次_媒体別CP!N190,0)</f>
        <v>0</v>
      </c>
      <c r="F515" s="75" t="n">
        <f aca="false">IF(ISNUMBER(週次_媒体別CP!N246),週次_媒体別CP!N246,0)</f>
        <v>0</v>
      </c>
      <c r="G515" s="75" t="n">
        <f aca="false">IF(ISNUMBER(週次_媒体別CP!N302),週次_媒体別CP!N302,0)</f>
        <v>0</v>
      </c>
      <c r="H515" s="75" t="n">
        <f aca="false">IF(ISNUMBER(週次_媒体別CP!N358),週次_媒体別CP!N358,0)</f>
        <v>0</v>
      </c>
      <c r="I515" s="75" t="n">
        <f aca="false">IF(ISNUMBER(週次_媒体別CP!N415),週次_媒体別CP!N415,0)</f>
        <v>0</v>
      </c>
    </row>
    <row r="516" customFormat="false" ht="15" hidden="false" customHeight="false" outlineLevel="0" collapsed="false">
      <c r="A516" s="72" t="s">
        <v>94</v>
      </c>
      <c r="B516" s="75" t="n">
        <f aca="false">IF(ISNUMBER(週次_媒体別CP!N23),週次_媒体別CP!N23,0)</f>
        <v>0</v>
      </c>
      <c r="C516" s="75" t="n">
        <f aca="false">IF(ISNUMBER(週次_媒体別CP!N79),週次_媒体別CP!N79,0)</f>
        <v>0</v>
      </c>
      <c r="D516" s="75" t="n">
        <f aca="false">IF(ISNUMBER(週次_媒体別CP!N135),週次_媒体別CP!N135,0)</f>
        <v>0</v>
      </c>
      <c r="E516" s="75" t="n">
        <f aca="false">IF(ISNUMBER(週次_媒体別CP!N191),週次_媒体別CP!N191,0)</f>
        <v>0</v>
      </c>
      <c r="F516" s="75" t="n">
        <f aca="false">IF(ISNUMBER(週次_媒体別CP!N247),週次_媒体別CP!N247,0)</f>
        <v>0</v>
      </c>
      <c r="G516" s="75" t="n">
        <f aca="false">IF(ISNUMBER(週次_媒体別CP!N303),週次_媒体別CP!N303,0)</f>
        <v>0</v>
      </c>
      <c r="H516" s="75" t="n">
        <f aca="false">IF(ISNUMBER(週次_媒体別CP!N359),週次_媒体別CP!N359,0)</f>
        <v>0</v>
      </c>
      <c r="I516" s="75" t="n">
        <f aca="false">IF(ISNUMBER(週次_媒体別CP!N416),週次_媒体別CP!N416,0)</f>
        <v>0</v>
      </c>
    </row>
    <row r="517" customFormat="false" ht="15" hidden="false" customHeight="false" outlineLevel="0" collapsed="false">
      <c r="A517" s="72" t="s">
        <v>96</v>
      </c>
      <c r="B517" s="75" t="n">
        <f aca="false">IF(ISNUMBER(週次_媒体別CP!N24),週次_媒体別CP!N24,0)</f>
        <v>0</v>
      </c>
      <c r="C517" s="75" t="n">
        <f aca="false">IF(ISNUMBER(週次_媒体別CP!N80),週次_媒体別CP!N80,0)</f>
        <v>0</v>
      </c>
      <c r="D517" s="75" t="n">
        <f aca="false">IF(ISNUMBER(週次_媒体別CP!N136),週次_媒体別CP!N136,0)</f>
        <v>0</v>
      </c>
      <c r="E517" s="75" t="n">
        <f aca="false">IF(ISNUMBER(週次_媒体別CP!N192),週次_媒体別CP!N192,0)</f>
        <v>0</v>
      </c>
      <c r="F517" s="75" t="n">
        <f aca="false">IF(ISNUMBER(週次_媒体別CP!N248),週次_媒体別CP!N248,0)</f>
        <v>0</v>
      </c>
      <c r="G517" s="75" t="n">
        <f aca="false">IF(ISNUMBER(週次_媒体別CP!N304),週次_媒体別CP!N304,0)</f>
        <v>0</v>
      </c>
      <c r="H517" s="75" t="n">
        <f aca="false">IF(ISNUMBER(週次_媒体別CP!N360),週次_媒体別CP!N360,0)</f>
        <v>0</v>
      </c>
      <c r="I517" s="75" t="n">
        <f aca="false">IF(ISNUMBER(週次_媒体別CP!N417),週次_媒体別CP!N417,0)</f>
        <v>0</v>
      </c>
    </row>
    <row r="518" customFormat="false" ht="15" hidden="false" customHeight="false" outlineLevel="0" collapsed="false">
      <c r="A518" s="72" t="s">
        <v>98</v>
      </c>
      <c r="B518" s="75" t="n">
        <f aca="false">IF(ISNUMBER(週次_媒体別CP!N25),週次_媒体別CP!N25,0)</f>
        <v>0</v>
      </c>
      <c r="C518" s="75" t="n">
        <f aca="false">IF(ISNUMBER(週次_媒体別CP!N81),週次_媒体別CP!N81,0)</f>
        <v>0</v>
      </c>
      <c r="D518" s="75" t="n">
        <f aca="false">IF(ISNUMBER(週次_媒体別CP!N137),週次_媒体別CP!N137,0)</f>
        <v>0</v>
      </c>
      <c r="E518" s="75" t="n">
        <f aca="false">IF(ISNUMBER(週次_媒体別CP!N193),週次_媒体別CP!N193,0)</f>
        <v>0</v>
      </c>
      <c r="F518" s="75" t="n">
        <f aca="false">IF(ISNUMBER(週次_媒体別CP!N249),週次_媒体別CP!N249,0)</f>
        <v>0</v>
      </c>
      <c r="G518" s="75" t="n">
        <f aca="false">IF(ISNUMBER(週次_媒体別CP!N305),週次_媒体別CP!N305,0)</f>
        <v>0</v>
      </c>
      <c r="H518" s="75" t="n">
        <f aca="false">IF(ISNUMBER(週次_媒体別CP!N361),週次_媒体別CP!N361,0)</f>
        <v>0</v>
      </c>
      <c r="I518" s="75" t="n">
        <f aca="false">IF(ISNUMBER(週次_媒体別CP!N418),週次_媒体別CP!N418,0)</f>
        <v>0</v>
      </c>
    </row>
    <row r="519" customFormat="false" ht="15" hidden="false" customHeight="false" outlineLevel="0" collapsed="false">
      <c r="A519" s="72" t="s">
        <v>100</v>
      </c>
      <c r="B519" s="75" t="n">
        <f aca="false">IF(ISNUMBER(週次_媒体別CP!N26),週次_媒体別CP!N26,0)</f>
        <v>0</v>
      </c>
      <c r="C519" s="75" t="n">
        <f aca="false">IF(ISNUMBER(週次_媒体別CP!N82),週次_媒体別CP!N82,0)</f>
        <v>0</v>
      </c>
      <c r="D519" s="75" t="n">
        <f aca="false">IF(ISNUMBER(週次_媒体別CP!N138),週次_媒体別CP!N138,0)</f>
        <v>0</v>
      </c>
      <c r="E519" s="75" t="n">
        <f aca="false">IF(ISNUMBER(週次_媒体別CP!N194),週次_媒体別CP!N194,0)</f>
        <v>0</v>
      </c>
      <c r="F519" s="75" t="n">
        <f aca="false">IF(ISNUMBER(週次_媒体別CP!N250),週次_媒体別CP!N250,0)</f>
        <v>0</v>
      </c>
      <c r="G519" s="75" t="n">
        <f aca="false">IF(ISNUMBER(週次_媒体別CP!N306),週次_媒体別CP!N306,0)</f>
        <v>0</v>
      </c>
      <c r="H519" s="75" t="n">
        <f aca="false">IF(ISNUMBER(週次_媒体別CP!N362),週次_媒体別CP!N362,0)</f>
        <v>0</v>
      </c>
      <c r="I519" s="75" t="n">
        <f aca="false">IF(ISNUMBER(週次_媒体別CP!N419),週次_媒体別CP!N419,0)</f>
        <v>0</v>
      </c>
    </row>
    <row r="520" customFormat="false" ht="15" hidden="false" customHeight="false" outlineLevel="0" collapsed="false">
      <c r="A520" s="72" t="s">
        <v>102</v>
      </c>
      <c r="B520" s="75" t="n">
        <f aca="false">IF(ISNUMBER(週次_媒体別CP!N27),週次_媒体別CP!N27,0)</f>
        <v>0</v>
      </c>
      <c r="C520" s="75" t="n">
        <f aca="false">IF(ISNUMBER(週次_媒体別CP!N83),週次_媒体別CP!N83,0)</f>
        <v>0</v>
      </c>
      <c r="D520" s="75" t="n">
        <f aca="false">IF(ISNUMBER(週次_媒体別CP!N139),週次_媒体別CP!N139,0)</f>
        <v>0</v>
      </c>
      <c r="E520" s="75" t="n">
        <f aca="false">IF(ISNUMBER(週次_媒体別CP!N195),週次_媒体別CP!N195,0)</f>
        <v>0</v>
      </c>
      <c r="F520" s="75" t="n">
        <f aca="false">IF(ISNUMBER(週次_媒体別CP!N251),週次_媒体別CP!N251,0)</f>
        <v>0</v>
      </c>
      <c r="G520" s="75" t="n">
        <f aca="false">IF(ISNUMBER(週次_媒体別CP!N307),週次_媒体別CP!N307,0)</f>
        <v>0</v>
      </c>
      <c r="H520" s="75" t="n">
        <f aca="false">IF(ISNUMBER(週次_媒体別CP!N363),週次_媒体別CP!N363,0)</f>
        <v>0</v>
      </c>
      <c r="I520" s="75" t="n">
        <f aca="false">IF(ISNUMBER(週次_媒体別CP!N420),週次_媒体別CP!N420,0)</f>
        <v>0</v>
      </c>
    </row>
    <row r="521" customFormat="false" ht="15" hidden="false" customHeight="false" outlineLevel="0" collapsed="false">
      <c r="A521" s="72" t="s">
        <v>104</v>
      </c>
      <c r="B521" s="75" t="n">
        <f aca="false">IF(ISNUMBER(週次_媒体別CP!N28),週次_媒体別CP!N28,0)</f>
        <v>0</v>
      </c>
      <c r="C521" s="75" t="n">
        <f aca="false">IF(ISNUMBER(週次_媒体別CP!N84),週次_媒体別CP!N84,0)</f>
        <v>0</v>
      </c>
      <c r="D521" s="75" t="n">
        <f aca="false">IF(ISNUMBER(週次_媒体別CP!N140),週次_媒体別CP!N140,0)</f>
        <v>0</v>
      </c>
      <c r="E521" s="75" t="n">
        <f aca="false">IF(ISNUMBER(週次_媒体別CP!N196),週次_媒体別CP!N196,0)</f>
        <v>0</v>
      </c>
      <c r="F521" s="75" t="n">
        <f aca="false">IF(ISNUMBER(週次_媒体別CP!N252),週次_媒体別CP!N252,0)</f>
        <v>0</v>
      </c>
      <c r="G521" s="75" t="n">
        <f aca="false">IF(ISNUMBER(週次_媒体別CP!N308),週次_媒体別CP!N308,0)</f>
        <v>0</v>
      </c>
      <c r="H521" s="75" t="n">
        <f aca="false">IF(ISNUMBER(週次_媒体別CP!N364),週次_媒体別CP!N364,0)</f>
        <v>0</v>
      </c>
      <c r="I521" s="75" t="n">
        <f aca="false">IF(ISNUMBER(週次_媒体別CP!N421),週次_媒体別CP!N421,0)</f>
        <v>0</v>
      </c>
    </row>
    <row r="522" customFormat="false" ht="15" hidden="false" customHeight="false" outlineLevel="0" collapsed="false">
      <c r="A522" s="72" t="s">
        <v>106</v>
      </c>
      <c r="B522" s="75" t="n">
        <f aca="false">IF(ISNUMBER(週次_媒体別CP!N29),週次_媒体別CP!N29,0)</f>
        <v>0</v>
      </c>
      <c r="C522" s="75" t="n">
        <f aca="false">IF(ISNUMBER(週次_媒体別CP!N85),週次_媒体別CP!N85,0)</f>
        <v>0</v>
      </c>
      <c r="D522" s="75" t="n">
        <f aca="false">IF(ISNUMBER(週次_媒体別CP!N141),週次_媒体別CP!N141,0)</f>
        <v>0</v>
      </c>
      <c r="E522" s="75" t="n">
        <f aca="false">IF(ISNUMBER(週次_媒体別CP!N197),週次_媒体別CP!N197,0)</f>
        <v>0</v>
      </c>
      <c r="F522" s="75" t="n">
        <f aca="false">IF(ISNUMBER(週次_媒体別CP!N253),週次_媒体別CP!N253,0)</f>
        <v>0</v>
      </c>
      <c r="G522" s="75" t="n">
        <f aca="false">IF(ISNUMBER(週次_媒体別CP!N309),週次_媒体別CP!N309,0)</f>
        <v>0</v>
      </c>
      <c r="H522" s="75" t="n">
        <f aca="false">IF(ISNUMBER(週次_媒体別CP!N365),週次_媒体別CP!N365,0)</f>
        <v>0</v>
      </c>
      <c r="I522" s="75" t="n">
        <f aca="false">IF(ISNUMBER(週次_媒体別CP!N422),週次_媒体別CP!N422,0)</f>
        <v>0</v>
      </c>
    </row>
    <row r="523" customFormat="false" ht="15" hidden="false" customHeight="false" outlineLevel="0" collapsed="false">
      <c r="A523" s="72" t="s">
        <v>108</v>
      </c>
      <c r="B523" s="75" t="n">
        <f aca="false">IF(ISNUMBER(週次_媒体別CP!N30),週次_媒体別CP!N30,0)</f>
        <v>0</v>
      </c>
      <c r="C523" s="75" t="n">
        <f aca="false">IF(ISNUMBER(週次_媒体別CP!N86),週次_媒体別CP!N86,0)</f>
        <v>0</v>
      </c>
      <c r="D523" s="75" t="n">
        <f aca="false">IF(ISNUMBER(週次_媒体別CP!N142),週次_媒体別CP!N142,0)</f>
        <v>0</v>
      </c>
      <c r="E523" s="75" t="n">
        <f aca="false">IF(ISNUMBER(週次_媒体別CP!N198),週次_媒体別CP!N198,0)</f>
        <v>0</v>
      </c>
      <c r="F523" s="75" t="n">
        <f aca="false">IF(ISNUMBER(週次_媒体別CP!N254),週次_媒体別CP!N254,0)</f>
        <v>0</v>
      </c>
      <c r="G523" s="75" t="n">
        <f aca="false">IF(ISNUMBER(週次_媒体別CP!N310),週次_媒体別CP!N310,0)</f>
        <v>0</v>
      </c>
      <c r="H523" s="75" t="n">
        <f aca="false">IF(ISNUMBER(週次_媒体別CP!N366),週次_媒体別CP!N366,0)</f>
        <v>0</v>
      </c>
      <c r="I523" s="75" t="n">
        <f aca="false">IF(ISNUMBER(週次_媒体別CP!N423),週次_媒体別CP!N423,0)</f>
        <v>0</v>
      </c>
    </row>
    <row r="524" customFormat="false" ht="15" hidden="false" customHeight="false" outlineLevel="0" collapsed="false">
      <c r="A524" s="72" t="s">
        <v>110</v>
      </c>
      <c r="B524" s="75" t="n">
        <f aca="false">IF(ISNUMBER(週次_媒体別CP!N31),週次_媒体別CP!N31,0)</f>
        <v>0</v>
      </c>
      <c r="C524" s="75" t="n">
        <f aca="false">IF(ISNUMBER(週次_媒体別CP!N87),週次_媒体別CP!N87,0)</f>
        <v>0</v>
      </c>
      <c r="D524" s="75" t="n">
        <f aca="false">IF(ISNUMBER(週次_媒体別CP!N143),週次_媒体別CP!N143,0)</f>
        <v>0</v>
      </c>
      <c r="E524" s="75" t="n">
        <f aca="false">IF(ISNUMBER(週次_媒体別CP!N199),週次_媒体別CP!N199,0)</f>
        <v>0</v>
      </c>
      <c r="F524" s="75" t="n">
        <f aca="false">IF(ISNUMBER(週次_媒体別CP!N255),週次_媒体別CP!N255,0)</f>
        <v>0</v>
      </c>
      <c r="G524" s="75" t="n">
        <f aca="false">IF(ISNUMBER(週次_媒体別CP!N311),週次_媒体別CP!N311,0)</f>
        <v>0</v>
      </c>
      <c r="H524" s="75" t="n">
        <f aca="false">IF(ISNUMBER(週次_媒体別CP!N367),週次_媒体別CP!N367,0)</f>
        <v>0</v>
      </c>
      <c r="I524" s="75" t="n">
        <f aca="false">IF(ISNUMBER(週次_媒体別CP!N424),週次_媒体別CP!N424,0)</f>
        <v>0</v>
      </c>
    </row>
    <row r="525" customFormat="false" ht="15" hidden="false" customHeight="false" outlineLevel="0" collapsed="false">
      <c r="A525" s="72" t="s">
        <v>112</v>
      </c>
      <c r="B525" s="75" t="n">
        <f aca="false">IF(ISNUMBER(週次_媒体別CP!N32),週次_媒体別CP!N32,0)</f>
        <v>0</v>
      </c>
      <c r="C525" s="75" t="n">
        <f aca="false">IF(ISNUMBER(週次_媒体別CP!N88),週次_媒体別CP!N88,0)</f>
        <v>0</v>
      </c>
      <c r="D525" s="75" t="n">
        <f aca="false">IF(ISNUMBER(週次_媒体別CP!N144),週次_媒体別CP!N144,0)</f>
        <v>0</v>
      </c>
      <c r="E525" s="75" t="n">
        <f aca="false">IF(ISNUMBER(週次_媒体別CP!N200),週次_媒体別CP!N200,0)</f>
        <v>0</v>
      </c>
      <c r="F525" s="75" t="n">
        <f aca="false">IF(ISNUMBER(週次_媒体別CP!N256),週次_媒体別CP!N256,0)</f>
        <v>0</v>
      </c>
      <c r="G525" s="75" t="n">
        <f aca="false">IF(ISNUMBER(週次_媒体別CP!N312),週次_媒体別CP!N312,0)</f>
        <v>0</v>
      </c>
      <c r="H525" s="75" t="n">
        <f aca="false">IF(ISNUMBER(週次_媒体別CP!N368),週次_媒体別CP!N368,0)</f>
        <v>0</v>
      </c>
      <c r="I525" s="75" t="n">
        <f aca="false">IF(ISNUMBER(週次_媒体別CP!N425),週次_媒体別CP!N425,0)</f>
        <v>0</v>
      </c>
    </row>
    <row r="526" customFormat="false" ht="15" hidden="false" customHeight="false" outlineLevel="0" collapsed="false">
      <c r="A526" s="72" t="s">
        <v>114</v>
      </c>
      <c r="B526" s="75" t="n">
        <f aca="false">IF(ISNUMBER(週次_媒体別CP!N33),週次_媒体別CP!N33,0)</f>
        <v>0</v>
      </c>
      <c r="C526" s="75" t="n">
        <f aca="false">IF(ISNUMBER(週次_媒体別CP!N89),週次_媒体別CP!N89,0)</f>
        <v>0</v>
      </c>
      <c r="D526" s="75" t="n">
        <f aca="false">IF(ISNUMBER(週次_媒体別CP!N145),週次_媒体別CP!N145,0)</f>
        <v>0</v>
      </c>
      <c r="E526" s="75" t="n">
        <f aca="false">IF(ISNUMBER(週次_媒体別CP!N201),週次_媒体別CP!N201,0)</f>
        <v>0</v>
      </c>
      <c r="F526" s="75" t="n">
        <f aca="false">IF(ISNUMBER(週次_媒体別CP!N257),週次_媒体別CP!N257,0)</f>
        <v>0</v>
      </c>
      <c r="G526" s="75" t="n">
        <f aca="false">IF(ISNUMBER(週次_媒体別CP!N313),週次_媒体別CP!N313,0)</f>
        <v>0</v>
      </c>
      <c r="H526" s="75" t="n">
        <f aca="false">IF(ISNUMBER(週次_媒体別CP!N369),週次_媒体別CP!N369,0)</f>
        <v>0</v>
      </c>
      <c r="I526" s="75" t="n">
        <f aca="false">IF(ISNUMBER(週次_媒体別CP!N426),週次_媒体別CP!N426,0)</f>
        <v>0</v>
      </c>
    </row>
    <row r="527" customFormat="false" ht="15" hidden="false" customHeight="false" outlineLevel="0" collapsed="false">
      <c r="A527" s="72" t="s">
        <v>116</v>
      </c>
      <c r="B527" s="75" t="n">
        <f aca="false">IF(ISNUMBER(週次_媒体別CP!N34),週次_媒体別CP!N34,0)</f>
        <v>0</v>
      </c>
      <c r="C527" s="75" t="n">
        <f aca="false">IF(ISNUMBER(週次_媒体別CP!N90),週次_媒体別CP!N90,0)</f>
        <v>0</v>
      </c>
      <c r="D527" s="75" t="n">
        <f aca="false">IF(ISNUMBER(週次_媒体別CP!N146),週次_媒体別CP!N146,0)</f>
        <v>0</v>
      </c>
      <c r="E527" s="75" t="n">
        <f aca="false">IF(ISNUMBER(週次_媒体別CP!N202),週次_媒体別CP!N202,0)</f>
        <v>0</v>
      </c>
      <c r="F527" s="75" t="n">
        <f aca="false">IF(ISNUMBER(週次_媒体別CP!N258),週次_媒体別CP!N258,0)</f>
        <v>0</v>
      </c>
      <c r="G527" s="75" t="n">
        <f aca="false">IF(ISNUMBER(週次_媒体別CP!N314),週次_媒体別CP!N314,0)</f>
        <v>0</v>
      </c>
      <c r="H527" s="75" t="n">
        <f aca="false">IF(ISNUMBER(週次_媒体別CP!N370),週次_媒体別CP!N370,0)</f>
        <v>0</v>
      </c>
      <c r="I527" s="75" t="n">
        <f aca="false">IF(ISNUMBER(週次_媒体別CP!N427),週次_媒体別CP!N427,0)</f>
        <v>0</v>
      </c>
    </row>
    <row r="528" customFormat="false" ht="15" hidden="false" customHeight="false" outlineLevel="0" collapsed="false">
      <c r="A528" s="72" t="s">
        <v>118</v>
      </c>
      <c r="B528" s="75" t="n">
        <f aca="false">IF(ISNUMBER(週次_媒体別CP!N35),週次_媒体別CP!N35,0)</f>
        <v>0</v>
      </c>
      <c r="C528" s="75" t="n">
        <f aca="false">IF(ISNUMBER(週次_媒体別CP!N91),週次_媒体別CP!N91,0)</f>
        <v>0</v>
      </c>
      <c r="D528" s="75" t="n">
        <f aca="false">IF(ISNUMBER(週次_媒体別CP!N147),週次_媒体別CP!N147,0)</f>
        <v>0</v>
      </c>
      <c r="E528" s="75" t="n">
        <f aca="false">IF(ISNUMBER(週次_媒体別CP!N203),週次_媒体別CP!N203,0)</f>
        <v>0</v>
      </c>
      <c r="F528" s="75" t="n">
        <f aca="false">IF(ISNUMBER(週次_媒体別CP!N259),週次_媒体別CP!N259,0)</f>
        <v>0</v>
      </c>
      <c r="G528" s="75" t="n">
        <f aca="false">IF(ISNUMBER(週次_媒体別CP!N315),週次_媒体別CP!N315,0)</f>
        <v>0</v>
      </c>
      <c r="H528" s="75" t="n">
        <f aca="false">IF(ISNUMBER(週次_媒体別CP!N371),週次_媒体別CP!N371,0)</f>
        <v>0</v>
      </c>
      <c r="I528" s="75" t="n">
        <f aca="false">IF(ISNUMBER(週次_媒体別CP!N428),週次_媒体別CP!N428,0)</f>
        <v>0</v>
      </c>
    </row>
    <row r="529" customFormat="false" ht="15" hidden="false" customHeight="false" outlineLevel="0" collapsed="false">
      <c r="A529" s="72" t="s">
        <v>120</v>
      </c>
      <c r="B529" s="75" t="n">
        <f aca="false">IF(ISNUMBER(週次_媒体別CP!N36),週次_媒体別CP!N36,0)</f>
        <v>0</v>
      </c>
      <c r="C529" s="75" t="n">
        <f aca="false">IF(ISNUMBER(週次_媒体別CP!N92),週次_媒体別CP!N92,0)</f>
        <v>0</v>
      </c>
      <c r="D529" s="75" t="n">
        <f aca="false">IF(ISNUMBER(週次_媒体別CP!N148),週次_媒体別CP!N148,0)</f>
        <v>0</v>
      </c>
      <c r="E529" s="75" t="n">
        <f aca="false">IF(ISNUMBER(週次_媒体別CP!N204),週次_媒体別CP!N204,0)</f>
        <v>0</v>
      </c>
      <c r="F529" s="75" t="n">
        <f aca="false">IF(ISNUMBER(週次_媒体別CP!N260),週次_媒体別CP!N260,0)</f>
        <v>0</v>
      </c>
      <c r="G529" s="75" t="n">
        <f aca="false">IF(ISNUMBER(週次_媒体別CP!N316),週次_媒体別CP!N316,0)</f>
        <v>0</v>
      </c>
      <c r="H529" s="75" t="n">
        <f aca="false">IF(ISNUMBER(週次_媒体別CP!N372),週次_媒体別CP!N372,0)</f>
        <v>0</v>
      </c>
      <c r="I529" s="75" t="n">
        <f aca="false">IF(ISNUMBER(週次_媒体別CP!N429),週次_媒体別CP!N429,0)</f>
        <v>0</v>
      </c>
    </row>
    <row r="530" customFormat="false" ht="15" hidden="false" customHeight="false" outlineLevel="0" collapsed="false">
      <c r="A530" s="72" t="s">
        <v>122</v>
      </c>
      <c r="B530" s="75" t="n">
        <f aca="false">IF(ISNUMBER(週次_媒体別CP!N37),週次_媒体別CP!N37,0)</f>
        <v>0</v>
      </c>
      <c r="C530" s="75" t="n">
        <f aca="false">IF(ISNUMBER(週次_媒体別CP!N93),週次_媒体別CP!N93,0)</f>
        <v>0</v>
      </c>
      <c r="D530" s="75" t="n">
        <f aca="false">IF(ISNUMBER(週次_媒体別CP!N149),週次_媒体別CP!N149,0)</f>
        <v>0</v>
      </c>
      <c r="E530" s="75" t="n">
        <f aca="false">IF(ISNUMBER(週次_媒体別CP!N205),週次_媒体別CP!N205,0)</f>
        <v>0</v>
      </c>
      <c r="F530" s="75" t="n">
        <f aca="false">IF(ISNUMBER(週次_媒体別CP!N261),週次_媒体別CP!N261,0)</f>
        <v>0</v>
      </c>
      <c r="G530" s="75" t="n">
        <f aca="false">IF(ISNUMBER(週次_媒体別CP!N317),週次_媒体別CP!N317,0)</f>
        <v>0</v>
      </c>
      <c r="H530" s="75" t="n">
        <f aca="false">IF(ISNUMBER(週次_媒体別CP!N373),週次_媒体別CP!N373,0)</f>
        <v>0</v>
      </c>
      <c r="I530" s="75" t="n">
        <f aca="false">IF(ISNUMBER(週次_媒体別CP!N430),週次_媒体別CP!N430,0)</f>
        <v>0</v>
      </c>
    </row>
    <row r="531" customFormat="false" ht="15" hidden="false" customHeight="false" outlineLevel="0" collapsed="false">
      <c r="A531" s="72" t="s">
        <v>124</v>
      </c>
      <c r="B531" s="75" t="n">
        <f aca="false">IF(ISNUMBER(週次_媒体別CP!N38),週次_媒体別CP!N38,0)</f>
        <v>0</v>
      </c>
      <c r="C531" s="75" t="n">
        <f aca="false">IF(ISNUMBER(週次_媒体別CP!N94),週次_媒体別CP!N94,0)</f>
        <v>0</v>
      </c>
      <c r="D531" s="75" t="n">
        <f aca="false">IF(ISNUMBER(週次_媒体別CP!N150),週次_媒体別CP!N150,0)</f>
        <v>0</v>
      </c>
      <c r="E531" s="75" t="n">
        <f aca="false">IF(ISNUMBER(週次_媒体別CP!N206),週次_媒体別CP!N206,0)</f>
        <v>0</v>
      </c>
      <c r="F531" s="75" t="n">
        <f aca="false">IF(ISNUMBER(週次_媒体別CP!N262),週次_媒体別CP!N262,0)</f>
        <v>0</v>
      </c>
      <c r="G531" s="75" t="n">
        <f aca="false">IF(ISNUMBER(週次_媒体別CP!N318),週次_媒体別CP!N318,0)</f>
        <v>0</v>
      </c>
      <c r="H531" s="75" t="n">
        <f aca="false">IF(ISNUMBER(週次_媒体別CP!N374),週次_媒体別CP!N374,0)</f>
        <v>0</v>
      </c>
      <c r="I531" s="75" t="n">
        <f aca="false">IF(ISNUMBER(週次_媒体別CP!N431),週次_媒体別CP!N431,0)</f>
        <v>0</v>
      </c>
    </row>
    <row r="532" customFormat="false" ht="15" hidden="false" customHeight="false" outlineLevel="0" collapsed="false">
      <c r="A532" s="72" t="s">
        <v>126</v>
      </c>
      <c r="B532" s="75" t="n">
        <f aca="false">IF(ISNUMBER(週次_媒体別CP!N39),週次_媒体別CP!N39,0)</f>
        <v>0</v>
      </c>
      <c r="C532" s="75" t="n">
        <f aca="false">IF(ISNUMBER(週次_媒体別CP!N95),週次_媒体別CP!N95,0)</f>
        <v>0</v>
      </c>
      <c r="D532" s="75" t="n">
        <f aca="false">IF(ISNUMBER(週次_媒体別CP!N151),週次_媒体別CP!N151,0)</f>
        <v>0</v>
      </c>
      <c r="E532" s="75" t="n">
        <f aca="false">IF(ISNUMBER(週次_媒体別CP!N207),週次_媒体別CP!N207,0)</f>
        <v>0</v>
      </c>
      <c r="F532" s="75" t="n">
        <f aca="false">IF(ISNUMBER(週次_媒体別CP!N263),週次_媒体別CP!N263,0)</f>
        <v>0</v>
      </c>
      <c r="G532" s="75" t="n">
        <f aca="false">IF(ISNUMBER(週次_媒体別CP!N319),週次_媒体別CP!N319,0)</f>
        <v>0</v>
      </c>
      <c r="H532" s="75" t="n">
        <f aca="false">IF(ISNUMBER(週次_媒体別CP!N375),週次_媒体別CP!N375,0)</f>
        <v>0</v>
      </c>
      <c r="I532" s="75" t="n">
        <f aca="false">IF(ISNUMBER(週次_媒体別CP!N432),週次_媒体別CP!N432,0)</f>
        <v>0</v>
      </c>
    </row>
    <row r="533" customFormat="false" ht="15" hidden="false" customHeight="false" outlineLevel="0" collapsed="false">
      <c r="A533" s="72" t="s">
        <v>128</v>
      </c>
      <c r="B533" s="75" t="n">
        <f aca="false">IF(ISNUMBER(週次_媒体別CP!N40),週次_媒体別CP!N40,0)</f>
        <v>0</v>
      </c>
      <c r="C533" s="75" t="n">
        <f aca="false">IF(ISNUMBER(週次_媒体別CP!N96),週次_媒体別CP!N96,0)</f>
        <v>0</v>
      </c>
      <c r="D533" s="75" t="n">
        <f aca="false">IF(ISNUMBER(週次_媒体別CP!N152),週次_媒体別CP!N152,0)</f>
        <v>0</v>
      </c>
      <c r="E533" s="75" t="n">
        <f aca="false">IF(ISNUMBER(週次_媒体別CP!N208),週次_媒体別CP!N208,0)</f>
        <v>0</v>
      </c>
      <c r="F533" s="75" t="n">
        <f aca="false">IF(ISNUMBER(週次_媒体別CP!N264),週次_媒体別CP!N264,0)</f>
        <v>0</v>
      </c>
      <c r="G533" s="75" t="n">
        <f aca="false">IF(ISNUMBER(週次_媒体別CP!N320),週次_媒体別CP!N320,0)</f>
        <v>0</v>
      </c>
      <c r="H533" s="75" t="n">
        <f aca="false">IF(ISNUMBER(週次_媒体別CP!N376),週次_媒体別CP!N376,0)</f>
        <v>0</v>
      </c>
      <c r="I533" s="75" t="n">
        <f aca="false">IF(ISNUMBER(週次_媒体別CP!N433),週次_媒体別CP!N433,0)</f>
        <v>0</v>
      </c>
    </row>
    <row r="534" customFormat="false" ht="15" hidden="false" customHeight="false" outlineLevel="0" collapsed="false">
      <c r="A534" s="72" t="s">
        <v>130</v>
      </c>
      <c r="B534" s="75" t="n">
        <f aca="false">IF(ISNUMBER(週次_媒体別CP!N41),週次_媒体別CP!N41,0)</f>
        <v>0</v>
      </c>
      <c r="C534" s="75" t="n">
        <f aca="false">IF(ISNUMBER(週次_媒体別CP!N97),週次_媒体別CP!N97,0)</f>
        <v>0</v>
      </c>
      <c r="D534" s="75" t="n">
        <f aca="false">IF(ISNUMBER(週次_媒体別CP!N153),週次_媒体別CP!N153,0)</f>
        <v>0</v>
      </c>
      <c r="E534" s="75" t="n">
        <f aca="false">IF(ISNUMBER(週次_媒体別CP!N209),週次_媒体別CP!N209,0)</f>
        <v>0</v>
      </c>
      <c r="F534" s="75" t="n">
        <f aca="false">IF(ISNUMBER(週次_媒体別CP!N265),週次_媒体別CP!N265,0)</f>
        <v>0</v>
      </c>
      <c r="G534" s="75" t="n">
        <f aca="false">IF(ISNUMBER(週次_媒体別CP!N321),週次_媒体別CP!N321,0)</f>
        <v>0</v>
      </c>
      <c r="H534" s="75" t="n">
        <f aca="false">IF(ISNUMBER(週次_媒体別CP!N377),週次_媒体別CP!N377,0)</f>
        <v>0</v>
      </c>
      <c r="I534" s="75" t="n">
        <f aca="false">IF(ISNUMBER(週次_媒体別CP!N434),週次_媒体別CP!N434,0)</f>
        <v>0</v>
      </c>
    </row>
    <row r="535" customFormat="false" ht="15" hidden="false" customHeight="false" outlineLevel="0" collapsed="false">
      <c r="A535" s="72" t="s">
        <v>132</v>
      </c>
      <c r="B535" s="75" t="n">
        <f aca="false">IF(ISNUMBER(週次_媒体別CP!N42),週次_媒体別CP!N42,0)</f>
        <v>0</v>
      </c>
      <c r="C535" s="75" t="n">
        <f aca="false">IF(ISNUMBER(週次_媒体別CP!N98),週次_媒体別CP!N98,0)</f>
        <v>0</v>
      </c>
      <c r="D535" s="75" t="n">
        <f aca="false">IF(ISNUMBER(週次_媒体別CP!N154),週次_媒体別CP!N154,0)</f>
        <v>0</v>
      </c>
      <c r="E535" s="75" t="n">
        <f aca="false">IF(ISNUMBER(週次_媒体別CP!N210),週次_媒体別CP!N210,0)</f>
        <v>0</v>
      </c>
      <c r="F535" s="75" t="n">
        <f aca="false">IF(ISNUMBER(週次_媒体別CP!N266),週次_媒体別CP!N266,0)</f>
        <v>0</v>
      </c>
      <c r="G535" s="75" t="n">
        <f aca="false">IF(ISNUMBER(週次_媒体別CP!N322),週次_媒体別CP!N322,0)</f>
        <v>0</v>
      </c>
      <c r="H535" s="75" t="n">
        <f aca="false">IF(ISNUMBER(週次_媒体別CP!N378),週次_媒体別CP!N378,0)</f>
        <v>0</v>
      </c>
      <c r="I535" s="75" t="n">
        <f aca="false">IF(ISNUMBER(週次_媒体別CP!N435),週次_媒体別CP!N435,0)</f>
        <v>0</v>
      </c>
    </row>
    <row r="536" customFormat="false" ht="15" hidden="false" customHeight="false" outlineLevel="0" collapsed="false">
      <c r="A536" s="72" t="s">
        <v>134</v>
      </c>
      <c r="B536" s="75" t="n">
        <f aca="false">IF(ISNUMBER(週次_媒体別CP!N43),週次_媒体別CP!N43,0)</f>
        <v>0</v>
      </c>
      <c r="C536" s="75" t="n">
        <f aca="false">IF(ISNUMBER(週次_媒体別CP!N99),週次_媒体別CP!N99,0)</f>
        <v>0</v>
      </c>
      <c r="D536" s="75" t="n">
        <f aca="false">IF(ISNUMBER(週次_媒体別CP!N155),週次_媒体別CP!N155,0)</f>
        <v>0</v>
      </c>
      <c r="E536" s="75" t="n">
        <f aca="false">IF(ISNUMBER(週次_媒体別CP!N211),週次_媒体別CP!N211,0)</f>
        <v>0</v>
      </c>
      <c r="F536" s="75" t="n">
        <f aca="false">IF(ISNUMBER(週次_媒体別CP!N267),週次_媒体別CP!N267,0)</f>
        <v>0</v>
      </c>
      <c r="G536" s="75" t="n">
        <f aca="false">IF(ISNUMBER(週次_媒体別CP!N323),週次_媒体別CP!N323,0)</f>
        <v>0</v>
      </c>
      <c r="H536" s="75" t="n">
        <f aca="false">IF(ISNUMBER(週次_媒体別CP!N379),週次_媒体別CP!N379,0)</f>
        <v>0</v>
      </c>
      <c r="I536" s="75" t="n">
        <f aca="false">IF(ISNUMBER(週次_媒体別CP!N436),週次_媒体別CP!N436,0)</f>
        <v>0</v>
      </c>
    </row>
    <row r="537" customFormat="false" ht="15" hidden="false" customHeight="false" outlineLevel="0" collapsed="false">
      <c r="A537" s="72" t="s">
        <v>136</v>
      </c>
      <c r="B537" s="75" t="n">
        <f aca="false">IF(ISNUMBER(週次_媒体別CP!N44),週次_媒体別CP!N44,0)</f>
        <v>0</v>
      </c>
      <c r="C537" s="75" t="n">
        <f aca="false">IF(ISNUMBER(週次_媒体別CP!N100),週次_媒体別CP!N100,0)</f>
        <v>0</v>
      </c>
      <c r="D537" s="75" t="n">
        <f aca="false">IF(ISNUMBER(週次_媒体別CP!N156),週次_媒体別CP!N156,0)</f>
        <v>0</v>
      </c>
      <c r="E537" s="75" t="n">
        <f aca="false">IF(ISNUMBER(週次_媒体別CP!N212),週次_媒体別CP!N212,0)</f>
        <v>0</v>
      </c>
      <c r="F537" s="75" t="n">
        <f aca="false">IF(ISNUMBER(週次_媒体別CP!N268),週次_媒体別CP!N268,0)</f>
        <v>0</v>
      </c>
      <c r="G537" s="75" t="n">
        <f aca="false">IF(ISNUMBER(週次_媒体別CP!N324),週次_媒体別CP!N324,0)</f>
        <v>0</v>
      </c>
      <c r="H537" s="75" t="n">
        <f aca="false">IF(ISNUMBER(週次_媒体別CP!N380),週次_媒体別CP!N380,0)</f>
        <v>0</v>
      </c>
      <c r="I537" s="75" t="n">
        <f aca="false">IF(ISNUMBER(週次_媒体別CP!N437),週次_媒体別CP!N437,0)</f>
        <v>0</v>
      </c>
    </row>
    <row r="538" customFormat="false" ht="15" hidden="false" customHeight="false" outlineLevel="0" collapsed="false">
      <c r="A538" s="72" t="s">
        <v>138</v>
      </c>
      <c r="B538" s="75" t="n">
        <f aca="false">IF(ISNUMBER(週次_媒体別CP!N45),週次_媒体別CP!N45,0)</f>
        <v>0</v>
      </c>
      <c r="C538" s="75" t="n">
        <f aca="false">IF(ISNUMBER(週次_媒体別CP!N101),週次_媒体別CP!N101,0)</f>
        <v>0</v>
      </c>
      <c r="D538" s="75" t="n">
        <f aca="false">IF(ISNUMBER(週次_媒体別CP!N157),週次_媒体別CP!N157,0)</f>
        <v>0</v>
      </c>
      <c r="E538" s="75" t="n">
        <f aca="false">IF(ISNUMBER(週次_媒体別CP!N213),週次_媒体別CP!N213,0)</f>
        <v>0</v>
      </c>
      <c r="F538" s="75" t="n">
        <f aca="false">IF(ISNUMBER(週次_媒体別CP!N269),週次_媒体別CP!N269,0)</f>
        <v>0</v>
      </c>
      <c r="G538" s="75" t="n">
        <f aca="false">IF(ISNUMBER(週次_媒体別CP!N325),週次_媒体別CP!N325,0)</f>
        <v>0</v>
      </c>
      <c r="H538" s="75" t="n">
        <f aca="false">IF(ISNUMBER(週次_媒体別CP!N381),週次_媒体別CP!N381,0)</f>
        <v>0</v>
      </c>
      <c r="I538" s="75" t="n">
        <f aca="false">IF(ISNUMBER(週次_媒体別CP!N438),週次_媒体別CP!N438,0)</f>
        <v>0</v>
      </c>
    </row>
    <row r="539" customFormat="false" ht="15" hidden="false" customHeight="false" outlineLevel="0" collapsed="false">
      <c r="A539" s="72" t="s">
        <v>140</v>
      </c>
      <c r="B539" s="75" t="n">
        <f aca="false">IF(ISNUMBER(週次_媒体別CP!N46),週次_媒体別CP!N46,0)</f>
        <v>0</v>
      </c>
      <c r="C539" s="75" t="n">
        <f aca="false">IF(ISNUMBER(週次_媒体別CP!N102),週次_媒体別CP!N102,0)</f>
        <v>0</v>
      </c>
      <c r="D539" s="75" t="n">
        <f aca="false">IF(ISNUMBER(週次_媒体別CP!N158),週次_媒体別CP!N158,0)</f>
        <v>0</v>
      </c>
      <c r="E539" s="75" t="n">
        <f aca="false">IF(ISNUMBER(週次_媒体別CP!N214),週次_媒体別CP!N214,0)</f>
        <v>0</v>
      </c>
      <c r="F539" s="75" t="n">
        <f aca="false">IF(ISNUMBER(週次_媒体別CP!N270),週次_媒体別CP!N270,0)</f>
        <v>0</v>
      </c>
      <c r="G539" s="75" t="n">
        <f aca="false">IF(ISNUMBER(週次_媒体別CP!N326),週次_媒体別CP!N326,0)</f>
        <v>0</v>
      </c>
      <c r="H539" s="75" t="n">
        <f aca="false">IF(ISNUMBER(週次_媒体別CP!N382),週次_媒体別CP!N382,0)</f>
        <v>0</v>
      </c>
      <c r="I539" s="75" t="n">
        <f aca="false">IF(ISNUMBER(週次_媒体別CP!N439),週次_媒体別CP!N439,0)</f>
        <v>0</v>
      </c>
    </row>
    <row r="540" customFormat="false" ht="15" hidden="false" customHeight="false" outlineLevel="0" collapsed="false">
      <c r="A540" s="72" t="s">
        <v>142</v>
      </c>
      <c r="B540" s="75" t="n">
        <f aca="false">IF(ISNUMBER(週次_媒体別CP!N47),週次_媒体別CP!N47,0)</f>
        <v>0</v>
      </c>
      <c r="C540" s="75" t="n">
        <f aca="false">IF(ISNUMBER(週次_媒体別CP!N103),週次_媒体別CP!N103,0)</f>
        <v>0</v>
      </c>
      <c r="D540" s="75" t="n">
        <f aca="false">IF(ISNUMBER(週次_媒体別CP!N159),週次_媒体別CP!N159,0)</f>
        <v>0</v>
      </c>
      <c r="E540" s="75" t="n">
        <f aca="false">IF(ISNUMBER(週次_媒体別CP!N215),週次_媒体別CP!N215,0)</f>
        <v>0</v>
      </c>
      <c r="F540" s="75" t="n">
        <f aca="false">IF(ISNUMBER(週次_媒体別CP!N271),週次_媒体別CP!N271,0)</f>
        <v>0</v>
      </c>
      <c r="G540" s="75" t="n">
        <f aca="false">IF(ISNUMBER(週次_媒体別CP!N327),週次_媒体別CP!N327,0)</f>
        <v>0</v>
      </c>
      <c r="H540" s="75" t="n">
        <f aca="false">IF(ISNUMBER(週次_媒体別CP!N383),週次_媒体別CP!N383,0)</f>
        <v>0</v>
      </c>
      <c r="I540" s="75" t="n">
        <f aca="false">IF(ISNUMBER(週次_媒体別CP!N440),週次_媒体別CP!N440,0)</f>
        <v>0</v>
      </c>
    </row>
    <row r="541" customFormat="false" ht="15" hidden="false" customHeight="false" outlineLevel="0" collapsed="false">
      <c r="A541" s="72" t="s">
        <v>144</v>
      </c>
      <c r="B541" s="75" t="n">
        <f aca="false">IF(ISNUMBER(週次_媒体別CP!N48),週次_媒体別CP!N48,0)</f>
        <v>0</v>
      </c>
      <c r="C541" s="75" t="n">
        <f aca="false">IF(ISNUMBER(週次_媒体別CP!N104),週次_媒体別CP!N104,0)</f>
        <v>0</v>
      </c>
      <c r="D541" s="75" t="n">
        <f aca="false">IF(ISNUMBER(週次_媒体別CP!N160),週次_媒体別CP!N160,0)</f>
        <v>0</v>
      </c>
      <c r="E541" s="75" t="n">
        <f aca="false">IF(ISNUMBER(週次_媒体別CP!N216),週次_媒体別CP!N216,0)</f>
        <v>0</v>
      </c>
      <c r="F541" s="75" t="n">
        <f aca="false">IF(ISNUMBER(週次_媒体別CP!N272),週次_媒体別CP!N272,0)</f>
        <v>0</v>
      </c>
      <c r="G541" s="75" t="n">
        <f aca="false">IF(ISNUMBER(週次_媒体別CP!N328),週次_媒体別CP!N328,0)</f>
        <v>0</v>
      </c>
      <c r="H541" s="75" t="n">
        <f aca="false">IF(ISNUMBER(週次_媒体別CP!N384),週次_媒体別CP!N384,0)</f>
        <v>0</v>
      </c>
      <c r="I541" s="75" t="n">
        <f aca="false">IF(ISNUMBER(週次_媒体別CP!N441),週次_媒体別CP!N441,0)</f>
        <v>0</v>
      </c>
    </row>
    <row r="542" customFormat="false" ht="15" hidden="false" customHeight="false" outlineLevel="0" collapsed="false">
      <c r="A542" s="72" t="s">
        <v>146</v>
      </c>
      <c r="B542" s="75" t="n">
        <f aca="false">IF(ISNUMBER(週次_媒体別CP!N49),週次_媒体別CP!N49,0)</f>
        <v>0</v>
      </c>
      <c r="C542" s="75" t="n">
        <f aca="false">IF(ISNUMBER(週次_媒体別CP!N105),週次_媒体別CP!N105,0)</f>
        <v>0</v>
      </c>
      <c r="D542" s="75" t="n">
        <f aca="false">IF(ISNUMBER(週次_媒体別CP!N161),週次_媒体別CP!N161,0)</f>
        <v>0</v>
      </c>
      <c r="E542" s="75" t="n">
        <f aca="false">IF(ISNUMBER(週次_媒体別CP!N217),週次_媒体別CP!N217,0)</f>
        <v>0</v>
      </c>
      <c r="F542" s="75" t="n">
        <f aca="false">IF(ISNUMBER(週次_媒体別CP!N273),週次_媒体別CP!N273,0)</f>
        <v>0</v>
      </c>
      <c r="G542" s="75" t="n">
        <f aca="false">IF(ISNUMBER(週次_媒体別CP!N329),週次_媒体別CP!N329,0)</f>
        <v>0</v>
      </c>
      <c r="H542" s="75" t="n">
        <f aca="false">IF(ISNUMBER(週次_媒体別CP!N385),週次_媒体別CP!N385,0)</f>
        <v>0</v>
      </c>
      <c r="I542" s="75" t="n">
        <f aca="false">IF(ISNUMBER(週次_媒体別CP!N442),週次_媒体別CP!N442,0)</f>
        <v>0</v>
      </c>
    </row>
    <row r="543" customFormat="false" ht="15" hidden="false" customHeight="false" outlineLevel="0" collapsed="false">
      <c r="A543" s="72" t="s">
        <v>148</v>
      </c>
      <c r="B543" s="75" t="n">
        <f aca="false">IF(ISNUMBER(週次_媒体別CP!N50),週次_媒体別CP!N50,0)</f>
        <v>0</v>
      </c>
      <c r="C543" s="75" t="n">
        <f aca="false">IF(ISNUMBER(週次_媒体別CP!N106),週次_媒体別CP!N106,0)</f>
        <v>0</v>
      </c>
      <c r="D543" s="75" t="n">
        <f aca="false">IF(ISNUMBER(週次_媒体別CP!N162),週次_媒体別CP!N162,0)</f>
        <v>0</v>
      </c>
      <c r="E543" s="75" t="n">
        <f aca="false">IF(ISNUMBER(週次_媒体別CP!N218),週次_媒体別CP!N218,0)</f>
        <v>0</v>
      </c>
      <c r="F543" s="75" t="n">
        <f aca="false">IF(ISNUMBER(週次_媒体別CP!N274),週次_媒体別CP!N274,0)</f>
        <v>0</v>
      </c>
      <c r="G543" s="75" t="n">
        <f aca="false">IF(ISNUMBER(週次_媒体別CP!N330),週次_媒体別CP!N330,0)</f>
        <v>0</v>
      </c>
      <c r="H543" s="75" t="n">
        <f aca="false">IF(ISNUMBER(週次_媒体別CP!N386),週次_媒体別CP!N386,0)</f>
        <v>0</v>
      </c>
      <c r="I543" s="75" t="n">
        <f aca="false">IF(ISNUMBER(週次_媒体別CP!N443),週次_媒体別CP!N443,0)</f>
        <v>0</v>
      </c>
    </row>
    <row r="544" customFormat="false" ht="15" hidden="false" customHeight="false" outlineLevel="0" collapsed="false">
      <c r="A544" s="72" t="s">
        <v>150</v>
      </c>
      <c r="B544" s="75" t="n">
        <f aca="false">IF(ISNUMBER(週次_媒体別CP!N51),週次_媒体別CP!N51,0)</f>
        <v>0</v>
      </c>
      <c r="C544" s="75" t="n">
        <f aca="false">IF(ISNUMBER(週次_媒体別CP!N107),週次_媒体別CP!N107,0)</f>
        <v>0</v>
      </c>
      <c r="D544" s="75" t="n">
        <f aca="false">IF(ISNUMBER(週次_媒体別CP!N163),週次_媒体別CP!N163,0)</f>
        <v>0</v>
      </c>
      <c r="E544" s="75" t="n">
        <f aca="false">IF(ISNUMBER(週次_媒体別CP!N219),週次_媒体別CP!N219,0)</f>
        <v>0</v>
      </c>
      <c r="F544" s="75" t="n">
        <f aca="false">IF(ISNUMBER(週次_媒体別CP!N275),週次_媒体別CP!N275,0)</f>
        <v>0</v>
      </c>
      <c r="G544" s="75" t="n">
        <f aca="false">IF(ISNUMBER(週次_媒体別CP!N331),週次_媒体別CP!N331,0)</f>
        <v>0</v>
      </c>
      <c r="H544" s="75" t="n">
        <f aca="false">IF(ISNUMBER(週次_媒体別CP!N387),週次_媒体別CP!N387,0)</f>
        <v>0</v>
      </c>
      <c r="I544" s="75" t="n">
        <f aca="false">IF(ISNUMBER(週次_媒体別CP!N444),週次_媒体別CP!N444,0)</f>
        <v>0</v>
      </c>
    </row>
    <row r="545" customFormat="false" ht="15" hidden="false" customHeight="false" outlineLevel="0" collapsed="false">
      <c r="A545" s="72" t="s">
        <v>152</v>
      </c>
      <c r="B545" s="75" t="n">
        <f aca="false">IF(ISNUMBER(週次_媒体別CP!N52),週次_媒体別CP!N52,0)</f>
        <v>0</v>
      </c>
      <c r="C545" s="75" t="n">
        <f aca="false">IF(ISNUMBER(週次_媒体別CP!N108),週次_媒体別CP!N108,0)</f>
        <v>0</v>
      </c>
      <c r="D545" s="75" t="n">
        <f aca="false">IF(ISNUMBER(週次_媒体別CP!N164),週次_媒体別CP!N164,0)</f>
        <v>0</v>
      </c>
      <c r="E545" s="75" t="n">
        <f aca="false">IF(ISNUMBER(週次_媒体別CP!N220),週次_媒体別CP!N220,0)</f>
        <v>0</v>
      </c>
      <c r="F545" s="75" t="n">
        <f aca="false">IF(ISNUMBER(週次_媒体別CP!N276),週次_媒体別CP!N276,0)</f>
        <v>0</v>
      </c>
      <c r="G545" s="75" t="n">
        <f aca="false">IF(ISNUMBER(週次_媒体別CP!N332),週次_媒体別CP!N332,0)</f>
        <v>0</v>
      </c>
      <c r="H545" s="75" t="n">
        <f aca="false">IF(ISNUMBER(週次_媒体別CP!N388),週次_媒体別CP!N388,0)</f>
        <v>0</v>
      </c>
      <c r="I545" s="75" t="n">
        <f aca="false">IF(ISNUMBER(週次_媒体別CP!N445),週次_媒体別CP!N445,0)</f>
        <v>0</v>
      </c>
    </row>
    <row r="546" customFormat="false" ht="15" hidden="false" customHeight="false" outlineLevel="0" collapsed="false">
      <c r="A546" s="72" t="s">
        <v>154</v>
      </c>
      <c r="B546" s="75" t="n">
        <f aca="false">IF(ISNUMBER(週次_媒体別CP!N53),週次_媒体別CP!N53,0)</f>
        <v>0</v>
      </c>
      <c r="C546" s="75" t="n">
        <f aca="false">IF(ISNUMBER(週次_媒体別CP!N109),週次_媒体別CP!N109,0)</f>
        <v>0</v>
      </c>
      <c r="D546" s="75" t="n">
        <f aca="false">IF(ISNUMBER(週次_媒体別CP!N165),週次_媒体別CP!N165,0)</f>
        <v>0</v>
      </c>
      <c r="E546" s="75" t="n">
        <f aca="false">IF(ISNUMBER(週次_媒体別CP!N221),週次_媒体別CP!N221,0)</f>
        <v>0</v>
      </c>
      <c r="F546" s="75" t="n">
        <f aca="false">IF(ISNUMBER(週次_媒体別CP!N277),週次_媒体別CP!N277,0)</f>
        <v>0</v>
      </c>
      <c r="G546" s="75" t="n">
        <f aca="false">IF(ISNUMBER(週次_媒体別CP!N333),週次_媒体別CP!N333,0)</f>
        <v>0</v>
      </c>
      <c r="H546" s="75" t="n">
        <f aca="false">IF(ISNUMBER(週次_媒体別CP!N389),週次_媒体別CP!N389,0)</f>
        <v>0</v>
      </c>
      <c r="I546" s="75" t="n">
        <f aca="false">IF(ISNUMBER(週次_媒体別CP!N446),週次_媒体別CP!N446,0)</f>
        <v>0</v>
      </c>
    </row>
    <row r="547" customFormat="false" ht="15" hidden="false" customHeight="false" outlineLevel="0" collapsed="false">
      <c r="A547" s="72" t="s">
        <v>156</v>
      </c>
      <c r="B547" s="75" t="n">
        <f aca="false">IF(ISNUMBER(週次_媒体別CP!N54),週次_媒体別CP!N54,0)</f>
        <v>0</v>
      </c>
      <c r="C547" s="75" t="n">
        <f aca="false">IF(ISNUMBER(週次_媒体別CP!N110),週次_媒体別CP!N110,0)</f>
        <v>0</v>
      </c>
      <c r="D547" s="75" t="n">
        <f aca="false">IF(ISNUMBER(週次_媒体別CP!N166),週次_媒体別CP!N166,0)</f>
        <v>0</v>
      </c>
      <c r="E547" s="75" t="n">
        <f aca="false">IF(ISNUMBER(週次_媒体別CP!N222),週次_媒体別CP!N222,0)</f>
        <v>0</v>
      </c>
      <c r="F547" s="75" t="n">
        <f aca="false">IF(ISNUMBER(週次_媒体別CP!N278),週次_媒体別CP!N278,0)</f>
        <v>0</v>
      </c>
      <c r="G547" s="75" t="n">
        <f aca="false">IF(ISNUMBER(週次_媒体別CP!N334),週次_媒体別CP!N334,0)</f>
        <v>0</v>
      </c>
      <c r="H547" s="75" t="n">
        <f aca="false">IF(ISNUMBER(週次_媒体別CP!N390),週次_媒体別CP!N390,0)</f>
        <v>0</v>
      </c>
      <c r="I547" s="75" t="n">
        <f aca="false">IF(ISNUMBER(週次_媒体別CP!N447),週次_媒体別CP!N447,0)</f>
        <v>0</v>
      </c>
    </row>
    <row r="548" customFormat="false" ht="15" hidden="false" customHeight="false" outlineLevel="0" collapsed="false">
      <c r="A548" s="72" t="s">
        <v>158</v>
      </c>
      <c r="B548" s="75" t="n">
        <f aca="false">IF(ISNUMBER(週次_媒体別CP!N55),週次_媒体別CP!N55,0)</f>
        <v>0</v>
      </c>
      <c r="C548" s="75" t="n">
        <f aca="false">IF(ISNUMBER(週次_媒体別CP!N111),週次_媒体別CP!N111,0)</f>
        <v>0</v>
      </c>
      <c r="D548" s="75" t="n">
        <f aca="false">IF(ISNUMBER(週次_媒体別CP!N167),週次_媒体別CP!N167,0)</f>
        <v>0</v>
      </c>
      <c r="E548" s="75" t="n">
        <f aca="false">IF(ISNUMBER(週次_媒体別CP!N223),週次_媒体別CP!N223,0)</f>
        <v>0</v>
      </c>
      <c r="F548" s="75" t="n">
        <f aca="false">IF(ISNUMBER(週次_媒体別CP!N279),週次_媒体別CP!N279,0)</f>
        <v>0</v>
      </c>
      <c r="G548" s="75" t="n">
        <f aca="false">IF(ISNUMBER(週次_媒体別CP!N335),週次_媒体別CP!N335,0)</f>
        <v>0</v>
      </c>
      <c r="H548" s="75" t="n">
        <f aca="false">IF(ISNUMBER(週次_媒体別CP!N391),週次_媒体別CP!N391,0)</f>
        <v>0</v>
      </c>
      <c r="I548" s="75" t="n">
        <f aca="false">IF(ISNUMBER(週次_媒体別CP!N448),週次_媒体別CP!N448,0)</f>
        <v>0</v>
      </c>
    </row>
    <row r="549" customFormat="false" ht="15" hidden="false" customHeight="false" outlineLevel="0" collapsed="false">
      <c r="A549" s="72" t="s">
        <v>160</v>
      </c>
      <c r="B549" s="75" t="n">
        <f aca="false">IF(ISNUMBER(週次_媒体別CP!N56),週次_媒体別CP!N56,0)</f>
        <v>0</v>
      </c>
      <c r="C549" s="75" t="n">
        <f aca="false">IF(ISNUMBER(週次_媒体別CP!N112),週次_媒体別CP!N112,0)</f>
        <v>0</v>
      </c>
      <c r="D549" s="75" t="n">
        <f aca="false">IF(ISNUMBER(週次_媒体別CP!N168),週次_媒体別CP!N168,0)</f>
        <v>0</v>
      </c>
      <c r="E549" s="75" t="n">
        <f aca="false">IF(ISNUMBER(週次_媒体別CP!N224),週次_媒体別CP!N224,0)</f>
        <v>0</v>
      </c>
      <c r="F549" s="75" t="n">
        <f aca="false">IF(ISNUMBER(週次_媒体別CP!N280),週次_媒体別CP!N280,0)</f>
        <v>0</v>
      </c>
      <c r="G549" s="75" t="n">
        <f aca="false">IF(ISNUMBER(週次_媒体別CP!N336),週次_媒体別CP!N336,0)</f>
        <v>0</v>
      </c>
      <c r="H549" s="75" t="n">
        <f aca="false">IF(ISNUMBER(週次_媒体別CP!N392),週次_媒体別CP!N392,0)</f>
        <v>0</v>
      </c>
      <c r="I549" s="75" t="n">
        <f aca="false">IF(ISNUMBER(週次_媒体別CP!N449),週次_媒体別CP!N449,0)</f>
        <v>0</v>
      </c>
    </row>
    <row r="550" customFormat="false" ht="15" hidden="false" customHeight="false" outlineLevel="0" collapsed="false">
      <c r="A550" s="72" t="s">
        <v>162</v>
      </c>
      <c r="B550" s="75" t="n">
        <f aca="false">IF(ISNUMBER(週次_媒体別CP!N57),週次_媒体別CP!N57,0)</f>
        <v>0</v>
      </c>
      <c r="C550" s="75" t="n">
        <f aca="false">IF(ISNUMBER(週次_媒体別CP!N113),週次_媒体別CP!N113,0)</f>
        <v>0</v>
      </c>
      <c r="D550" s="75" t="n">
        <f aca="false">IF(ISNUMBER(週次_媒体別CP!N169),週次_媒体別CP!N169,0)</f>
        <v>0</v>
      </c>
      <c r="E550" s="75" t="n">
        <f aca="false">IF(ISNUMBER(週次_媒体別CP!N225),週次_媒体別CP!N225,0)</f>
        <v>0</v>
      </c>
      <c r="F550" s="75" t="n">
        <f aca="false">IF(ISNUMBER(週次_媒体別CP!N281),週次_媒体別CP!N281,0)</f>
        <v>0</v>
      </c>
      <c r="G550" s="75" t="n">
        <f aca="false">IF(ISNUMBER(週次_媒体別CP!N337),週次_媒体別CP!N337,0)</f>
        <v>0</v>
      </c>
      <c r="H550" s="75" t="n">
        <f aca="false">IF(ISNUMBER(週次_媒体別CP!N393),週次_媒体別CP!N393,0)</f>
        <v>0</v>
      </c>
      <c r="I550" s="75" t="n">
        <f aca="false">IF(ISNUMBER(週次_媒体別CP!N450),週次_媒体別CP!N450,0)</f>
        <v>0</v>
      </c>
    </row>
    <row r="552" customFormat="false" ht="15" hidden="false" customHeight="false" outlineLevel="0" collapsed="false">
      <c r="A552" s="69" t="s">
        <v>23</v>
      </c>
    </row>
    <row r="553" customFormat="false" ht="37.3" hidden="false" customHeight="false" outlineLevel="0" collapsed="false">
      <c r="A553" s="70" t="s">
        <v>48</v>
      </c>
      <c r="B553" s="71" t="s">
        <v>243</v>
      </c>
      <c r="C553" s="71" t="s">
        <v>244</v>
      </c>
      <c r="D553" s="71" t="s">
        <v>245</v>
      </c>
      <c r="E553" s="71" t="s">
        <v>246</v>
      </c>
      <c r="F553" s="71" t="s">
        <v>247</v>
      </c>
      <c r="G553" s="71" t="s">
        <v>248</v>
      </c>
      <c r="H553" s="71" t="s">
        <v>249</v>
      </c>
      <c r="I553" s="77" t="s">
        <v>251</v>
      </c>
    </row>
    <row r="554" customFormat="false" ht="15" hidden="false" customHeight="false" outlineLevel="0" collapsed="false">
      <c r="A554" s="72" t="s">
        <v>59</v>
      </c>
      <c r="B554" s="76" t="n">
        <f aca="false">IF(ISNUMBER(週次_媒体別CP!O6),週次_媒体別CP!O6,0)</f>
        <v>0</v>
      </c>
      <c r="C554" s="76" t="n">
        <f aca="false">IF(ISNUMBER(週次_媒体別CP!O62),週次_媒体別CP!O62,0)</f>
        <v>0</v>
      </c>
      <c r="D554" s="76" t="n">
        <f aca="false">IF(ISNUMBER(週次_媒体別CP!O118),週次_媒体別CP!O118,0)</f>
        <v>0</v>
      </c>
      <c r="E554" s="76" t="n">
        <f aca="false">IF(ISNUMBER(週次_媒体別CP!O174),週次_媒体別CP!O174,0)</f>
        <v>0</v>
      </c>
      <c r="F554" s="76" t="n">
        <f aca="false">IF(ISNUMBER(週次_媒体別CP!O230),週次_媒体別CP!O230,0)</f>
        <v>0</v>
      </c>
      <c r="G554" s="76" t="n">
        <f aca="false">IF(ISNUMBER(週次_媒体別CP!O286),週次_媒体別CP!O286,0)</f>
        <v>0</v>
      </c>
      <c r="H554" s="76" t="n">
        <f aca="false">IF(ISNUMBER(週次_媒体別CP!O342),週次_媒体別CP!O342,0)</f>
        <v>0</v>
      </c>
      <c r="I554" s="76" t="n">
        <f aca="false">IF(ISNUMBER(週次_媒体別CP!O399),週次_媒体別CP!O399,0)</f>
        <v>0</v>
      </c>
    </row>
    <row r="555" customFormat="false" ht="15" hidden="false" customHeight="false" outlineLevel="0" collapsed="false">
      <c r="A555" s="72" t="s">
        <v>61</v>
      </c>
      <c r="B555" s="76" t="n">
        <f aca="false">IF(ISNUMBER(週次_媒体別CP!O7),週次_媒体別CP!O7,0)</f>
        <v>0</v>
      </c>
      <c r="C555" s="76" t="n">
        <f aca="false">IF(ISNUMBER(週次_媒体別CP!O63),週次_媒体別CP!O63,0)</f>
        <v>0</v>
      </c>
      <c r="D555" s="76" t="n">
        <f aca="false">IF(ISNUMBER(週次_媒体別CP!O119),週次_媒体別CP!O119,0)</f>
        <v>0</v>
      </c>
      <c r="E555" s="76" t="n">
        <f aca="false">IF(ISNUMBER(週次_媒体別CP!O175),週次_媒体別CP!O175,0)</f>
        <v>0</v>
      </c>
      <c r="F555" s="76" t="n">
        <f aca="false">IF(ISNUMBER(週次_媒体別CP!O231),週次_媒体別CP!O231,0)</f>
        <v>0</v>
      </c>
      <c r="G555" s="76" t="n">
        <f aca="false">IF(ISNUMBER(週次_媒体別CP!O287),週次_媒体別CP!O287,0)</f>
        <v>0</v>
      </c>
      <c r="H555" s="76" t="n">
        <f aca="false">IF(ISNUMBER(週次_媒体別CP!O343),週次_媒体別CP!O343,0)</f>
        <v>0</v>
      </c>
      <c r="I555" s="76" t="n">
        <f aca="false">IF(ISNUMBER(週次_媒体別CP!O400),週次_媒体別CP!O400,0)</f>
        <v>0</v>
      </c>
    </row>
    <row r="556" customFormat="false" ht="15" hidden="false" customHeight="false" outlineLevel="0" collapsed="false">
      <c r="A556" s="72" t="s">
        <v>63</v>
      </c>
      <c r="B556" s="76" t="n">
        <f aca="false">IF(ISNUMBER(週次_媒体別CP!O8),週次_媒体別CP!O8,0)</f>
        <v>0</v>
      </c>
      <c r="C556" s="76" t="n">
        <f aca="false">IF(ISNUMBER(週次_媒体別CP!O64),週次_媒体別CP!O64,0)</f>
        <v>0</v>
      </c>
      <c r="D556" s="76" t="n">
        <f aca="false">IF(ISNUMBER(週次_媒体別CP!O120),週次_媒体別CP!O120,0)</f>
        <v>0</v>
      </c>
      <c r="E556" s="76" t="n">
        <f aca="false">IF(ISNUMBER(週次_媒体別CP!O176),週次_媒体別CP!O176,0)</f>
        <v>0</v>
      </c>
      <c r="F556" s="76" t="n">
        <f aca="false">IF(ISNUMBER(週次_媒体別CP!O232),週次_媒体別CP!O232,0)</f>
        <v>0</v>
      </c>
      <c r="G556" s="76" t="n">
        <f aca="false">IF(ISNUMBER(週次_媒体別CP!O288),週次_媒体別CP!O288,0)</f>
        <v>0</v>
      </c>
      <c r="H556" s="76" t="n">
        <f aca="false">IF(ISNUMBER(週次_媒体別CP!O344),週次_媒体別CP!O344,0)</f>
        <v>0</v>
      </c>
      <c r="I556" s="76" t="n">
        <f aca="false">IF(ISNUMBER(週次_媒体別CP!O401),週次_媒体別CP!O401,0)</f>
        <v>0</v>
      </c>
    </row>
    <row r="557" customFormat="false" ht="15" hidden="false" customHeight="false" outlineLevel="0" collapsed="false">
      <c r="A557" s="72" t="s">
        <v>65</v>
      </c>
      <c r="B557" s="76" t="n">
        <f aca="false">IF(ISNUMBER(週次_媒体別CP!O9),週次_媒体別CP!O9,0)</f>
        <v>0</v>
      </c>
      <c r="C557" s="76" t="n">
        <f aca="false">IF(ISNUMBER(週次_媒体別CP!O65),週次_媒体別CP!O65,0)</f>
        <v>0</v>
      </c>
      <c r="D557" s="76" t="n">
        <f aca="false">IF(ISNUMBER(週次_媒体別CP!O121),週次_媒体別CP!O121,0)</f>
        <v>0</v>
      </c>
      <c r="E557" s="76" t="n">
        <f aca="false">IF(ISNUMBER(週次_媒体別CP!O177),週次_媒体別CP!O177,0)</f>
        <v>0</v>
      </c>
      <c r="F557" s="76" t="n">
        <f aca="false">IF(ISNUMBER(週次_媒体別CP!O233),週次_媒体別CP!O233,0)</f>
        <v>0</v>
      </c>
      <c r="G557" s="76" t="n">
        <f aca="false">IF(ISNUMBER(週次_媒体別CP!O289),週次_媒体別CP!O289,0)</f>
        <v>0</v>
      </c>
      <c r="H557" s="76" t="n">
        <f aca="false">IF(ISNUMBER(週次_媒体別CP!O345),週次_媒体別CP!O345,0)</f>
        <v>0</v>
      </c>
      <c r="I557" s="76" t="n">
        <f aca="false">IF(ISNUMBER(週次_媒体別CP!O402),週次_媒体別CP!O402,0)</f>
        <v>0</v>
      </c>
    </row>
    <row r="558" customFormat="false" ht="15" hidden="false" customHeight="false" outlineLevel="0" collapsed="false">
      <c r="A558" s="72" t="s">
        <v>68</v>
      </c>
      <c r="B558" s="76" t="n">
        <f aca="false">IF(ISNUMBER(週次_媒体別CP!O10),週次_媒体別CP!O10,0)</f>
        <v>0</v>
      </c>
      <c r="C558" s="76" t="n">
        <f aca="false">IF(ISNUMBER(週次_媒体別CP!O66),週次_媒体別CP!O66,0)</f>
        <v>0</v>
      </c>
      <c r="D558" s="76" t="n">
        <f aca="false">IF(ISNUMBER(週次_媒体別CP!O122),週次_媒体別CP!O122,0)</f>
        <v>0</v>
      </c>
      <c r="E558" s="76" t="n">
        <f aca="false">IF(ISNUMBER(週次_媒体別CP!O178),週次_媒体別CP!O178,0)</f>
        <v>0</v>
      </c>
      <c r="F558" s="76" t="n">
        <f aca="false">IF(ISNUMBER(週次_媒体別CP!O234),週次_媒体別CP!O234,0)</f>
        <v>0</v>
      </c>
      <c r="G558" s="76" t="n">
        <f aca="false">IF(ISNUMBER(週次_媒体別CP!O290),週次_媒体別CP!O290,0)</f>
        <v>0</v>
      </c>
      <c r="H558" s="76" t="n">
        <f aca="false">IF(ISNUMBER(週次_媒体別CP!O346),週次_媒体別CP!O346,0)</f>
        <v>0</v>
      </c>
      <c r="I558" s="76" t="n">
        <f aca="false">IF(ISNUMBER(週次_媒体別CP!O403),週次_媒体別CP!O403,0)</f>
        <v>0</v>
      </c>
    </row>
    <row r="559" customFormat="false" ht="15" hidden="false" customHeight="false" outlineLevel="0" collapsed="false">
      <c r="A559" s="72" t="s">
        <v>70</v>
      </c>
      <c r="B559" s="76" t="n">
        <f aca="false">IF(ISNUMBER(週次_媒体別CP!O11),週次_媒体別CP!O11,0)</f>
        <v>0</v>
      </c>
      <c r="C559" s="76" t="n">
        <f aca="false">IF(ISNUMBER(週次_媒体別CP!O67),週次_媒体別CP!O67,0)</f>
        <v>0</v>
      </c>
      <c r="D559" s="76" t="n">
        <f aca="false">IF(ISNUMBER(週次_媒体別CP!O123),週次_媒体別CP!O123,0)</f>
        <v>0</v>
      </c>
      <c r="E559" s="76" t="n">
        <f aca="false">IF(ISNUMBER(週次_媒体別CP!O179),週次_媒体別CP!O179,0)</f>
        <v>0</v>
      </c>
      <c r="F559" s="76" t="n">
        <f aca="false">IF(ISNUMBER(週次_媒体別CP!O235),週次_媒体別CP!O235,0)</f>
        <v>0</v>
      </c>
      <c r="G559" s="76" t="n">
        <f aca="false">IF(ISNUMBER(週次_媒体別CP!O291),週次_媒体別CP!O291,0)</f>
        <v>0</v>
      </c>
      <c r="H559" s="76" t="n">
        <f aca="false">IF(ISNUMBER(週次_媒体別CP!O347),週次_媒体別CP!O347,0)</f>
        <v>0</v>
      </c>
      <c r="I559" s="76" t="n">
        <f aca="false">IF(ISNUMBER(週次_媒体別CP!O404),週次_媒体別CP!O404,0)</f>
        <v>0</v>
      </c>
    </row>
    <row r="560" customFormat="false" ht="15" hidden="false" customHeight="false" outlineLevel="0" collapsed="false">
      <c r="A560" s="72" t="s">
        <v>72</v>
      </c>
      <c r="B560" s="76" t="n">
        <f aca="false">IF(ISNUMBER(週次_媒体別CP!O12),週次_媒体別CP!O12,0)</f>
        <v>0</v>
      </c>
      <c r="C560" s="76" t="n">
        <f aca="false">IF(ISNUMBER(週次_媒体別CP!O68),週次_媒体別CP!O68,0)</f>
        <v>0.5</v>
      </c>
      <c r="D560" s="76" t="n">
        <f aca="false">IF(ISNUMBER(週次_媒体別CP!O124),週次_媒体別CP!O124,0)</f>
        <v>0</v>
      </c>
      <c r="E560" s="76" t="n">
        <f aca="false">IF(ISNUMBER(週次_媒体別CP!O180),週次_媒体別CP!O180,0)</f>
        <v>0</v>
      </c>
      <c r="F560" s="76" t="n">
        <f aca="false">IF(ISNUMBER(週次_媒体別CP!O236),週次_媒体別CP!O236,0)</f>
        <v>0</v>
      </c>
      <c r="G560" s="76" t="n">
        <f aca="false">IF(ISNUMBER(週次_媒体別CP!O292),週次_媒体別CP!O292,0)</f>
        <v>0</v>
      </c>
      <c r="H560" s="76" t="n">
        <f aca="false">IF(ISNUMBER(週次_媒体別CP!O348),週次_媒体別CP!O348,0)</f>
        <v>0</v>
      </c>
      <c r="I560" s="76" t="n">
        <f aca="false">IF(ISNUMBER(週次_媒体別CP!O405),週次_媒体別CP!O405,0)</f>
        <v>0</v>
      </c>
    </row>
    <row r="561" customFormat="false" ht="15" hidden="false" customHeight="false" outlineLevel="0" collapsed="false">
      <c r="A561" s="72" t="s">
        <v>74</v>
      </c>
      <c r="B561" s="76" t="n">
        <f aca="false">IF(ISNUMBER(週次_媒体別CP!O13),週次_媒体別CP!O13,0)</f>
        <v>0</v>
      </c>
      <c r="C561" s="76" t="n">
        <f aca="false">IF(ISNUMBER(週次_媒体別CP!O69),週次_媒体別CP!O69,0)</f>
        <v>0</v>
      </c>
      <c r="D561" s="76" t="n">
        <f aca="false">IF(ISNUMBER(週次_媒体別CP!O125),週次_媒体別CP!O125,0)</f>
        <v>0</v>
      </c>
      <c r="E561" s="76" t="n">
        <f aca="false">IF(ISNUMBER(週次_媒体別CP!O181),週次_媒体別CP!O181,0)</f>
        <v>0</v>
      </c>
      <c r="F561" s="76" t="n">
        <f aca="false">IF(ISNUMBER(週次_媒体別CP!O237),週次_媒体別CP!O237,0)</f>
        <v>0</v>
      </c>
      <c r="G561" s="76" t="n">
        <f aca="false">IF(ISNUMBER(週次_媒体別CP!O293),週次_媒体別CP!O293,0)</f>
        <v>0</v>
      </c>
      <c r="H561" s="76" t="n">
        <f aca="false">IF(ISNUMBER(週次_媒体別CP!O349),週次_媒体別CP!O349,0)</f>
        <v>0</v>
      </c>
      <c r="I561" s="76" t="n">
        <f aca="false">IF(ISNUMBER(週次_媒体別CP!O406),週次_媒体別CP!O406,0)</f>
        <v>0</v>
      </c>
    </row>
    <row r="562" customFormat="false" ht="15" hidden="false" customHeight="false" outlineLevel="0" collapsed="false">
      <c r="A562" s="72" t="s">
        <v>76</v>
      </c>
      <c r="B562" s="76" t="n">
        <f aca="false">IF(ISNUMBER(週次_媒体別CP!O14),週次_媒体別CP!O14,0)</f>
        <v>0</v>
      </c>
      <c r="C562" s="76" t="n">
        <f aca="false">IF(ISNUMBER(週次_媒体別CP!O70),週次_媒体別CP!O70,0)</f>
        <v>0</v>
      </c>
      <c r="D562" s="76" t="n">
        <f aca="false">IF(ISNUMBER(週次_媒体別CP!O126),週次_媒体別CP!O126,0)</f>
        <v>0</v>
      </c>
      <c r="E562" s="76" t="n">
        <f aca="false">IF(ISNUMBER(週次_媒体別CP!O182),週次_媒体別CP!O182,0)</f>
        <v>0</v>
      </c>
      <c r="F562" s="76" t="n">
        <f aca="false">IF(ISNUMBER(週次_媒体別CP!O238),週次_媒体別CP!O238,0)</f>
        <v>0</v>
      </c>
      <c r="G562" s="76" t="n">
        <f aca="false">IF(ISNUMBER(週次_媒体別CP!O294),週次_媒体別CP!O294,0)</f>
        <v>0</v>
      </c>
      <c r="H562" s="76" t="n">
        <f aca="false">IF(ISNUMBER(週次_媒体別CP!O350),週次_媒体別CP!O350,0)</f>
        <v>0</v>
      </c>
      <c r="I562" s="76" t="n">
        <f aca="false">IF(ISNUMBER(週次_媒体別CP!O407),週次_媒体別CP!O407,0)</f>
        <v>0</v>
      </c>
    </row>
    <row r="563" customFormat="false" ht="15" hidden="false" customHeight="false" outlineLevel="0" collapsed="false">
      <c r="A563" s="72" t="s">
        <v>78</v>
      </c>
      <c r="B563" s="76" t="n">
        <f aca="false">IF(ISNUMBER(週次_媒体別CP!O15),週次_媒体別CP!O15,0)</f>
        <v>0</v>
      </c>
      <c r="C563" s="76" t="n">
        <f aca="false">IF(ISNUMBER(週次_媒体別CP!O71),週次_媒体別CP!O71,0)</f>
        <v>0</v>
      </c>
      <c r="D563" s="76" t="n">
        <f aca="false">IF(ISNUMBER(週次_媒体別CP!O127),週次_媒体別CP!O127,0)</f>
        <v>0</v>
      </c>
      <c r="E563" s="76" t="n">
        <f aca="false">IF(ISNUMBER(週次_媒体別CP!O183),週次_媒体別CP!O183,0)</f>
        <v>0</v>
      </c>
      <c r="F563" s="76" t="n">
        <f aca="false">IF(ISNUMBER(週次_媒体別CP!O239),週次_媒体別CP!O239,0)</f>
        <v>0</v>
      </c>
      <c r="G563" s="76" t="n">
        <f aca="false">IF(ISNUMBER(週次_媒体別CP!O295),週次_媒体別CP!O295,0)</f>
        <v>0</v>
      </c>
      <c r="H563" s="76" t="n">
        <f aca="false">IF(ISNUMBER(週次_媒体別CP!O351),週次_媒体別CP!O351,0)</f>
        <v>0</v>
      </c>
      <c r="I563" s="76" t="n">
        <f aca="false">IF(ISNUMBER(週次_媒体別CP!O408),週次_媒体別CP!O408,0)</f>
        <v>0</v>
      </c>
    </row>
    <row r="564" customFormat="false" ht="15" hidden="false" customHeight="false" outlineLevel="0" collapsed="false">
      <c r="A564" s="72" t="s">
        <v>80</v>
      </c>
      <c r="B564" s="76" t="n">
        <f aca="false">IF(ISNUMBER(週次_媒体別CP!O16),週次_媒体別CP!O16,0)</f>
        <v>0</v>
      </c>
      <c r="C564" s="76" t="n">
        <f aca="false">IF(ISNUMBER(週次_媒体別CP!O72),週次_媒体別CP!O72,0)</f>
        <v>0</v>
      </c>
      <c r="D564" s="76" t="n">
        <f aca="false">IF(ISNUMBER(週次_媒体別CP!O128),週次_媒体別CP!O128,0)</f>
        <v>0</v>
      </c>
      <c r="E564" s="76" t="n">
        <f aca="false">IF(ISNUMBER(週次_媒体別CP!O184),週次_媒体別CP!O184,0)</f>
        <v>0</v>
      </c>
      <c r="F564" s="76" t="n">
        <f aca="false">IF(ISNUMBER(週次_媒体別CP!O240),週次_媒体別CP!O240,0)</f>
        <v>0</v>
      </c>
      <c r="G564" s="76" t="n">
        <f aca="false">IF(ISNUMBER(週次_媒体別CP!O296),週次_媒体別CP!O296,0)</f>
        <v>0</v>
      </c>
      <c r="H564" s="76" t="n">
        <f aca="false">IF(ISNUMBER(週次_媒体別CP!O352),週次_媒体別CP!O352,0)</f>
        <v>0</v>
      </c>
      <c r="I564" s="76" t="n">
        <f aca="false">IF(ISNUMBER(週次_媒体別CP!O409),週次_媒体別CP!O409,0)</f>
        <v>0</v>
      </c>
    </row>
    <row r="565" customFormat="false" ht="15" hidden="false" customHeight="false" outlineLevel="0" collapsed="false">
      <c r="A565" s="72" t="s">
        <v>82</v>
      </c>
      <c r="B565" s="76" t="n">
        <f aca="false">IF(ISNUMBER(週次_媒体別CP!O17),週次_媒体別CP!O17,0)</f>
        <v>0</v>
      </c>
      <c r="C565" s="76" t="n">
        <f aca="false">IF(ISNUMBER(週次_媒体別CP!O73),週次_媒体別CP!O73,0)</f>
        <v>0</v>
      </c>
      <c r="D565" s="76" t="n">
        <f aca="false">IF(ISNUMBER(週次_媒体別CP!O129),週次_媒体別CP!O129,0)</f>
        <v>0</v>
      </c>
      <c r="E565" s="76" t="n">
        <f aca="false">IF(ISNUMBER(週次_媒体別CP!O185),週次_媒体別CP!O185,0)</f>
        <v>0</v>
      </c>
      <c r="F565" s="76" t="n">
        <f aca="false">IF(ISNUMBER(週次_媒体別CP!O241),週次_媒体別CP!O241,0)</f>
        <v>0</v>
      </c>
      <c r="G565" s="76" t="n">
        <f aca="false">IF(ISNUMBER(週次_媒体別CP!O297),週次_媒体別CP!O297,0)</f>
        <v>0</v>
      </c>
      <c r="H565" s="76" t="n">
        <f aca="false">IF(ISNUMBER(週次_媒体別CP!O353),週次_媒体別CP!O353,0)</f>
        <v>0</v>
      </c>
      <c r="I565" s="76" t="n">
        <f aca="false">IF(ISNUMBER(週次_媒体別CP!O410),週次_媒体別CP!O410,0)</f>
        <v>0</v>
      </c>
    </row>
    <row r="566" customFormat="false" ht="15" hidden="false" customHeight="false" outlineLevel="0" collapsed="false">
      <c r="A566" s="72" t="s">
        <v>84</v>
      </c>
      <c r="B566" s="76" t="n">
        <f aca="false">IF(ISNUMBER(週次_媒体別CP!O18),週次_媒体別CP!O18,0)</f>
        <v>0</v>
      </c>
      <c r="C566" s="76" t="n">
        <f aca="false">IF(ISNUMBER(週次_媒体別CP!O74),週次_媒体別CP!O74,0)</f>
        <v>0</v>
      </c>
      <c r="D566" s="76" t="n">
        <f aca="false">IF(ISNUMBER(週次_媒体別CP!O130),週次_媒体別CP!O130,0)</f>
        <v>0</v>
      </c>
      <c r="E566" s="76" t="n">
        <f aca="false">IF(ISNUMBER(週次_媒体別CP!O186),週次_媒体別CP!O186,0)</f>
        <v>0</v>
      </c>
      <c r="F566" s="76" t="n">
        <f aca="false">IF(ISNUMBER(週次_媒体別CP!O242),週次_媒体別CP!O242,0)</f>
        <v>0</v>
      </c>
      <c r="G566" s="76" t="n">
        <f aca="false">IF(ISNUMBER(週次_媒体別CP!O298),週次_媒体別CP!O298,0)</f>
        <v>0</v>
      </c>
      <c r="H566" s="76" t="n">
        <f aca="false">IF(ISNUMBER(週次_媒体別CP!O354),週次_媒体別CP!O354,0)</f>
        <v>0</v>
      </c>
      <c r="I566" s="76" t="n">
        <f aca="false">IF(ISNUMBER(週次_媒体別CP!O411),週次_媒体別CP!O411,0)</f>
        <v>0</v>
      </c>
    </row>
    <row r="567" customFormat="false" ht="15" hidden="false" customHeight="false" outlineLevel="0" collapsed="false">
      <c r="A567" s="72" t="s">
        <v>86</v>
      </c>
      <c r="B567" s="76" t="n">
        <f aca="false">IF(ISNUMBER(週次_媒体別CP!O19),週次_媒体別CP!O19,0)</f>
        <v>0</v>
      </c>
      <c r="C567" s="76" t="n">
        <f aca="false">IF(ISNUMBER(週次_媒体別CP!O75),週次_媒体別CP!O75,0)</f>
        <v>0</v>
      </c>
      <c r="D567" s="76" t="n">
        <f aca="false">IF(ISNUMBER(週次_媒体別CP!O131),週次_媒体別CP!O131,0)</f>
        <v>0</v>
      </c>
      <c r="E567" s="76" t="n">
        <f aca="false">IF(ISNUMBER(週次_媒体別CP!O187),週次_媒体別CP!O187,0)</f>
        <v>0</v>
      </c>
      <c r="F567" s="76" t="n">
        <f aca="false">IF(ISNUMBER(週次_媒体別CP!O243),週次_媒体別CP!O243,0)</f>
        <v>0</v>
      </c>
      <c r="G567" s="76" t="n">
        <f aca="false">IF(ISNUMBER(週次_媒体別CP!O299),週次_媒体別CP!O299,0)</f>
        <v>0</v>
      </c>
      <c r="H567" s="76" t="n">
        <f aca="false">IF(ISNUMBER(週次_媒体別CP!O355),週次_媒体別CP!O355,0)</f>
        <v>0</v>
      </c>
      <c r="I567" s="76" t="n">
        <f aca="false">IF(ISNUMBER(週次_媒体別CP!O412),週次_媒体別CP!O412,0)</f>
        <v>0</v>
      </c>
    </row>
    <row r="568" customFormat="false" ht="15" hidden="false" customHeight="false" outlineLevel="0" collapsed="false">
      <c r="A568" s="72" t="s">
        <v>88</v>
      </c>
      <c r="B568" s="76" t="n">
        <f aca="false">IF(ISNUMBER(週次_媒体別CP!O20),週次_媒体別CP!O20,0)</f>
        <v>0</v>
      </c>
      <c r="C568" s="76" t="n">
        <f aca="false">IF(ISNUMBER(週次_媒体別CP!O76),週次_媒体別CP!O76,0)</f>
        <v>0</v>
      </c>
      <c r="D568" s="76" t="n">
        <f aca="false">IF(ISNUMBER(週次_媒体別CP!O132),週次_媒体別CP!O132,0)</f>
        <v>0</v>
      </c>
      <c r="E568" s="76" t="n">
        <f aca="false">IF(ISNUMBER(週次_媒体別CP!O188),週次_媒体別CP!O188,0)</f>
        <v>0</v>
      </c>
      <c r="F568" s="76" t="n">
        <f aca="false">IF(ISNUMBER(週次_媒体別CP!O244),週次_媒体別CP!O244,0)</f>
        <v>0</v>
      </c>
      <c r="G568" s="76" t="n">
        <f aca="false">IF(ISNUMBER(週次_媒体別CP!O300),週次_媒体別CP!O300,0)</f>
        <v>0</v>
      </c>
      <c r="H568" s="76" t="n">
        <f aca="false">IF(ISNUMBER(週次_媒体別CP!O356),週次_媒体別CP!O356,0)</f>
        <v>0</v>
      </c>
      <c r="I568" s="76" t="n">
        <f aca="false">IF(ISNUMBER(週次_媒体別CP!O413),週次_媒体別CP!O413,0)</f>
        <v>0</v>
      </c>
    </row>
    <row r="569" customFormat="false" ht="15" hidden="false" customHeight="false" outlineLevel="0" collapsed="false">
      <c r="A569" s="72" t="s">
        <v>90</v>
      </c>
      <c r="B569" s="76" t="n">
        <f aca="false">IF(ISNUMBER(週次_媒体別CP!O21),週次_媒体別CP!O21,0)</f>
        <v>0</v>
      </c>
      <c r="C569" s="76" t="n">
        <f aca="false">IF(ISNUMBER(週次_媒体別CP!O77),週次_媒体別CP!O77,0)</f>
        <v>0</v>
      </c>
      <c r="D569" s="76" t="n">
        <f aca="false">IF(ISNUMBER(週次_媒体別CP!O133),週次_媒体別CP!O133,0)</f>
        <v>0</v>
      </c>
      <c r="E569" s="76" t="n">
        <f aca="false">IF(ISNUMBER(週次_媒体別CP!O189),週次_媒体別CP!O189,0)</f>
        <v>0</v>
      </c>
      <c r="F569" s="76" t="n">
        <f aca="false">IF(ISNUMBER(週次_媒体別CP!O245),週次_媒体別CP!O245,0)</f>
        <v>0</v>
      </c>
      <c r="G569" s="76" t="n">
        <f aca="false">IF(ISNUMBER(週次_媒体別CP!O301),週次_媒体別CP!O301,0)</f>
        <v>0</v>
      </c>
      <c r="H569" s="76" t="n">
        <f aca="false">IF(ISNUMBER(週次_媒体別CP!O357),週次_媒体別CP!O357,0)</f>
        <v>0</v>
      </c>
      <c r="I569" s="76" t="n">
        <f aca="false">IF(ISNUMBER(週次_媒体別CP!O414),週次_媒体別CP!O414,0)</f>
        <v>0</v>
      </c>
    </row>
    <row r="570" customFormat="false" ht="15" hidden="false" customHeight="false" outlineLevel="0" collapsed="false">
      <c r="A570" s="72" t="s">
        <v>92</v>
      </c>
      <c r="B570" s="76" t="n">
        <f aca="false">IF(ISNUMBER(週次_媒体別CP!O22),週次_媒体別CP!O22,0)</f>
        <v>0</v>
      </c>
      <c r="C570" s="76" t="n">
        <f aca="false">IF(ISNUMBER(週次_媒体別CP!O78),週次_媒体別CP!O78,0)</f>
        <v>0</v>
      </c>
      <c r="D570" s="76" t="n">
        <f aca="false">IF(ISNUMBER(週次_媒体別CP!O134),週次_媒体別CP!O134,0)</f>
        <v>0</v>
      </c>
      <c r="E570" s="76" t="n">
        <f aca="false">IF(ISNUMBER(週次_媒体別CP!O190),週次_媒体別CP!O190,0)</f>
        <v>0</v>
      </c>
      <c r="F570" s="76" t="n">
        <f aca="false">IF(ISNUMBER(週次_媒体別CP!O246),週次_媒体別CP!O246,0)</f>
        <v>0</v>
      </c>
      <c r="G570" s="76" t="n">
        <f aca="false">IF(ISNUMBER(週次_媒体別CP!O302),週次_媒体別CP!O302,0)</f>
        <v>0</v>
      </c>
      <c r="H570" s="76" t="n">
        <f aca="false">IF(ISNUMBER(週次_媒体別CP!O358),週次_媒体別CP!O358,0)</f>
        <v>0</v>
      </c>
      <c r="I570" s="76" t="n">
        <f aca="false">IF(ISNUMBER(週次_媒体別CP!O415),週次_媒体別CP!O415,0)</f>
        <v>0</v>
      </c>
    </row>
    <row r="571" customFormat="false" ht="15" hidden="false" customHeight="false" outlineLevel="0" collapsed="false">
      <c r="A571" s="72" t="s">
        <v>94</v>
      </c>
      <c r="B571" s="76" t="n">
        <f aca="false">IF(ISNUMBER(週次_媒体別CP!O23),週次_媒体別CP!O23,0)</f>
        <v>0</v>
      </c>
      <c r="C571" s="76" t="n">
        <f aca="false">IF(ISNUMBER(週次_媒体別CP!O79),週次_媒体別CP!O79,0)</f>
        <v>0</v>
      </c>
      <c r="D571" s="76" t="n">
        <f aca="false">IF(ISNUMBER(週次_媒体別CP!O135),週次_媒体別CP!O135,0)</f>
        <v>0</v>
      </c>
      <c r="E571" s="76" t="n">
        <f aca="false">IF(ISNUMBER(週次_媒体別CP!O191),週次_媒体別CP!O191,0)</f>
        <v>0</v>
      </c>
      <c r="F571" s="76" t="n">
        <f aca="false">IF(ISNUMBER(週次_媒体別CP!O247),週次_媒体別CP!O247,0)</f>
        <v>0</v>
      </c>
      <c r="G571" s="76" t="n">
        <f aca="false">IF(ISNUMBER(週次_媒体別CP!O303),週次_媒体別CP!O303,0)</f>
        <v>0</v>
      </c>
      <c r="H571" s="76" t="n">
        <f aca="false">IF(ISNUMBER(週次_媒体別CP!O359),週次_媒体別CP!O359,0)</f>
        <v>0</v>
      </c>
      <c r="I571" s="76" t="n">
        <f aca="false">IF(ISNUMBER(週次_媒体別CP!O416),週次_媒体別CP!O416,0)</f>
        <v>0</v>
      </c>
    </row>
    <row r="572" customFormat="false" ht="15" hidden="false" customHeight="false" outlineLevel="0" collapsed="false">
      <c r="A572" s="72" t="s">
        <v>96</v>
      </c>
      <c r="B572" s="76" t="n">
        <f aca="false">IF(ISNUMBER(週次_媒体別CP!O24),週次_媒体別CP!O24,0)</f>
        <v>0</v>
      </c>
      <c r="C572" s="76" t="n">
        <f aca="false">IF(ISNUMBER(週次_媒体別CP!O80),週次_媒体別CP!O80,0)</f>
        <v>0</v>
      </c>
      <c r="D572" s="76" t="n">
        <f aca="false">IF(ISNUMBER(週次_媒体別CP!O136),週次_媒体別CP!O136,0)</f>
        <v>0</v>
      </c>
      <c r="E572" s="76" t="n">
        <f aca="false">IF(ISNUMBER(週次_媒体別CP!O192),週次_媒体別CP!O192,0)</f>
        <v>0</v>
      </c>
      <c r="F572" s="76" t="n">
        <f aca="false">IF(ISNUMBER(週次_媒体別CP!O248),週次_媒体別CP!O248,0)</f>
        <v>0</v>
      </c>
      <c r="G572" s="76" t="n">
        <f aca="false">IF(ISNUMBER(週次_媒体別CP!O304),週次_媒体別CP!O304,0)</f>
        <v>0</v>
      </c>
      <c r="H572" s="76" t="n">
        <f aca="false">IF(ISNUMBER(週次_媒体別CP!O360),週次_媒体別CP!O360,0)</f>
        <v>0</v>
      </c>
      <c r="I572" s="76" t="n">
        <f aca="false">IF(ISNUMBER(週次_媒体別CP!O417),週次_媒体別CP!O417,0)</f>
        <v>0</v>
      </c>
    </row>
    <row r="573" customFormat="false" ht="15" hidden="false" customHeight="false" outlineLevel="0" collapsed="false">
      <c r="A573" s="72" t="s">
        <v>98</v>
      </c>
      <c r="B573" s="76" t="n">
        <f aca="false">IF(ISNUMBER(週次_媒体別CP!O25),週次_媒体別CP!O25,0)</f>
        <v>0</v>
      </c>
      <c r="C573" s="76" t="n">
        <f aca="false">IF(ISNUMBER(週次_媒体別CP!O81),週次_媒体別CP!O81,0)</f>
        <v>0</v>
      </c>
      <c r="D573" s="76" t="n">
        <f aca="false">IF(ISNUMBER(週次_媒体別CP!O137),週次_媒体別CP!O137,0)</f>
        <v>0</v>
      </c>
      <c r="E573" s="76" t="n">
        <f aca="false">IF(ISNUMBER(週次_媒体別CP!O193),週次_媒体別CP!O193,0)</f>
        <v>0</v>
      </c>
      <c r="F573" s="76" t="n">
        <f aca="false">IF(ISNUMBER(週次_媒体別CP!O249),週次_媒体別CP!O249,0)</f>
        <v>0</v>
      </c>
      <c r="G573" s="76" t="n">
        <f aca="false">IF(ISNUMBER(週次_媒体別CP!O305),週次_媒体別CP!O305,0)</f>
        <v>0</v>
      </c>
      <c r="H573" s="76" t="n">
        <f aca="false">IF(ISNUMBER(週次_媒体別CP!O361),週次_媒体別CP!O361,0)</f>
        <v>0</v>
      </c>
      <c r="I573" s="76" t="n">
        <f aca="false">IF(ISNUMBER(週次_媒体別CP!O418),週次_媒体別CP!O418,0)</f>
        <v>0</v>
      </c>
    </row>
    <row r="574" customFormat="false" ht="15" hidden="false" customHeight="false" outlineLevel="0" collapsed="false">
      <c r="A574" s="72" t="s">
        <v>100</v>
      </c>
      <c r="B574" s="76" t="n">
        <f aca="false">IF(ISNUMBER(週次_媒体別CP!O26),週次_媒体別CP!O26,0)</f>
        <v>0</v>
      </c>
      <c r="C574" s="76" t="n">
        <f aca="false">IF(ISNUMBER(週次_媒体別CP!O82),週次_媒体別CP!O82,0)</f>
        <v>0</v>
      </c>
      <c r="D574" s="76" t="n">
        <f aca="false">IF(ISNUMBER(週次_媒体別CP!O138),週次_媒体別CP!O138,0)</f>
        <v>0</v>
      </c>
      <c r="E574" s="76" t="n">
        <f aca="false">IF(ISNUMBER(週次_媒体別CP!O194),週次_媒体別CP!O194,0)</f>
        <v>0</v>
      </c>
      <c r="F574" s="76" t="n">
        <f aca="false">IF(ISNUMBER(週次_媒体別CP!O250),週次_媒体別CP!O250,0)</f>
        <v>0</v>
      </c>
      <c r="G574" s="76" t="n">
        <f aca="false">IF(ISNUMBER(週次_媒体別CP!O306),週次_媒体別CP!O306,0)</f>
        <v>0</v>
      </c>
      <c r="H574" s="76" t="n">
        <f aca="false">IF(ISNUMBER(週次_媒体別CP!O362),週次_媒体別CP!O362,0)</f>
        <v>0</v>
      </c>
      <c r="I574" s="76" t="n">
        <f aca="false">IF(ISNUMBER(週次_媒体別CP!O419),週次_媒体別CP!O419,0)</f>
        <v>0</v>
      </c>
    </row>
    <row r="575" customFormat="false" ht="15" hidden="false" customHeight="false" outlineLevel="0" collapsed="false">
      <c r="A575" s="72" t="s">
        <v>102</v>
      </c>
      <c r="B575" s="76" t="n">
        <f aca="false">IF(ISNUMBER(週次_媒体別CP!O27),週次_媒体別CP!O27,0)</f>
        <v>0</v>
      </c>
      <c r="C575" s="76" t="n">
        <f aca="false">IF(ISNUMBER(週次_媒体別CP!O83),週次_媒体別CP!O83,0)</f>
        <v>0</v>
      </c>
      <c r="D575" s="76" t="n">
        <f aca="false">IF(ISNUMBER(週次_媒体別CP!O139),週次_媒体別CP!O139,0)</f>
        <v>0</v>
      </c>
      <c r="E575" s="76" t="n">
        <f aca="false">IF(ISNUMBER(週次_媒体別CP!O195),週次_媒体別CP!O195,0)</f>
        <v>0</v>
      </c>
      <c r="F575" s="76" t="n">
        <f aca="false">IF(ISNUMBER(週次_媒体別CP!O251),週次_媒体別CP!O251,0)</f>
        <v>0</v>
      </c>
      <c r="G575" s="76" t="n">
        <f aca="false">IF(ISNUMBER(週次_媒体別CP!O307),週次_媒体別CP!O307,0)</f>
        <v>0</v>
      </c>
      <c r="H575" s="76" t="n">
        <f aca="false">IF(ISNUMBER(週次_媒体別CP!O363),週次_媒体別CP!O363,0)</f>
        <v>0</v>
      </c>
      <c r="I575" s="76" t="n">
        <f aca="false">IF(ISNUMBER(週次_媒体別CP!O420),週次_媒体別CP!O420,0)</f>
        <v>0</v>
      </c>
    </row>
    <row r="576" customFormat="false" ht="15" hidden="false" customHeight="false" outlineLevel="0" collapsed="false">
      <c r="A576" s="72" t="s">
        <v>104</v>
      </c>
      <c r="B576" s="76" t="n">
        <f aca="false">IF(ISNUMBER(週次_媒体別CP!O28),週次_媒体別CP!O28,0)</f>
        <v>0</v>
      </c>
      <c r="C576" s="76" t="n">
        <f aca="false">IF(ISNUMBER(週次_媒体別CP!O84),週次_媒体別CP!O84,0)</f>
        <v>0</v>
      </c>
      <c r="D576" s="76" t="n">
        <f aca="false">IF(ISNUMBER(週次_媒体別CP!O140),週次_媒体別CP!O140,0)</f>
        <v>0</v>
      </c>
      <c r="E576" s="76" t="n">
        <f aca="false">IF(ISNUMBER(週次_媒体別CP!O196),週次_媒体別CP!O196,0)</f>
        <v>0</v>
      </c>
      <c r="F576" s="76" t="n">
        <f aca="false">IF(ISNUMBER(週次_媒体別CP!O252),週次_媒体別CP!O252,0)</f>
        <v>0</v>
      </c>
      <c r="G576" s="76" t="n">
        <f aca="false">IF(ISNUMBER(週次_媒体別CP!O308),週次_媒体別CP!O308,0)</f>
        <v>0</v>
      </c>
      <c r="H576" s="76" t="n">
        <f aca="false">IF(ISNUMBER(週次_媒体別CP!O364),週次_媒体別CP!O364,0)</f>
        <v>0</v>
      </c>
      <c r="I576" s="76" t="n">
        <f aca="false">IF(ISNUMBER(週次_媒体別CP!O421),週次_媒体別CP!O421,0)</f>
        <v>0</v>
      </c>
    </row>
    <row r="577" customFormat="false" ht="15" hidden="false" customHeight="false" outlineLevel="0" collapsed="false">
      <c r="A577" s="72" t="s">
        <v>106</v>
      </c>
      <c r="B577" s="76" t="n">
        <f aca="false">IF(ISNUMBER(週次_媒体別CP!O29),週次_媒体別CP!O29,0)</f>
        <v>0</v>
      </c>
      <c r="C577" s="76" t="n">
        <f aca="false">IF(ISNUMBER(週次_媒体別CP!O85),週次_媒体別CP!O85,0)</f>
        <v>0</v>
      </c>
      <c r="D577" s="76" t="n">
        <f aca="false">IF(ISNUMBER(週次_媒体別CP!O141),週次_媒体別CP!O141,0)</f>
        <v>0</v>
      </c>
      <c r="E577" s="76" t="n">
        <f aca="false">IF(ISNUMBER(週次_媒体別CP!O197),週次_媒体別CP!O197,0)</f>
        <v>0</v>
      </c>
      <c r="F577" s="76" t="n">
        <f aca="false">IF(ISNUMBER(週次_媒体別CP!O253),週次_媒体別CP!O253,0)</f>
        <v>0</v>
      </c>
      <c r="G577" s="76" t="n">
        <f aca="false">IF(ISNUMBER(週次_媒体別CP!O309),週次_媒体別CP!O309,0)</f>
        <v>0</v>
      </c>
      <c r="H577" s="76" t="n">
        <f aca="false">IF(ISNUMBER(週次_媒体別CP!O365),週次_媒体別CP!O365,0)</f>
        <v>0</v>
      </c>
      <c r="I577" s="76" t="n">
        <f aca="false">IF(ISNUMBER(週次_媒体別CP!O422),週次_媒体別CP!O422,0)</f>
        <v>0</v>
      </c>
    </row>
    <row r="578" customFormat="false" ht="15" hidden="false" customHeight="false" outlineLevel="0" collapsed="false">
      <c r="A578" s="72" t="s">
        <v>108</v>
      </c>
      <c r="B578" s="76" t="n">
        <f aca="false">IF(ISNUMBER(週次_媒体別CP!O30),週次_媒体別CP!O30,0)</f>
        <v>0</v>
      </c>
      <c r="C578" s="76" t="n">
        <f aca="false">IF(ISNUMBER(週次_媒体別CP!O86),週次_媒体別CP!O86,0)</f>
        <v>0</v>
      </c>
      <c r="D578" s="76" t="n">
        <f aca="false">IF(ISNUMBER(週次_媒体別CP!O142),週次_媒体別CP!O142,0)</f>
        <v>0</v>
      </c>
      <c r="E578" s="76" t="n">
        <f aca="false">IF(ISNUMBER(週次_媒体別CP!O198),週次_媒体別CP!O198,0)</f>
        <v>0</v>
      </c>
      <c r="F578" s="76" t="n">
        <f aca="false">IF(ISNUMBER(週次_媒体別CP!O254),週次_媒体別CP!O254,0)</f>
        <v>0</v>
      </c>
      <c r="G578" s="76" t="n">
        <f aca="false">IF(ISNUMBER(週次_媒体別CP!O310),週次_媒体別CP!O310,0)</f>
        <v>0</v>
      </c>
      <c r="H578" s="76" t="n">
        <f aca="false">IF(ISNUMBER(週次_媒体別CP!O366),週次_媒体別CP!O366,0)</f>
        <v>0</v>
      </c>
      <c r="I578" s="76" t="n">
        <f aca="false">IF(ISNUMBER(週次_媒体別CP!O423),週次_媒体別CP!O423,0)</f>
        <v>0</v>
      </c>
    </row>
    <row r="579" customFormat="false" ht="15" hidden="false" customHeight="false" outlineLevel="0" collapsed="false">
      <c r="A579" s="72" t="s">
        <v>110</v>
      </c>
      <c r="B579" s="76" t="n">
        <f aca="false">IF(ISNUMBER(週次_媒体別CP!O31),週次_媒体別CP!O31,0)</f>
        <v>0</v>
      </c>
      <c r="C579" s="76" t="n">
        <f aca="false">IF(ISNUMBER(週次_媒体別CP!O87),週次_媒体別CP!O87,0)</f>
        <v>0</v>
      </c>
      <c r="D579" s="76" t="n">
        <f aca="false">IF(ISNUMBER(週次_媒体別CP!O143),週次_媒体別CP!O143,0)</f>
        <v>0</v>
      </c>
      <c r="E579" s="76" t="n">
        <f aca="false">IF(ISNUMBER(週次_媒体別CP!O199),週次_媒体別CP!O199,0)</f>
        <v>0</v>
      </c>
      <c r="F579" s="76" t="n">
        <f aca="false">IF(ISNUMBER(週次_媒体別CP!O255),週次_媒体別CP!O255,0)</f>
        <v>0</v>
      </c>
      <c r="G579" s="76" t="n">
        <f aca="false">IF(ISNUMBER(週次_媒体別CP!O311),週次_媒体別CP!O311,0)</f>
        <v>0</v>
      </c>
      <c r="H579" s="76" t="n">
        <f aca="false">IF(ISNUMBER(週次_媒体別CP!O367),週次_媒体別CP!O367,0)</f>
        <v>0</v>
      </c>
      <c r="I579" s="76" t="n">
        <f aca="false">IF(ISNUMBER(週次_媒体別CP!O424),週次_媒体別CP!O424,0)</f>
        <v>0</v>
      </c>
    </row>
    <row r="580" customFormat="false" ht="15" hidden="false" customHeight="false" outlineLevel="0" collapsed="false">
      <c r="A580" s="72" t="s">
        <v>112</v>
      </c>
      <c r="B580" s="76" t="n">
        <f aca="false">IF(ISNUMBER(週次_媒体別CP!O32),週次_媒体別CP!O32,0)</f>
        <v>0</v>
      </c>
      <c r="C580" s="76" t="n">
        <f aca="false">IF(ISNUMBER(週次_媒体別CP!O88),週次_媒体別CP!O88,0)</f>
        <v>0</v>
      </c>
      <c r="D580" s="76" t="n">
        <f aca="false">IF(ISNUMBER(週次_媒体別CP!O144),週次_媒体別CP!O144,0)</f>
        <v>0</v>
      </c>
      <c r="E580" s="76" t="n">
        <f aca="false">IF(ISNUMBER(週次_媒体別CP!O200),週次_媒体別CP!O200,0)</f>
        <v>0</v>
      </c>
      <c r="F580" s="76" t="n">
        <f aca="false">IF(ISNUMBER(週次_媒体別CP!O256),週次_媒体別CP!O256,0)</f>
        <v>0</v>
      </c>
      <c r="G580" s="76" t="n">
        <f aca="false">IF(ISNUMBER(週次_媒体別CP!O312),週次_媒体別CP!O312,0)</f>
        <v>0</v>
      </c>
      <c r="H580" s="76" t="n">
        <f aca="false">IF(ISNUMBER(週次_媒体別CP!O368),週次_媒体別CP!O368,0)</f>
        <v>0</v>
      </c>
      <c r="I580" s="76" t="n">
        <f aca="false">IF(ISNUMBER(週次_媒体別CP!O425),週次_媒体別CP!O425,0)</f>
        <v>0</v>
      </c>
    </row>
    <row r="581" customFormat="false" ht="15" hidden="false" customHeight="false" outlineLevel="0" collapsed="false">
      <c r="A581" s="72" t="s">
        <v>114</v>
      </c>
      <c r="B581" s="76" t="n">
        <f aca="false">IF(ISNUMBER(週次_媒体別CP!O33),週次_媒体別CP!O33,0)</f>
        <v>0</v>
      </c>
      <c r="C581" s="76" t="n">
        <f aca="false">IF(ISNUMBER(週次_媒体別CP!O89),週次_媒体別CP!O89,0)</f>
        <v>0</v>
      </c>
      <c r="D581" s="76" t="n">
        <f aca="false">IF(ISNUMBER(週次_媒体別CP!O145),週次_媒体別CP!O145,0)</f>
        <v>0</v>
      </c>
      <c r="E581" s="76" t="n">
        <f aca="false">IF(ISNUMBER(週次_媒体別CP!O201),週次_媒体別CP!O201,0)</f>
        <v>0</v>
      </c>
      <c r="F581" s="76" t="n">
        <f aca="false">IF(ISNUMBER(週次_媒体別CP!O257),週次_媒体別CP!O257,0)</f>
        <v>0</v>
      </c>
      <c r="G581" s="76" t="n">
        <f aca="false">IF(ISNUMBER(週次_媒体別CP!O313),週次_媒体別CP!O313,0)</f>
        <v>0</v>
      </c>
      <c r="H581" s="76" t="n">
        <f aca="false">IF(ISNUMBER(週次_媒体別CP!O369),週次_媒体別CP!O369,0)</f>
        <v>0</v>
      </c>
      <c r="I581" s="76" t="n">
        <f aca="false">IF(ISNUMBER(週次_媒体別CP!O426),週次_媒体別CP!O426,0)</f>
        <v>0</v>
      </c>
    </row>
    <row r="582" customFormat="false" ht="15" hidden="false" customHeight="false" outlineLevel="0" collapsed="false">
      <c r="A582" s="72" t="s">
        <v>116</v>
      </c>
      <c r="B582" s="76" t="n">
        <f aca="false">IF(ISNUMBER(週次_媒体別CP!O34),週次_媒体別CP!O34,0)</f>
        <v>0</v>
      </c>
      <c r="C582" s="76" t="n">
        <f aca="false">IF(ISNUMBER(週次_媒体別CP!O90),週次_媒体別CP!O90,0)</f>
        <v>0</v>
      </c>
      <c r="D582" s="76" t="n">
        <f aca="false">IF(ISNUMBER(週次_媒体別CP!O146),週次_媒体別CP!O146,0)</f>
        <v>0</v>
      </c>
      <c r="E582" s="76" t="n">
        <f aca="false">IF(ISNUMBER(週次_媒体別CP!O202),週次_媒体別CP!O202,0)</f>
        <v>0</v>
      </c>
      <c r="F582" s="76" t="n">
        <f aca="false">IF(ISNUMBER(週次_媒体別CP!O258),週次_媒体別CP!O258,0)</f>
        <v>0</v>
      </c>
      <c r="G582" s="76" t="n">
        <f aca="false">IF(ISNUMBER(週次_媒体別CP!O314),週次_媒体別CP!O314,0)</f>
        <v>0</v>
      </c>
      <c r="H582" s="76" t="n">
        <f aca="false">IF(ISNUMBER(週次_媒体別CP!O370),週次_媒体別CP!O370,0)</f>
        <v>0</v>
      </c>
      <c r="I582" s="76" t="n">
        <f aca="false">IF(ISNUMBER(週次_媒体別CP!O427),週次_媒体別CP!O427,0)</f>
        <v>0</v>
      </c>
    </row>
    <row r="583" customFormat="false" ht="15" hidden="false" customHeight="false" outlineLevel="0" collapsed="false">
      <c r="A583" s="72" t="s">
        <v>118</v>
      </c>
      <c r="B583" s="76" t="n">
        <f aca="false">IF(ISNUMBER(週次_媒体別CP!O35),週次_媒体別CP!O35,0)</f>
        <v>0</v>
      </c>
      <c r="C583" s="76" t="n">
        <f aca="false">IF(ISNUMBER(週次_媒体別CP!O91),週次_媒体別CP!O91,0)</f>
        <v>0</v>
      </c>
      <c r="D583" s="76" t="n">
        <f aca="false">IF(ISNUMBER(週次_媒体別CP!O147),週次_媒体別CP!O147,0)</f>
        <v>0</v>
      </c>
      <c r="E583" s="76" t="n">
        <f aca="false">IF(ISNUMBER(週次_媒体別CP!O203),週次_媒体別CP!O203,0)</f>
        <v>0</v>
      </c>
      <c r="F583" s="76" t="n">
        <f aca="false">IF(ISNUMBER(週次_媒体別CP!O259),週次_媒体別CP!O259,0)</f>
        <v>0</v>
      </c>
      <c r="G583" s="76" t="n">
        <f aca="false">IF(ISNUMBER(週次_媒体別CP!O315),週次_媒体別CP!O315,0)</f>
        <v>0</v>
      </c>
      <c r="H583" s="76" t="n">
        <f aca="false">IF(ISNUMBER(週次_媒体別CP!O371),週次_媒体別CP!O371,0)</f>
        <v>0</v>
      </c>
      <c r="I583" s="76" t="n">
        <f aca="false">IF(ISNUMBER(週次_媒体別CP!O428),週次_媒体別CP!O428,0)</f>
        <v>0</v>
      </c>
    </row>
    <row r="584" customFormat="false" ht="15" hidden="false" customHeight="false" outlineLevel="0" collapsed="false">
      <c r="A584" s="72" t="s">
        <v>120</v>
      </c>
      <c r="B584" s="76" t="n">
        <f aca="false">IF(ISNUMBER(週次_媒体別CP!O36),週次_媒体別CP!O36,0)</f>
        <v>0</v>
      </c>
      <c r="C584" s="76" t="n">
        <f aca="false">IF(ISNUMBER(週次_媒体別CP!O92),週次_媒体別CP!O92,0)</f>
        <v>0</v>
      </c>
      <c r="D584" s="76" t="n">
        <f aca="false">IF(ISNUMBER(週次_媒体別CP!O148),週次_媒体別CP!O148,0)</f>
        <v>0</v>
      </c>
      <c r="E584" s="76" t="n">
        <f aca="false">IF(ISNUMBER(週次_媒体別CP!O204),週次_媒体別CP!O204,0)</f>
        <v>0</v>
      </c>
      <c r="F584" s="76" t="n">
        <f aca="false">IF(ISNUMBER(週次_媒体別CP!O260),週次_媒体別CP!O260,0)</f>
        <v>0</v>
      </c>
      <c r="G584" s="76" t="n">
        <f aca="false">IF(ISNUMBER(週次_媒体別CP!O316),週次_媒体別CP!O316,0)</f>
        <v>0</v>
      </c>
      <c r="H584" s="76" t="n">
        <f aca="false">IF(ISNUMBER(週次_媒体別CP!O372),週次_媒体別CP!O372,0)</f>
        <v>0</v>
      </c>
      <c r="I584" s="76" t="n">
        <f aca="false">IF(ISNUMBER(週次_媒体別CP!O429),週次_媒体別CP!O429,0)</f>
        <v>0</v>
      </c>
    </row>
    <row r="585" customFormat="false" ht="15" hidden="false" customHeight="false" outlineLevel="0" collapsed="false">
      <c r="A585" s="72" t="s">
        <v>122</v>
      </c>
      <c r="B585" s="76" t="n">
        <f aca="false">IF(ISNUMBER(週次_媒体別CP!O37),週次_媒体別CP!O37,0)</f>
        <v>0</v>
      </c>
      <c r="C585" s="76" t="n">
        <f aca="false">IF(ISNUMBER(週次_媒体別CP!O93),週次_媒体別CP!O93,0)</f>
        <v>0</v>
      </c>
      <c r="D585" s="76" t="n">
        <f aca="false">IF(ISNUMBER(週次_媒体別CP!O149),週次_媒体別CP!O149,0)</f>
        <v>0</v>
      </c>
      <c r="E585" s="76" t="n">
        <f aca="false">IF(ISNUMBER(週次_媒体別CP!O205),週次_媒体別CP!O205,0)</f>
        <v>0</v>
      </c>
      <c r="F585" s="76" t="n">
        <f aca="false">IF(ISNUMBER(週次_媒体別CP!O261),週次_媒体別CP!O261,0)</f>
        <v>0</v>
      </c>
      <c r="G585" s="76" t="n">
        <f aca="false">IF(ISNUMBER(週次_媒体別CP!O317),週次_媒体別CP!O317,0)</f>
        <v>0</v>
      </c>
      <c r="H585" s="76" t="n">
        <f aca="false">IF(ISNUMBER(週次_媒体別CP!O373),週次_媒体別CP!O373,0)</f>
        <v>0</v>
      </c>
      <c r="I585" s="76" t="n">
        <f aca="false">IF(ISNUMBER(週次_媒体別CP!O430),週次_媒体別CP!O430,0)</f>
        <v>0</v>
      </c>
    </row>
    <row r="586" customFormat="false" ht="15" hidden="false" customHeight="false" outlineLevel="0" collapsed="false">
      <c r="A586" s="72" t="s">
        <v>124</v>
      </c>
      <c r="B586" s="76" t="n">
        <f aca="false">IF(ISNUMBER(週次_媒体別CP!O38),週次_媒体別CP!O38,0)</f>
        <v>0</v>
      </c>
      <c r="C586" s="76" t="n">
        <f aca="false">IF(ISNUMBER(週次_媒体別CP!O94),週次_媒体別CP!O94,0)</f>
        <v>0</v>
      </c>
      <c r="D586" s="76" t="n">
        <f aca="false">IF(ISNUMBER(週次_媒体別CP!O150),週次_媒体別CP!O150,0)</f>
        <v>0</v>
      </c>
      <c r="E586" s="76" t="n">
        <f aca="false">IF(ISNUMBER(週次_媒体別CP!O206),週次_媒体別CP!O206,0)</f>
        <v>0</v>
      </c>
      <c r="F586" s="76" t="n">
        <f aca="false">IF(ISNUMBER(週次_媒体別CP!O262),週次_媒体別CP!O262,0)</f>
        <v>0</v>
      </c>
      <c r="G586" s="76" t="n">
        <f aca="false">IF(ISNUMBER(週次_媒体別CP!O318),週次_媒体別CP!O318,0)</f>
        <v>0</v>
      </c>
      <c r="H586" s="76" t="n">
        <f aca="false">IF(ISNUMBER(週次_媒体別CP!O374),週次_媒体別CP!O374,0)</f>
        <v>0</v>
      </c>
      <c r="I586" s="76" t="n">
        <f aca="false">IF(ISNUMBER(週次_媒体別CP!O431),週次_媒体別CP!O431,0)</f>
        <v>0</v>
      </c>
    </row>
    <row r="587" customFormat="false" ht="15" hidden="false" customHeight="false" outlineLevel="0" collapsed="false">
      <c r="A587" s="72" t="s">
        <v>126</v>
      </c>
      <c r="B587" s="76" t="n">
        <f aca="false">IF(ISNUMBER(週次_媒体別CP!O39),週次_媒体別CP!O39,0)</f>
        <v>0</v>
      </c>
      <c r="C587" s="76" t="n">
        <f aca="false">IF(ISNUMBER(週次_媒体別CP!O95),週次_媒体別CP!O95,0)</f>
        <v>0</v>
      </c>
      <c r="D587" s="76" t="n">
        <f aca="false">IF(ISNUMBER(週次_媒体別CP!O151),週次_媒体別CP!O151,0)</f>
        <v>0</v>
      </c>
      <c r="E587" s="76" t="n">
        <f aca="false">IF(ISNUMBER(週次_媒体別CP!O207),週次_媒体別CP!O207,0)</f>
        <v>0</v>
      </c>
      <c r="F587" s="76" t="n">
        <f aca="false">IF(ISNUMBER(週次_媒体別CP!O263),週次_媒体別CP!O263,0)</f>
        <v>0</v>
      </c>
      <c r="G587" s="76" t="n">
        <f aca="false">IF(ISNUMBER(週次_媒体別CP!O319),週次_媒体別CP!O319,0)</f>
        <v>0</v>
      </c>
      <c r="H587" s="76" t="n">
        <f aca="false">IF(ISNUMBER(週次_媒体別CP!O375),週次_媒体別CP!O375,0)</f>
        <v>0</v>
      </c>
      <c r="I587" s="76" t="n">
        <f aca="false">IF(ISNUMBER(週次_媒体別CP!O432),週次_媒体別CP!O432,0)</f>
        <v>0</v>
      </c>
    </row>
    <row r="588" customFormat="false" ht="15" hidden="false" customHeight="false" outlineLevel="0" collapsed="false">
      <c r="A588" s="72" t="s">
        <v>128</v>
      </c>
      <c r="B588" s="76" t="n">
        <f aca="false">IF(ISNUMBER(週次_媒体別CP!O40),週次_媒体別CP!O40,0)</f>
        <v>0</v>
      </c>
      <c r="C588" s="76" t="n">
        <f aca="false">IF(ISNUMBER(週次_媒体別CP!O96),週次_媒体別CP!O96,0)</f>
        <v>0</v>
      </c>
      <c r="D588" s="76" t="n">
        <f aca="false">IF(ISNUMBER(週次_媒体別CP!O152),週次_媒体別CP!O152,0)</f>
        <v>0</v>
      </c>
      <c r="E588" s="76" t="n">
        <f aca="false">IF(ISNUMBER(週次_媒体別CP!O208),週次_媒体別CP!O208,0)</f>
        <v>0</v>
      </c>
      <c r="F588" s="76" t="n">
        <f aca="false">IF(ISNUMBER(週次_媒体別CP!O264),週次_媒体別CP!O264,0)</f>
        <v>0</v>
      </c>
      <c r="G588" s="76" t="n">
        <f aca="false">IF(ISNUMBER(週次_媒体別CP!O320),週次_媒体別CP!O320,0)</f>
        <v>0</v>
      </c>
      <c r="H588" s="76" t="n">
        <f aca="false">IF(ISNUMBER(週次_媒体別CP!O376),週次_媒体別CP!O376,0)</f>
        <v>0</v>
      </c>
      <c r="I588" s="76" t="n">
        <f aca="false">IF(ISNUMBER(週次_媒体別CP!O433),週次_媒体別CP!O433,0)</f>
        <v>0</v>
      </c>
    </row>
    <row r="589" customFormat="false" ht="15" hidden="false" customHeight="false" outlineLevel="0" collapsed="false">
      <c r="A589" s="72" t="s">
        <v>130</v>
      </c>
      <c r="B589" s="76" t="n">
        <f aca="false">IF(ISNUMBER(週次_媒体別CP!O41),週次_媒体別CP!O41,0)</f>
        <v>0</v>
      </c>
      <c r="C589" s="76" t="n">
        <f aca="false">IF(ISNUMBER(週次_媒体別CP!O97),週次_媒体別CP!O97,0)</f>
        <v>0</v>
      </c>
      <c r="D589" s="76" t="n">
        <f aca="false">IF(ISNUMBER(週次_媒体別CP!O153),週次_媒体別CP!O153,0)</f>
        <v>0</v>
      </c>
      <c r="E589" s="76" t="n">
        <f aca="false">IF(ISNUMBER(週次_媒体別CP!O209),週次_媒体別CP!O209,0)</f>
        <v>0</v>
      </c>
      <c r="F589" s="76" t="n">
        <f aca="false">IF(ISNUMBER(週次_媒体別CP!O265),週次_媒体別CP!O265,0)</f>
        <v>0</v>
      </c>
      <c r="G589" s="76" t="n">
        <f aca="false">IF(ISNUMBER(週次_媒体別CP!O321),週次_媒体別CP!O321,0)</f>
        <v>0</v>
      </c>
      <c r="H589" s="76" t="n">
        <f aca="false">IF(ISNUMBER(週次_媒体別CP!O377),週次_媒体別CP!O377,0)</f>
        <v>0</v>
      </c>
      <c r="I589" s="76" t="n">
        <f aca="false">IF(ISNUMBER(週次_媒体別CP!O434),週次_媒体別CP!O434,0)</f>
        <v>0</v>
      </c>
    </row>
    <row r="590" customFormat="false" ht="15" hidden="false" customHeight="false" outlineLevel="0" collapsed="false">
      <c r="A590" s="72" t="s">
        <v>132</v>
      </c>
      <c r="B590" s="76" t="n">
        <f aca="false">IF(ISNUMBER(週次_媒体別CP!O42),週次_媒体別CP!O42,0)</f>
        <v>0</v>
      </c>
      <c r="C590" s="76" t="n">
        <f aca="false">IF(ISNUMBER(週次_媒体別CP!O98),週次_媒体別CP!O98,0)</f>
        <v>0</v>
      </c>
      <c r="D590" s="76" t="n">
        <f aca="false">IF(ISNUMBER(週次_媒体別CP!O154),週次_媒体別CP!O154,0)</f>
        <v>0</v>
      </c>
      <c r="E590" s="76" t="n">
        <f aca="false">IF(ISNUMBER(週次_媒体別CP!O210),週次_媒体別CP!O210,0)</f>
        <v>0</v>
      </c>
      <c r="F590" s="76" t="n">
        <f aca="false">IF(ISNUMBER(週次_媒体別CP!O266),週次_媒体別CP!O266,0)</f>
        <v>0</v>
      </c>
      <c r="G590" s="76" t="n">
        <f aca="false">IF(ISNUMBER(週次_媒体別CP!O322),週次_媒体別CP!O322,0)</f>
        <v>0</v>
      </c>
      <c r="H590" s="76" t="n">
        <f aca="false">IF(ISNUMBER(週次_媒体別CP!O378),週次_媒体別CP!O378,0)</f>
        <v>0</v>
      </c>
      <c r="I590" s="76" t="n">
        <f aca="false">IF(ISNUMBER(週次_媒体別CP!O435),週次_媒体別CP!O435,0)</f>
        <v>0</v>
      </c>
    </row>
    <row r="591" customFormat="false" ht="15" hidden="false" customHeight="false" outlineLevel="0" collapsed="false">
      <c r="A591" s="72" t="s">
        <v>134</v>
      </c>
      <c r="B591" s="76" t="n">
        <f aca="false">IF(ISNUMBER(週次_媒体別CP!O43),週次_媒体別CP!O43,0)</f>
        <v>0</v>
      </c>
      <c r="C591" s="76" t="n">
        <f aca="false">IF(ISNUMBER(週次_媒体別CP!O99),週次_媒体別CP!O99,0)</f>
        <v>0</v>
      </c>
      <c r="D591" s="76" t="n">
        <f aca="false">IF(ISNUMBER(週次_媒体別CP!O155),週次_媒体別CP!O155,0)</f>
        <v>0</v>
      </c>
      <c r="E591" s="76" t="n">
        <f aca="false">IF(ISNUMBER(週次_媒体別CP!O211),週次_媒体別CP!O211,0)</f>
        <v>0</v>
      </c>
      <c r="F591" s="76" t="n">
        <f aca="false">IF(ISNUMBER(週次_媒体別CP!O267),週次_媒体別CP!O267,0)</f>
        <v>0</v>
      </c>
      <c r="G591" s="76" t="n">
        <f aca="false">IF(ISNUMBER(週次_媒体別CP!O323),週次_媒体別CP!O323,0)</f>
        <v>0</v>
      </c>
      <c r="H591" s="76" t="n">
        <f aca="false">IF(ISNUMBER(週次_媒体別CP!O379),週次_媒体別CP!O379,0)</f>
        <v>0</v>
      </c>
      <c r="I591" s="76" t="n">
        <f aca="false">IF(ISNUMBER(週次_媒体別CP!O436),週次_媒体別CP!O436,0)</f>
        <v>0</v>
      </c>
    </row>
    <row r="592" customFormat="false" ht="15" hidden="false" customHeight="false" outlineLevel="0" collapsed="false">
      <c r="A592" s="72" t="s">
        <v>136</v>
      </c>
      <c r="B592" s="76" t="n">
        <f aca="false">IF(ISNUMBER(週次_媒体別CP!O44),週次_媒体別CP!O44,0)</f>
        <v>0</v>
      </c>
      <c r="C592" s="76" t="n">
        <f aca="false">IF(ISNUMBER(週次_媒体別CP!O100),週次_媒体別CP!O100,0)</f>
        <v>0</v>
      </c>
      <c r="D592" s="76" t="n">
        <f aca="false">IF(ISNUMBER(週次_媒体別CP!O156),週次_媒体別CP!O156,0)</f>
        <v>0</v>
      </c>
      <c r="E592" s="76" t="n">
        <f aca="false">IF(ISNUMBER(週次_媒体別CP!O212),週次_媒体別CP!O212,0)</f>
        <v>0</v>
      </c>
      <c r="F592" s="76" t="n">
        <f aca="false">IF(ISNUMBER(週次_媒体別CP!O268),週次_媒体別CP!O268,0)</f>
        <v>0</v>
      </c>
      <c r="G592" s="76" t="n">
        <f aca="false">IF(ISNUMBER(週次_媒体別CP!O324),週次_媒体別CP!O324,0)</f>
        <v>0</v>
      </c>
      <c r="H592" s="76" t="n">
        <f aca="false">IF(ISNUMBER(週次_媒体別CP!O380),週次_媒体別CP!O380,0)</f>
        <v>0</v>
      </c>
      <c r="I592" s="76" t="n">
        <f aca="false">IF(ISNUMBER(週次_媒体別CP!O437),週次_媒体別CP!O437,0)</f>
        <v>0</v>
      </c>
    </row>
    <row r="593" customFormat="false" ht="15" hidden="false" customHeight="false" outlineLevel="0" collapsed="false">
      <c r="A593" s="72" t="s">
        <v>138</v>
      </c>
      <c r="B593" s="76" t="n">
        <f aca="false">IF(ISNUMBER(週次_媒体別CP!O45),週次_媒体別CP!O45,0)</f>
        <v>0</v>
      </c>
      <c r="C593" s="76" t="n">
        <f aca="false">IF(ISNUMBER(週次_媒体別CP!O101),週次_媒体別CP!O101,0)</f>
        <v>0</v>
      </c>
      <c r="D593" s="76" t="n">
        <f aca="false">IF(ISNUMBER(週次_媒体別CP!O157),週次_媒体別CP!O157,0)</f>
        <v>0</v>
      </c>
      <c r="E593" s="76" t="n">
        <f aca="false">IF(ISNUMBER(週次_媒体別CP!O213),週次_媒体別CP!O213,0)</f>
        <v>0</v>
      </c>
      <c r="F593" s="76" t="n">
        <f aca="false">IF(ISNUMBER(週次_媒体別CP!O269),週次_媒体別CP!O269,0)</f>
        <v>0</v>
      </c>
      <c r="G593" s="76" t="n">
        <f aca="false">IF(ISNUMBER(週次_媒体別CP!O325),週次_媒体別CP!O325,0)</f>
        <v>0</v>
      </c>
      <c r="H593" s="76" t="n">
        <f aca="false">IF(ISNUMBER(週次_媒体別CP!O381),週次_媒体別CP!O381,0)</f>
        <v>0</v>
      </c>
      <c r="I593" s="76" t="n">
        <f aca="false">IF(ISNUMBER(週次_媒体別CP!O438),週次_媒体別CP!O438,0)</f>
        <v>0</v>
      </c>
    </row>
    <row r="594" customFormat="false" ht="15" hidden="false" customHeight="false" outlineLevel="0" collapsed="false">
      <c r="A594" s="72" t="s">
        <v>140</v>
      </c>
      <c r="B594" s="76" t="n">
        <f aca="false">IF(ISNUMBER(週次_媒体別CP!O46),週次_媒体別CP!O46,0)</f>
        <v>0</v>
      </c>
      <c r="C594" s="76" t="n">
        <f aca="false">IF(ISNUMBER(週次_媒体別CP!O102),週次_媒体別CP!O102,0)</f>
        <v>0</v>
      </c>
      <c r="D594" s="76" t="n">
        <f aca="false">IF(ISNUMBER(週次_媒体別CP!O158),週次_媒体別CP!O158,0)</f>
        <v>0</v>
      </c>
      <c r="E594" s="76" t="n">
        <f aca="false">IF(ISNUMBER(週次_媒体別CP!O214),週次_媒体別CP!O214,0)</f>
        <v>0</v>
      </c>
      <c r="F594" s="76" t="n">
        <f aca="false">IF(ISNUMBER(週次_媒体別CP!O270),週次_媒体別CP!O270,0)</f>
        <v>0</v>
      </c>
      <c r="G594" s="76" t="n">
        <f aca="false">IF(ISNUMBER(週次_媒体別CP!O326),週次_媒体別CP!O326,0)</f>
        <v>0</v>
      </c>
      <c r="H594" s="76" t="n">
        <f aca="false">IF(ISNUMBER(週次_媒体別CP!O382),週次_媒体別CP!O382,0)</f>
        <v>0</v>
      </c>
      <c r="I594" s="76" t="n">
        <f aca="false">IF(ISNUMBER(週次_媒体別CP!O439),週次_媒体別CP!O439,0)</f>
        <v>0</v>
      </c>
    </row>
    <row r="595" customFormat="false" ht="15" hidden="false" customHeight="false" outlineLevel="0" collapsed="false">
      <c r="A595" s="72" t="s">
        <v>142</v>
      </c>
      <c r="B595" s="76" t="n">
        <f aca="false">IF(ISNUMBER(週次_媒体別CP!O47),週次_媒体別CP!O47,0)</f>
        <v>0</v>
      </c>
      <c r="C595" s="76" t="n">
        <f aca="false">IF(ISNUMBER(週次_媒体別CP!O103),週次_媒体別CP!O103,0)</f>
        <v>0</v>
      </c>
      <c r="D595" s="76" t="n">
        <f aca="false">IF(ISNUMBER(週次_媒体別CP!O159),週次_媒体別CP!O159,0)</f>
        <v>0</v>
      </c>
      <c r="E595" s="76" t="n">
        <f aca="false">IF(ISNUMBER(週次_媒体別CP!O215),週次_媒体別CP!O215,0)</f>
        <v>0</v>
      </c>
      <c r="F595" s="76" t="n">
        <f aca="false">IF(ISNUMBER(週次_媒体別CP!O271),週次_媒体別CP!O271,0)</f>
        <v>0</v>
      </c>
      <c r="G595" s="76" t="n">
        <f aca="false">IF(ISNUMBER(週次_媒体別CP!O327),週次_媒体別CP!O327,0)</f>
        <v>0</v>
      </c>
      <c r="H595" s="76" t="n">
        <f aca="false">IF(ISNUMBER(週次_媒体別CP!O383),週次_媒体別CP!O383,0)</f>
        <v>0</v>
      </c>
      <c r="I595" s="76" t="n">
        <f aca="false">IF(ISNUMBER(週次_媒体別CP!O440),週次_媒体別CP!O440,0)</f>
        <v>0</v>
      </c>
    </row>
    <row r="596" customFormat="false" ht="15" hidden="false" customHeight="false" outlineLevel="0" collapsed="false">
      <c r="A596" s="72" t="s">
        <v>144</v>
      </c>
      <c r="B596" s="76" t="n">
        <f aca="false">IF(ISNUMBER(週次_媒体別CP!O48),週次_媒体別CP!O48,0)</f>
        <v>0</v>
      </c>
      <c r="C596" s="76" t="n">
        <f aca="false">IF(ISNUMBER(週次_媒体別CP!O104),週次_媒体別CP!O104,0)</f>
        <v>0</v>
      </c>
      <c r="D596" s="76" t="n">
        <f aca="false">IF(ISNUMBER(週次_媒体別CP!O160),週次_媒体別CP!O160,0)</f>
        <v>0</v>
      </c>
      <c r="E596" s="76" t="n">
        <f aca="false">IF(ISNUMBER(週次_媒体別CP!O216),週次_媒体別CP!O216,0)</f>
        <v>0</v>
      </c>
      <c r="F596" s="76" t="n">
        <f aca="false">IF(ISNUMBER(週次_媒体別CP!O272),週次_媒体別CP!O272,0)</f>
        <v>0</v>
      </c>
      <c r="G596" s="76" t="n">
        <f aca="false">IF(ISNUMBER(週次_媒体別CP!O328),週次_媒体別CP!O328,0)</f>
        <v>0</v>
      </c>
      <c r="H596" s="76" t="n">
        <f aca="false">IF(ISNUMBER(週次_媒体別CP!O384),週次_媒体別CP!O384,0)</f>
        <v>0</v>
      </c>
      <c r="I596" s="76" t="n">
        <f aca="false">IF(ISNUMBER(週次_媒体別CP!O441),週次_媒体別CP!O441,0)</f>
        <v>0</v>
      </c>
    </row>
    <row r="597" customFormat="false" ht="15" hidden="false" customHeight="false" outlineLevel="0" collapsed="false">
      <c r="A597" s="72" t="s">
        <v>146</v>
      </c>
      <c r="B597" s="76" t="n">
        <f aca="false">IF(ISNUMBER(週次_媒体別CP!O49),週次_媒体別CP!O49,0)</f>
        <v>0</v>
      </c>
      <c r="C597" s="76" t="n">
        <f aca="false">IF(ISNUMBER(週次_媒体別CP!O105),週次_媒体別CP!O105,0)</f>
        <v>0</v>
      </c>
      <c r="D597" s="76" t="n">
        <f aca="false">IF(ISNUMBER(週次_媒体別CP!O161),週次_媒体別CP!O161,0)</f>
        <v>0</v>
      </c>
      <c r="E597" s="76" t="n">
        <f aca="false">IF(ISNUMBER(週次_媒体別CP!O217),週次_媒体別CP!O217,0)</f>
        <v>0</v>
      </c>
      <c r="F597" s="76" t="n">
        <f aca="false">IF(ISNUMBER(週次_媒体別CP!O273),週次_媒体別CP!O273,0)</f>
        <v>0</v>
      </c>
      <c r="G597" s="76" t="n">
        <f aca="false">IF(ISNUMBER(週次_媒体別CP!O329),週次_媒体別CP!O329,0)</f>
        <v>0</v>
      </c>
      <c r="H597" s="76" t="n">
        <f aca="false">IF(ISNUMBER(週次_媒体別CP!O385),週次_媒体別CP!O385,0)</f>
        <v>0</v>
      </c>
      <c r="I597" s="76" t="n">
        <f aca="false">IF(ISNUMBER(週次_媒体別CP!O442),週次_媒体別CP!O442,0)</f>
        <v>0</v>
      </c>
    </row>
    <row r="598" customFormat="false" ht="15" hidden="false" customHeight="false" outlineLevel="0" collapsed="false">
      <c r="A598" s="72" t="s">
        <v>148</v>
      </c>
      <c r="B598" s="76" t="n">
        <f aca="false">IF(ISNUMBER(週次_媒体別CP!O50),週次_媒体別CP!O50,0)</f>
        <v>0</v>
      </c>
      <c r="C598" s="76" t="n">
        <f aca="false">IF(ISNUMBER(週次_媒体別CP!O106),週次_媒体別CP!O106,0)</f>
        <v>0</v>
      </c>
      <c r="D598" s="76" t="n">
        <f aca="false">IF(ISNUMBER(週次_媒体別CP!O162),週次_媒体別CP!O162,0)</f>
        <v>0</v>
      </c>
      <c r="E598" s="76" t="n">
        <f aca="false">IF(ISNUMBER(週次_媒体別CP!O218),週次_媒体別CP!O218,0)</f>
        <v>0</v>
      </c>
      <c r="F598" s="76" t="n">
        <f aca="false">IF(ISNUMBER(週次_媒体別CP!O274),週次_媒体別CP!O274,0)</f>
        <v>0</v>
      </c>
      <c r="G598" s="76" t="n">
        <f aca="false">IF(ISNUMBER(週次_媒体別CP!O330),週次_媒体別CP!O330,0)</f>
        <v>0</v>
      </c>
      <c r="H598" s="76" t="n">
        <f aca="false">IF(ISNUMBER(週次_媒体別CP!O386),週次_媒体別CP!O386,0)</f>
        <v>0</v>
      </c>
      <c r="I598" s="76" t="n">
        <f aca="false">IF(ISNUMBER(週次_媒体別CP!O443),週次_媒体別CP!O443,0)</f>
        <v>0</v>
      </c>
    </row>
    <row r="599" customFormat="false" ht="15" hidden="false" customHeight="false" outlineLevel="0" collapsed="false">
      <c r="A599" s="72" t="s">
        <v>150</v>
      </c>
      <c r="B599" s="76" t="n">
        <f aca="false">IF(ISNUMBER(週次_媒体別CP!O51),週次_媒体別CP!O51,0)</f>
        <v>0</v>
      </c>
      <c r="C599" s="76" t="n">
        <f aca="false">IF(ISNUMBER(週次_媒体別CP!O107),週次_媒体別CP!O107,0)</f>
        <v>0</v>
      </c>
      <c r="D599" s="76" t="n">
        <f aca="false">IF(ISNUMBER(週次_媒体別CP!O163),週次_媒体別CP!O163,0)</f>
        <v>0</v>
      </c>
      <c r="E599" s="76" t="n">
        <f aca="false">IF(ISNUMBER(週次_媒体別CP!O219),週次_媒体別CP!O219,0)</f>
        <v>0</v>
      </c>
      <c r="F599" s="76" t="n">
        <f aca="false">IF(ISNUMBER(週次_媒体別CP!O275),週次_媒体別CP!O275,0)</f>
        <v>0</v>
      </c>
      <c r="G599" s="76" t="n">
        <f aca="false">IF(ISNUMBER(週次_媒体別CP!O331),週次_媒体別CP!O331,0)</f>
        <v>0</v>
      </c>
      <c r="H599" s="76" t="n">
        <f aca="false">IF(ISNUMBER(週次_媒体別CP!O387),週次_媒体別CP!O387,0)</f>
        <v>0</v>
      </c>
      <c r="I599" s="76" t="n">
        <f aca="false">IF(ISNUMBER(週次_媒体別CP!O444),週次_媒体別CP!O444,0)</f>
        <v>0</v>
      </c>
    </row>
    <row r="600" customFormat="false" ht="15" hidden="false" customHeight="false" outlineLevel="0" collapsed="false">
      <c r="A600" s="72" t="s">
        <v>152</v>
      </c>
      <c r="B600" s="76" t="n">
        <f aca="false">IF(ISNUMBER(週次_媒体別CP!O52),週次_媒体別CP!O52,0)</f>
        <v>0</v>
      </c>
      <c r="C600" s="76" t="n">
        <f aca="false">IF(ISNUMBER(週次_媒体別CP!O108),週次_媒体別CP!O108,0)</f>
        <v>0</v>
      </c>
      <c r="D600" s="76" t="n">
        <f aca="false">IF(ISNUMBER(週次_媒体別CP!O164),週次_媒体別CP!O164,0)</f>
        <v>0</v>
      </c>
      <c r="E600" s="76" t="n">
        <f aca="false">IF(ISNUMBER(週次_媒体別CP!O220),週次_媒体別CP!O220,0)</f>
        <v>0</v>
      </c>
      <c r="F600" s="76" t="n">
        <f aca="false">IF(ISNUMBER(週次_媒体別CP!O276),週次_媒体別CP!O276,0)</f>
        <v>0</v>
      </c>
      <c r="G600" s="76" t="n">
        <f aca="false">IF(ISNUMBER(週次_媒体別CP!O332),週次_媒体別CP!O332,0)</f>
        <v>0</v>
      </c>
      <c r="H600" s="76" t="n">
        <f aca="false">IF(ISNUMBER(週次_媒体別CP!O388),週次_媒体別CP!O388,0)</f>
        <v>0</v>
      </c>
      <c r="I600" s="76" t="n">
        <f aca="false">IF(ISNUMBER(週次_媒体別CP!O445),週次_媒体別CP!O445,0)</f>
        <v>0</v>
      </c>
    </row>
    <row r="601" customFormat="false" ht="15" hidden="false" customHeight="false" outlineLevel="0" collapsed="false">
      <c r="A601" s="72" t="s">
        <v>154</v>
      </c>
      <c r="B601" s="76" t="n">
        <f aca="false">IF(ISNUMBER(週次_媒体別CP!O53),週次_媒体別CP!O53,0)</f>
        <v>0</v>
      </c>
      <c r="C601" s="76" t="n">
        <f aca="false">IF(ISNUMBER(週次_媒体別CP!O109),週次_媒体別CP!O109,0)</f>
        <v>0</v>
      </c>
      <c r="D601" s="76" t="n">
        <f aca="false">IF(ISNUMBER(週次_媒体別CP!O165),週次_媒体別CP!O165,0)</f>
        <v>0</v>
      </c>
      <c r="E601" s="76" t="n">
        <f aca="false">IF(ISNUMBER(週次_媒体別CP!O221),週次_媒体別CP!O221,0)</f>
        <v>0</v>
      </c>
      <c r="F601" s="76" t="n">
        <f aca="false">IF(ISNUMBER(週次_媒体別CP!O277),週次_媒体別CP!O277,0)</f>
        <v>0</v>
      </c>
      <c r="G601" s="76" t="n">
        <f aca="false">IF(ISNUMBER(週次_媒体別CP!O333),週次_媒体別CP!O333,0)</f>
        <v>0</v>
      </c>
      <c r="H601" s="76" t="n">
        <f aca="false">IF(ISNUMBER(週次_媒体別CP!O389),週次_媒体別CP!O389,0)</f>
        <v>0</v>
      </c>
      <c r="I601" s="76" t="n">
        <f aca="false">IF(ISNUMBER(週次_媒体別CP!O446),週次_媒体別CP!O446,0)</f>
        <v>0</v>
      </c>
    </row>
    <row r="602" customFormat="false" ht="15" hidden="false" customHeight="false" outlineLevel="0" collapsed="false">
      <c r="A602" s="72" t="s">
        <v>156</v>
      </c>
      <c r="B602" s="76" t="n">
        <f aca="false">IF(ISNUMBER(週次_媒体別CP!O54),週次_媒体別CP!O54,0)</f>
        <v>0</v>
      </c>
      <c r="C602" s="76" t="n">
        <f aca="false">IF(ISNUMBER(週次_媒体別CP!O110),週次_媒体別CP!O110,0)</f>
        <v>0</v>
      </c>
      <c r="D602" s="76" t="n">
        <f aca="false">IF(ISNUMBER(週次_媒体別CP!O166),週次_媒体別CP!O166,0)</f>
        <v>0</v>
      </c>
      <c r="E602" s="76" t="n">
        <f aca="false">IF(ISNUMBER(週次_媒体別CP!O222),週次_媒体別CP!O222,0)</f>
        <v>0</v>
      </c>
      <c r="F602" s="76" t="n">
        <f aca="false">IF(ISNUMBER(週次_媒体別CP!O278),週次_媒体別CP!O278,0)</f>
        <v>0</v>
      </c>
      <c r="G602" s="76" t="n">
        <f aca="false">IF(ISNUMBER(週次_媒体別CP!O334),週次_媒体別CP!O334,0)</f>
        <v>0</v>
      </c>
      <c r="H602" s="76" t="n">
        <f aca="false">IF(ISNUMBER(週次_媒体別CP!O390),週次_媒体別CP!O390,0)</f>
        <v>0</v>
      </c>
      <c r="I602" s="76" t="n">
        <f aca="false">IF(ISNUMBER(週次_媒体別CP!O447),週次_媒体別CP!O447,0)</f>
        <v>0</v>
      </c>
    </row>
    <row r="603" customFormat="false" ht="15" hidden="false" customHeight="false" outlineLevel="0" collapsed="false">
      <c r="A603" s="72" t="s">
        <v>158</v>
      </c>
      <c r="B603" s="76" t="n">
        <f aca="false">IF(ISNUMBER(週次_媒体別CP!O55),週次_媒体別CP!O55,0)</f>
        <v>0</v>
      </c>
      <c r="C603" s="76" t="n">
        <f aca="false">IF(ISNUMBER(週次_媒体別CP!O111),週次_媒体別CP!O111,0)</f>
        <v>0</v>
      </c>
      <c r="D603" s="76" t="n">
        <f aca="false">IF(ISNUMBER(週次_媒体別CP!O167),週次_媒体別CP!O167,0)</f>
        <v>0</v>
      </c>
      <c r="E603" s="76" t="n">
        <f aca="false">IF(ISNUMBER(週次_媒体別CP!O223),週次_媒体別CP!O223,0)</f>
        <v>0</v>
      </c>
      <c r="F603" s="76" t="n">
        <f aca="false">IF(ISNUMBER(週次_媒体別CP!O279),週次_媒体別CP!O279,0)</f>
        <v>0</v>
      </c>
      <c r="G603" s="76" t="n">
        <f aca="false">IF(ISNUMBER(週次_媒体別CP!O335),週次_媒体別CP!O335,0)</f>
        <v>0</v>
      </c>
      <c r="H603" s="76" t="n">
        <f aca="false">IF(ISNUMBER(週次_媒体別CP!O391),週次_媒体別CP!O391,0)</f>
        <v>0</v>
      </c>
      <c r="I603" s="76" t="n">
        <f aca="false">IF(ISNUMBER(週次_媒体別CP!O448),週次_媒体別CP!O448,0)</f>
        <v>0</v>
      </c>
    </row>
    <row r="604" customFormat="false" ht="15" hidden="false" customHeight="false" outlineLevel="0" collapsed="false">
      <c r="A604" s="72" t="s">
        <v>160</v>
      </c>
      <c r="B604" s="76" t="n">
        <f aca="false">IF(ISNUMBER(週次_媒体別CP!O56),週次_媒体別CP!O56,0)</f>
        <v>0</v>
      </c>
      <c r="C604" s="76" t="n">
        <f aca="false">IF(ISNUMBER(週次_媒体別CP!O112),週次_媒体別CP!O112,0)</f>
        <v>0</v>
      </c>
      <c r="D604" s="76" t="n">
        <f aca="false">IF(ISNUMBER(週次_媒体別CP!O168),週次_媒体別CP!O168,0)</f>
        <v>0</v>
      </c>
      <c r="E604" s="76" t="n">
        <f aca="false">IF(ISNUMBER(週次_媒体別CP!O224),週次_媒体別CP!O224,0)</f>
        <v>0</v>
      </c>
      <c r="F604" s="76" t="n">
        <f aca="false">IF(ISNUMBER(週次_媒体別CP!O280),週次_媒体別CP!O280,0)</f>
        <v>0</v>
      </c>
      <c r="G604" s="76" t="n">
        <f aca="false">IF(ISNUMBER(週次_媒体別CP!O336),週次_媒体別CP!O336,0)</f>
        <v>0</v>
      </c>
      <c r="H604" s="76" t="n">
        <f aca="false">IF(ISNUMBER(週次_媒体別CP!O392),週次_媒体別CP!O392,0)</f>
        <v>0</v>
      </c>
      <c r="I604" s="76" t="n">
        <f aca="false">IF(ISNUMBER(週次_媒体別CP!O449),週次_媒体別CP!O449,0)</f>
        <v>0</v>
      </c>
    </row>
    <row r="605" customFormat="false" ht="15" hidden="false" customHeight="false" outlineLevel="0" collapsed="false">
      <c r="A605" s="72" t="s">
        <v>162</v>
      </c>
      <c r="B605" s="76" t="n">
        <f aca="false">IF(ISNUMBER(週次_媒体別CP!O57),週次_媒体別CP!O57,0)</f>
        <v>0</v>
      </c>
      <c r="C605" s="76" t="n">
        <f aca="false">IF(ISNUMBER(週次_媒体別CP!O113),週次_媒体別CP!O113,0)</f>
        <v>0</v>
      </c>
      <c r="D605" s="76" t="n">
        <f aca="false">IF(ISNUMBER(週次_媒体別CP!O169),週次_媒体別CP!O169,0)</f>
        <v>0</v>
      </c>
      <c r="E605" s="76" t="n">
        <f aca="false">IF(ISNUMBER(週次_媒体別CP!O225),週次_媒体別CP!O225,0)</f>
        <v>0</v>
      </c>
      <c r="F605" s="76" t="n">
        <f aca="false">IF(ISNUMBER(週次_媒体別CP!O281),週次_媒体別CP!O281,0)</f>
        <v>0</v>
      </c>
      <c r="G605" s="76" t="n">
        <f aca="false">IF(ISNUMBER(週次_媒体別CP!O337),週次_媒体別CP!O337,0)</f>
        <v>0</v>
      </c>
      <c r="H605" s="76" t="n">
        <f aca="false">IF(ISNUMBER(週次_媒体別CP!O393),週次_媒体別CP!O393,0)</f>
        <v>0</v>
      </c>
      <c r="I605" s="76" t="n">
        <f aca="false">IF(ISNUMBER(週次_媒体別CP!O450),週次_媒体別CP!O450,0)</f>
        <v>0</v>
      </c>
    </row>
    <row r="607" customFormat="false" ht="15" hidden="false" customHeight="false" outlineLevel="0" collapsed="false">
      <c r="A607" s="69" t="s">
        <v>58</v>
      </c>
    </row>
    <row r="608" customFormat="false" ht="37.3" hidden="false" customHeight="false" outlineLevel="0" collapsed="false">
      <c r="A608" s="70" t="s">
        <v>48</v>
      </c>
      <c r="B608" s="71" t="s">
        <v>243</v>
      </c>
      <c r="C608" s="71" t="s">
        <v>244</v>
      </c>
      <c r="D608" s="71" t="s">
        <v>245</v>
      </c>
      <c r="E608" s="71" t="s">
        <v>246</v>
      </c>
      <c r="F608" s="71" t="s">
        <v>247</v>
      </c>
      <c r="G608" s="71" t="s">
        <v>248</v>
      </c>
      <c r="H608" s="71" t="s">
        <v>249</v>
      </c>
    </row>
    <row r="609" customFormat="false" ht="15" hidden="false" customHeight="false" outlineLevel="0" collapsed="false">
      <c r="A609" s="72" t="s">
        <v>59</v>
      </c>
      <c r="B609" s="78" t="n">
        <f aca="false">IF(ISNUMBER(週次_媒体別CP!R6),週次_媒体別CP!R6,0)</f>
        <v>0</v>
      </c>
      <c r="C609" s="78" t="n">
        <f aca="false">IF(ISNUMBER(週次_媒体別CP!R62),週次_媒体別CP!R62,0)</f>
        <v>0</v>
      </c>
      <c r="D609" s="78" t="n">
        <f aca="false">IF(ISNUMBER(週次_媒体別CP!R118),週次_媒体別CP!R118,0)</f>
        <v>0</v>
      </c>
      <c r="E609" s="78" t="n">
        <f aca="false">IF(ISNUMBER(週次_媒体別CP!R174),週次_媒体別CP!R174,0)</f>
        <v>0</v>
      </c>
      <c r="F609" s="78" t="n">
        <f aca="false">IF(ISNUMBER(週次_媒体別CP!R230),週次_媒体別CP!R230,0)</f>
        <v>0</v>
      </c>
      <c r="G609" s="78" t="n">
        <f aca="false">IF(ISNUMBER(週次_媒体別CP!R286),週次_媒体別CP!R286,0)</f>
        <v>0</v>
      </c>
      <c r="H609" s="78" t="n">
        <f aca="false">IF(ISNUMBER(週次_媒体別CP!R342),週次_媒体別CP!R342,0)</f>
        <v>0</v>
      </c>
    </row>
    <row r="610" customFormat="false" ht="15" hidden="false" customHeight="false" outlineLevel="0" collapsed="false">
      <c r="A610" s="72" t="s">
        <v>61</v>
      </c>
      <c r="B610" s="78" t="n">
        <f aca="false">IF(ISNUMBER(週次_媒体別CP!R7),週次_媒体別CP!R7,0)</f>
        <v>0</v>
      </c>
      <c r="C610" s="78" t="n">
        <f aca="false">IF(ISNUMBER(週次_媒体別CP!R63),週次_媒体別CP!R63,0)</f>
        <v>0</v>
      </c>
      <c r="D610" s="78" t="n">
        <f aca="false">IF(ISNUMBER(週次_媒体別CP!R119),週次_媒体別CP!R119,0)</f>
        <v>0</v>
      </c>
      <c r="E610" s="78" t="n">
        <f aca="false">IF(ISNUMBER(週次_媒体別CP!R175),週次_媒体別CP!R175,0)</f>
        <v>0</v>
      </c>
      <c r="F610" s="78" t="n">
        <f aca="false">IF(ISNUMBER(週次_媒体別CP!R231),週次_媒体別CP!R231,0)</f>
        <v>0</v>
      </c>
      <c r="G610" s="78" t="n">
        <f aca="false">IF(ISNUMBER(週次_媒体別CP!R287),週次_媒体別CP!R287,0)</f>
        <v>0</v>
      </c>
      <c r="H610" s="78" t="n">
        <f aca="false">IF(ISNUMBER(週次_媒体別CP!R343),週次_媒体別CP!R343,0)</f>
        <v>0</v>
      </c>
    </row>
    <row r="611" customFormat="false" ht="15" hidden="false" customHeight="false" outlineLevel="0" collapsed="false">
      <c r="A611" s="72" t="s">
        <v>63</v>
      </c>
      <c r="B611" s="78" t="n">
        <f aca="false">IF(ISNUMBER(週次_媒体別CP!R8),週次_媒体別CP!R8,0)</f>
        <v>0</v>
      </c>
      <c r="C611" s="78" t="n">
        <f aca="false">IF(ISNUMBER(週次_媒体別CP!R64),週次_媒体別CP!R64,0)</f>
        <v>0</v>
      </c>
      <c r="D611" s="78" t="n">
        <f aca="false">IF(ISNUMBER(週次_媒体別CP!R120),週次_媒体別CP!R120,0)</f>
        <v>0</v>
      </c>
      <c r="E611" s="78" t="n">
        <f aca="false">IF(ISNUMBER(週次_媒体別CP!R176),週次_媒体別CP!R176,0)</f>
        <v>0</v>
      </c>
      <c r="F611" s="78" t="n">
        <f aca="false">IF(ISNUMBER(週次_媒体別CP!R232),週次_媒体別CP!R232,0)</f>
        <v>0</v>
      </c>
      <c r="G611" s="78" t="n">
        <f aca="false">IF(ISNUMBER(週次_媒体別CP!R288),週次_媒体別CP!R288,0)</f>
        <v>0</v>
      </c>
      <c r="H611" s="78" t="n">
        <f aca="false">IF(ISNUMBER(週次_媒体別CP!R344),週次_媒体別CP!R344,0)</f>
        <v>0</v>
      </c>
    </row>
    <row r="612" customFormat="false" ht="15" hidden="false" customHeight="false" outlineLevel="0" collapsed="false">
      <c r="A612" s="72" t="s">
        <v>65</v>
      </c>
      <c r="B612" s="78" t="n">
        <f aca="false">IF(ISNUMBER(週次_媒体別CP!R9),週次_媒体別CP!R9,0)</f>
        <v>0</v>
      </c>
      <c r="C612" s="78" t="n">
        <f aca="false">IF(ISNUMBER(週次_媒体別CP!R65),週次_媒体別CP!R65,0)</f>
        <v>0</v>
      </c>
      <c r="D612" s="78" t="n">
        <f aca="false">IF(ISNUMBER(週次_媒体別CP!R121),週次_媒体別CP!R121,0)</f>
        <v>0</v>
      </c>
      <c r="E612" s="78" t="n">
        <f aca="false">IF(ISNUMBER(週次_媒体別CP!R177),週次_媒体別CP!R177,0)</f>
        <v>0</v>
      </c>
      <c r="F612" s="78" t="n">
        <f aca="false">IF(ISNUMBER(週次_媒体別CP!R233),週次_媒体別CP!R233,0)</f>
        <v>0</v>
      </c>
      <c r="G612" s="78" t="n">
        <f aca="false">IF(ISNUMBER(週次_媒体別CP!R289),週次_媒体別CP!R289,0)</f>
        <v>0</v>
      </c>
      <c r="H612" s="78" t="n">
        <f aca="false">IF(ISNUMBER(週次_媒体別CP!R345),週次_媒体別CP!R345,0)</f>
        <v>0</v>
      </c>
    </row>
    <row r="613" customFormat="false" ht="15" hidden="false" customHeight="false" outlineLevel="0" collapsed="false">
      <c r="A613" s="72" t="s">
        <v>68</v>
      </c>
      <c r="B613" s="78" t="n">
        <f aca="false">IF(ISNUMBER(週次_媒体別CP!R10),週次_媒体別CP!R10,0)</f>
        <v>0</v>
      </c>
      <c r="C613" s="78" t="n">
        <f aca="false">IF(ISNUMBER(週次_媒体別CP!R66),週次_媒体別CP!R66,0)</f>
        <v>0</v>
      </c>
      <c r="D613" s="78" t="n">
        <f aca="false">IF(ISNUMBER(週次_媒体別CP!R122),週次_媒体別CP!R122,0)</f>
        <v>0</v>
      </c>
      <c r="E613" s="78" t="n">
        <f aca="false">IF(ISNUMBER(週次_媒体別CP!R178),週次_媒体別CP!R178,0)</f>
        <v>0</v>
      </c>
      <c r="F613" s="78" t="n">
        <f aca="false">IF(ISNUMBER(週次_媒体別CP!R234),週次_媒体別CP!R234,0)</f>
        <v>0</v>
      </c>
      <c r="G613" s="78" t="n">
        <f aca="false">IF(ISNUMBER(週次_媒体別CP!R290),週次_媒体別CP!R290,0)</f>
        <v>0</v>
      </c>
      <c r="H613" s="78" t="n">
        <f aca="false">IF(ISNUMBER(週次_媒体別CP!R346),週次_媒体別CP!R346,0)</f>
        <v>0</v>
      </c>
    </row>
    <row r="614" customFormat="false" ht="15" hidden="false" customHeight="false" outlineLevel="0" collapsed="false">
      <c r="A614" s="72" t="s">
        <v>70</v>
      </c>
      <c r="B614" s="78" t="n">
        <f aca="false">IF(ISNUMBER(週次_媒体別CP!R11),週次_媒体別CP!R11,0)</f>
        <v>0</v>
      </c>
      <c r="C614" s="78" t="n">
        <f aca="false">IF(ISNUMBER(週次_媒体別CP!R67),週次_媒体別CP!R67,0)</f>
        <v>0</v>
      </c>
      <c r="D614" s="78" t="n">
        <f aca="false">IF(ISNUMBER(週次_媒体別CP!R123),週次_媒体別CP!R123,0)</f>
        <v>0</v>
      </c>
      <c r="E614" s="78" t="n">
        <f aca="false">IF(ISNUMBER(週次_媒体別CP!R179),週次_媒体別CP!R179,0)</f>
        <v>0</v>
      </c>
      <c r="F614" s="78" t="n">
        <f aca="false">IF(ISNUMBER(週次_媒体別CP!R235),週次_媒体別CP!R235,0)</f>
        <v>0</v>
      </c>
      <c r="G614" s="78" t="n">
        <f aca="false">IF(ISNUMBER(週次_媒体別CP!R291),週次_媒体別CP!R291,0)</f>
        <v>0</v>
      </c>
      <c r="H614" s="78" t="n">
        <f aca="false">IF(ISNUMBER(週次_媒体別CP!R347),週次_媒体別CP!R347,0)</f>
        <v>0</v>
      </c>
    </row>
    <row r="615" customFormat="false" ht="15" hidden="false" customHeight="false" outlineLevel="0" collapsed="false">
      <c r="A615" s="72" t="s">
        <v>72</v>
      </c>
      <c r="B615" s="78" t="n">
        <f aca="false">IF(ISNUMBER(週次_媒体別CP!R12),週次_媒体別CP!R12,0)</f>
        <v>0</v>
      </c>
      <c r="C615" s="78" t="n">
        <f aca="false">IF(ISNUMBER(週次_媒体別CP!R68),週次_媒体別CP!R68,0)</f>
        <v>2.90598614213775</v>
      </c>
      <c r="D615" s="78" t="n">
        <f aca="false">IF(ISNUMBER(週次_媒体別CP!R124),週次_媒体別CP!R124,0)</f>
        <v>0</v>
      </c>
      <c r="E615" s="78" t="n">
        <f aca="false">IF(ISNUMBER(週次_媒体別CP!R180),週次_媒体別CP!R180,0)</f>
        <v>0</v>
      </c>
      <c r="F615" s="78" t="n">
        <f aca="false">IF(ISNUMBER(週次_媒体別CP!R236),週次_媒体別CP!R236,0)</f>
        <v>0</v>
      </c>
      <c r="G615" s="78" t="n">
        <f aca="false">IF(ISNUMBER(週次_媒体別CP!R292),週次_媒体別CP!R292,0)</f>
        <v>0</v>
      </c>
      <c r="H615" s="78" t="n">
        <f aca="false">IF(ISNUMBER(週次_媒体別CP!R348),週次_媒体別CP!R348,0)</f>
        <v>0</v>
      </c>
    </row>
    <row r="616" customFormat="false" ht="15" hidden="false" customHeight="false" outlineLevel="0" collapsed="false">
      <c r="A616" s="72" t="s">
        <v>74</v>
      </c>
      <c r="B616" s="78" t="n">
        <f aca="false">IF(ISNUMBER(週次_媒体別CP!R13),週次_媒体別CP!R13,0)</f>
        <v>0</v>
      </c>
      <c r="C616" s="78" t="n">
        <f aca="false">IF(ISNUMBER(週次_媒体別CP!R69),週次_媒体別CP!R69,0)</f>
        <v>0</v>
      </c>
      <c r="D616" s="78" t="n">
        <f aca="false">IF(ISNUMBER(週次_媒体別CP!R125),週次_媒体別CP!R125,0)</f>
        <v>0</v>
      </c>
      <c r="E616" s="78" t="n">
        <f aca="false">IF(ISNUMBER(週次_媒体別CP!R181),週次_媒体別CP!R181,0)</f>
        <v>0</v>
      </c>
      <c r="F616" s="78" t="n">
        <f aca="false">IF(ISNUMBER(週次_媒体別CP!R237),週次_媒体別CP!R237,0)</f>
        <v>0</v>
      </c>
      <c r="G616" s="78" t="n">
        <f aca="false">IF(ISNUMBER(週次_媒体別CP!R293),週次_媒体別CP!R293,0)</f>
        <v>0</v>
      </c>
      <c r="H616" s="78" t="n">
        <f aca="false">IF(ISNUMBER(週次_媒体別CP!R349),週次_媒体別CP!R349,0)</f>
        <v>0</v>
      </c>
    </row>
    <row r="617" customFormat="false" ht="15" hidden="false" customHeight="false" outlineLevel="0" collapsed="false">
      <c r="A617" s="72" t="s">
        <v>76</v>
      </c>
      <c r="B617" s="78" t="n">
        <f aca="false">IF(ISNUMBER(週次_媒体別CP!R14),週次_媒体別CP!R14,0)</f>
        <v>0</v>
      </c>
      <c r="C617" s="78" t="n">
        <f aca="false">IF(ISNUMBER(週次_媒体別CP!R70),週次_媒体別CP!R70,0)</f>
        <v>0</v>
      </c>
      <c r="D617" s="78" t="n">
        <f aca="false">IF(ISNUMBER(週次_媒体別CP!R126),週次_媒体別CP!R126,0)</f>
        <v>0</v>
      </c>
      <c r="E617" s="78" t="n">
        <f aca="false">IF(ISNUMBER(週次_媒体別CP!R182),週次_媒体別CP!R182,0)</f>
        <v>0</v>
      </c>
      <c r="F617" s="78" t="n">
        <f aca="false">IF(ISNUMBER(週次_媒体別CP!R238),週次_媒体別CP!R238,0)</f>
        <v>0</v>
      </c>
      <c r="G617" s="78" t="n">
        <f aca="false">IF(ISNUMBER(週次_媒体別CP!R294),週次_媒体別CP!R294,0)</f>
        <v>0</v>
      </c>
      <c r="H617" s="78" t="n">
        <f aca="false">IF(ISNUMBER(週次_媒体別CP!R350),週次_媒体別CP!R350,0)</f>
        <v>0</v>
      </c>
    </row>
    <row r="618" customFormat="false" ht="15" hidden="false" customHeight="false" outlineLevel="0" collapsed="false">
      <c r="A618" s="72" t="s">
        <v>78</v>
      </c>
      <c r="B618" s="78" t="n">
        <f aca="false">IF(ISNUMBER(週次_媒体別CP!R15),週次_媒体別CP!R15,0)</f>
        <v>0</v>
      </c>
      <c r="C618" s="78" t="n">
        <f aca="false">IF(ISNUMBER(週次_媒体別CP!R71),週次_媒体別CP!R71,0)</f>
        <v>0</v>
      </c>
      <c r="D618" s="78" t="n">
        <f aca="false">IF(ISNUMBER(週次_媒体別CP!R127),週次_媒体別CP!R127,0)</f>
        <v>0</v>
      </c>
      <c r="E618" s="78" t="n">
        <f aca="false">IF(ISNUMBER(週次_媒体別CP!R183),週次_媒体別CP!R183,0)</f>
        <v>0</v>
      </c>
      <c r="F618" s="78" t="n">
        <f aca="false">IF(ISNUMBER(週次_媒体別CP!R239),週次_媒体別CP!R239,0)</f>
        <v>0</v>
      </c>
      <c r="G618" s="78" t="n">
        <f aca="false">IF(ISNUMBER(週次_媒体別CP!R295),週次_媒体別CP!R295,0)</f>
        <v>0</v>
      </c>
      <c r="H618" s="78" t="n">
        <f aca="false">IF(ISNUMBER(週次_媒体別CP!R351),週次_媒体別CP!R351,0)</f>
        <v>0</v>
      </c>
    </row>
    <row r="619" customFormat="false" ht="15" hidden="false" customHeight="false" outlineLevel="0" collapsed="false">
      <c r="A619" s="72" t="s">
        <v>80</v>
      </c>
      <c r="B619" s="78" t="n">
        <f aca="false">IF(ISNUMBER(週次_媒体別CP!R16),週次_媒体別CP!R16,0)</f>
        <v>0</v>
      </c>
      <c r="C619" s="78" t="n">
        <f aca="false">IF(ISNUMBER(週次_媒体別CP!R72),週次_媒体別CP!R72,0)</f>
        <v>0</v>
      </c>
      <c r="D619" s="78" t="n">
        <f aca="false">IF(ISNUMBER(週次_媒体別CP!R128),週次_媒体別CP!R128,0)</f>
        <v>0</v>
      </c>
      <c r="E619" s="78" t="n">
        <f aca="false">IF(ISNUMBER(週次_媒体別CP!R184),週次_媒体別CP!R184,0)</f>
        <v>0</v>
      </c>
      <c r="F619" s="78" t="n">
        <f aca="false">IF(ISNUMBER(週次_媒体別CP!R240),週次_媒体別CP!R240,0)</f>
        <v>0</v>
      </c>
      <c r="G619" s="78" t="n">
        <f aca="false">IF(ISNUMBER(週次_媒体別CP!R296),週次_媒体別CP!R296,0)</f>
        <v>0</v>
      </c>
      <c r="H619" s="78" t="n">
        <f aca="false">IF(ISNUMBER(週次_媒体別CP!R352),週次_媒体別CP!R352,0)</f>
        <v>0</v>
      </c>
    </row>
    <row r="620" customFormat="false" ht="15" hidden="false" customHeight="false" outlineLevel="0" collapsed="false">
      <c r="A620" s="72" t="s">
        <v>82</v>
      </c>
      <c r="B620" s="78" t="n">
        <f aca="false">IF(ISNUMBER(週次_媒体別CP!R17),週次_媒体別CP!R17,0)</f>
        <v>0</v>
      </c>
      <c r="C620" s="78" t="n">
        <f aca="false">IF(ISNUMBER(週次_媒体別CP!R73),週次_媒体別CP!R73,0)</f>
        <v>0</v>
      </c>
      <c r="D620" s="78" t="n">
        <f aca="false">IF(ISNUMBER(週次_媒体別CP!R129),週次_媒体別CP!R129,0)</f>
        <v>0</v>
      </c>
      <c r="E620" s="78" t="n">
        <f aca="false">IF(ISNUMBER(週次_媒体別CP!R185),週次_媒体別CP!R185,0)</f>
        <v>0</v>
      </c>
      <c r="F620" s="78" t="n">
        <f aca="false">IF(ISNUMBER(週次_媒体別CP!R241),週次_媒体別CP!R241,0)</f>
        <v>0</v>
      </c>
      <c r="G620" s="78" t="n">
        <f aca="false">IF(ISNUMBER(週次_媒体別CP!R297),週次_媒体別CP!R297,0)</f>
        <v>0</v>
      </c>
      <c r="H620" s="78" t="n">
        <f aca="false">IF(ISNUMBER(週次_媒体別CP!R353),週次_媒体別CP!R353,0)</f>
        <v>0</v>
      </c>
    </row>
    <row r="621" customFormat="false" ht="15" hidden="false" customHeight="false" outlineLevel="0" collapsed="false">
      <c r="A621" s="72" t="s">
        <v>84</v>
      </c>
      <c r="B621" s="78" t="n">
        <f aca="false">IF(ISNUMBER(週次_媒体別CP!R18),週次_媒体別CP!R18,0)</f>
        <v>0</v>
      </c>
      <c r="C621" s="78" t="n">
        <f aca="false">IF(ISNUMBER(週次_媒体別CP!R74),週次_媒体別CP!R74,0)</f>
        <v>0</v>
      </c>
      <c r="D621" s="78" t="n">
        <f aca="false">IF(ISNUMBER(週次_媒体別CP!R130),週次_媒体別CP!R130,0)</f>
        <v>0</v>
      </c>
      <c r="E621" s="78" t="n">
        <f aca="false">IF(ISNUMBER(週次_媒体別CP!R186),週次_媒体別CP!R186,0)</f>
        <v>0</v>
      </c>
      <c r="F621" s="78" t="n">
        <f aca="false">IF(ISNUMBER(週次_媒体別CP!R242),週次_媒体別CP!R242,0)</f>
        <v>0</v>
      </c>
      <c r="G621" s="78" t="n">
        <f aca="false">IF(ISNUMBER(週次_媒体別CP!R298),週次_媒体別CP!R298,0)</f>
        <v>0</v>
      </c>
      <c r="H621" s="78" t="n">
        <f aca="false">IF(ISNUMBER(週次_媒体別CP!R354),週次_媒体別CP!R354,0)</f>
        <v>0</v>
      </c>
    </row>
    <row r="622" customFormat="false" ht="15" hidden="false" customHeight="false" outlineLevel="0" collapsed="false">
      <c r="A622" s="72" t="s">
        <v>86</v>
      </c>
      <c r="B622" s="78" t="n">
        <f aca="false">IF(ISNUMBER(週次_媒体別CP!R19),週次_媒体別CP!R19,0)</f>
        <v>0</v>
      </c>
      <c r="C622" s="78" t="n">
        <f aca="false">IF(ISNUMBER(週次_媒体別CP!R75),週次_媒体別CP!R75,0)</f>
        <v>0</v>
      </c>
      <c r="D622" s="78" t="n">
        <f aca="false">IF(ISNUMBER(週次_媒体別CP!R131),週次_媒体別CP!R131,0)</f>
        <v>0</v>
      </c>
      <c r="E622" s="78" t="n">
        <f aca="false">IF(ISNUMBER(週次_媒体別CP!R187),週次_媒体別CP!R187,0)</f>
        <v>0</v>
      </c>
      <c r="F622" s="78" t="n">
        <f aca="false">IF(ISNUMBER(週次_媒体別CP!R243),週次_媒体別CP!R243,0)</f>
        <v>0</v>
      </c>
      <c r="G622" s="78" t="n">
        <f aca="false">IF(ISNUMBER(週次_媒体別CP!R299),週次_媒体別CP!R299,0)</f>
        <v>0</v>
      </c>
      <c r="H622" s="78" t="n">
        <f aca="false">IF(ISNUMBER(週次_媒体別CP!R355),週次_媒体別CP!R355,0)</f>
        <v>0</v>
      </c>
    </row>
    <row r="623" customFormat="false" ht="15" hidden="false" customHeight="false" outlineLevel="0" collapsed="false">
      <c r="A623" s="72" t="s">
        <v>88</v>
      </c>
      <c r="B623" s="78" t="n">
        <f aca="false">IF(ISNUMBER(週次_媒体別CP!R20),週次_媒体別CP!R20,0)</f>
        <v>0</v>
      </c>
      <c r="C623" s="78" t="n">
        <f aca="false">IF(ISNUMBER(週次_媒体別CP!R76),週次_媒体別CP!R76,0)</f>
        <v>0</v>
      </c>
      <c r="D623" s="78" t="n">
        <f aca="false">IF(ISNUMBER(週次_媒体別CP!R132),週次_媒体別CP!R132,0)</f>
        <v>0</v>
      </c>
      <c r="E623" s="78" t="n">
        <f aca="false">IF(ISNUMBER(週次_媒体別CP!R188),週次_媒体別CP!R188,0)</f>
        <v>0</v>
      </c>
      <c r="F623" s="78" t="n">
        <f aca="false">IF(ISNUMBER(週次_媒体別CP!R244),週次_媒体別CP!R244,0)</f>
        <v>0</v>
      </c>
      <c r="G623" s="78" t="n">
        <f aca="false">IF(ISNUMBER(週次_媒体別CP!R300),週次_媒体別CP!R300,0)</f>
        <v>0</v>
      </c>
      <c r="H623" s="78" t="n">
        <f aca="false">IF(ISNUMBER(週次_媒体別CP!R356),週次_媒体別CP!R356,0)</f>
        <v>0</v>
      </c>
    </row>
    <row r="624" customFormat="false" ht="15" hidden="false" customHeight="false" outlineLevel="0" collapsed="false">
      <c r="A624" s="72" t="s">
        <v>90</v>
      </c>
      <c r="B624" s="78" t="n">
        <f aca="false">IF(ISNUMBER(週次_媒体別CP!R21),週次_媒体別CP!R21,0)</f>
        <v>0</v>
      </c>
      <c r="C624" s="78" t="n">
        <f aca="false">IF(ISNUMBER(週次_媒体別CP!R77),週次_媒体別CP!R77,0)</f>
        <v>0</v>
      </c>
      <c r="D624" s="78" t="n">
        <f aca="false">IF(ISNUMBER(週次_媒体別CP!R133),週次_媒体別CP!R133,0)</f>
        <v>0</v>
      </c>
      <c r="E624" s="78" t="n">
        <f aca="false">IF(ISNUMBER(週次_媒体別CP!R189),週次_媒体別CP!R189,0)</f>
        <v>0</v>
      </c>
      <c r="F624" s="78" t="n">
        <f aca="false">IF(ISNUMBER(週次_媒体別CP!R245),週次_媒体別CP!R245,0)</f>
        <v>0</v>
      </c>
      <c r="G624" s="78" t="n">
        <f aca="false">IF(ISNUMBER(週次_媒体別CP!R301),週次_媒体別CP!R301,0)</f>
        <v>0</v>
      </c>
      <c r="H624" s="78" t="n">
        <f aca="false">IF(ISNUMBER(週次_媒体別CP!R357),週次_媒体別CP!R357,0)</f>
        <v>0</v>
      </c>
    </row>
    <row r="625" customFormat="false" ht="15" hidden="false" customHeight="false" outlineLevel="0" collapsed="false">
      <c r="A625" s="72" t="s">
        <v>92</v>
      </c>
      <c r="B625" s="78" t="n">
        <f aca="false">IF(ISNUMBER(週次_媒体別CP!R22),週次_媒体別CP!R22,0)</f>
        <v>0</v>
      </c>
      <c r="C625" s="78" t="n">
        <f aca="false">IF(ISNUMBER(週次_媒体別CP!R78),週次_媒体別CP!R78,0)</f>
        <v>0</v>
      </c>
      <c r="D625" s="78" t="n">
        <f aca="false">IF(ISNUMBER(週次_媒体別CP!R134),週次_媒体別CP!R134,0)</f>
        <v>0</v>
      </c>
      <c r="E625" s="78" t="n">
        <f aca="false">IF(ISNUMBER(週次_媒体別CP!R190),週次_媒体別CP!R190,0)</f>
        <v>0</v>
      </c>
      <c r="F625" s="78" t="n">
        <f aca="false">IF(ISNUMBER(週次_媒体別CP!R246),週次_媒体別CP!R246,0)</f>
        <v>0</v>
      </c>
      <c r="G625" s="78" t="n">
        <f aca="false">IF(ISNUMBER(週次_媒体別CP!R302),週次_媒体別CP!R302,0)</f>
        <v>0</v>
      </c>
      <c r="H625" s="78" t="n">
        <f aca="false">IF(ISNUMBER(週次_媒体別CP!R358),週次_媒体別CP!R358,0)</f>
        <v>0</v>
      </c>
    </row>
    <row r="626" customFormat="false" ht="15" hidden="false" customHeight="false" outlineLevel="0" collapsed="false">
      <c r="A626" s="72" t="s">
        <v>94</v>
      </c>
      <c r="B626" s="78" t="n">
        <f aca="false">IF(ISNUMBER(週次_媒体別CP!R23),週次_媒体別CP!R23,0)</f>
        <v>0</v>
      </c>
      <c r="C626" s="78" t="n">
        <f aca="false">IF(ISNUMBER(週次_媒体別CP!R79),週次_媒体別CP!R79,0)</f>
        <v>0</v>
      </c>
      <c r="D626" s="78" t="n">
        <f aca="false">IF(ISNUMBER(週次_媒体別CP!R135),週次_媒体別CP!R135,0)</f>
        <v>0</v>
      </c>
      <c r="E626" s="78" t="n">
        <f aca="false">IF(ISNUMBER(週次_媒体別CP!R191),週次_媒体別CP!R191,0)</f>
        <v>0</v>
      </c>
      <c r="F626" s="78" t="n">
        <f aca="false">IF(ISNUMBER(週次_媒体別CP!R247),週次_媒体別CP!R247,0)</f>
        <v>0</v>
      </c>
      <c r="G626" s="78" t="n">
        <f aca="false">IF(ISNUMBER(週次_媒体別CP!R303),週次_媒体別CP!R303,0)</f>
        <v>0</v>
      </c>
      <c r="H626" s="78" t="n">
        <f aca="false">IF(ISNUMBER(週次_媒体別CP!R359),週次_媒体別CP!R359,0)</f>
        <v>0</v>
      </c>
    </row>
    <row r="627" customFormat="false" ht="15" hidden="false" customHeight="false" outlineLevel="0" collapsed="false">
      <c r="A627" s="72" t="s">
        <v>96</v>
      </c>
      <c r="B627" s="78" t="n">
        <f aca="false">IF(ISNUMBER(週次_媒体別CP!R24),週次_媒体別CP!R24,0)</f>
        <v>0</v>
      </c>
      <c r="C627" s="78" t="n">
        <f aca="false">IF(ISNUMBER(週次_媒体別CP!R80),週次_媒体別CP!R80,0)</f>
        <v>0</v>
      </c>
      <c r="D627" s="78" t="n">
        <f aca="false">IF(ISNUMBER(週次_媒体別CP!R136),週次_媒体別CP!R136,0)</f>
        <v>0</v>
      </c>
      <c r="E627" s="78" t="n">
        <f aca="false">IF(ISNUMBER(週次_媒体別CP!R192),週次_媒体別CP!R192,0)</f>
        <v>0</v>
      </c>
      <c r="F627" s="78" t="n">
        <f aca="false">IF(ISNUMBER(週次_媒体別CP!R248),週次_媒体別CP!R248,0)</f>
        <v>0</v>
      </c>
      <c r="G627" s="78" t="n">
        <f aca="false">IF(ISNUMBER(週次_媒体別CP!R304),週次_媒体別CP!R304,0)</f>
        <v>0</v>
      </c>
      <c r="H627" s="78" t="n">
        <f aca="false">IF(ISNUMBER(週次_媒体別CP!R360),週次_媒体別CP!R360,0)</f>
        <v>0</v>
      </c>
    </row>
    <row r="628" customFormat="false" ht="15" hidden="false" customHeight="false" outlineLevel="0" collapsed="false">
      <c r="A628" s="72" t="s">
        <v>98</v>
      </c>
      <c r="B628" s="78" t="n">
        <f aca="false">IF(ISNUMBER(週次_媒体別CP!R25),週次_媒体別CP!R25,0)</f>
        <v>0</v>
      </c>
      <c r="C628" s="78" t="n">
        <f aca="false">IF(ISNUMBER(週次_媒体別CP!R81),週次_媒体別CP!R81,0)</f>
        <v>0</v>
      </c>
      <c r="D628" s="78" t="n">
        <f aca="false">IF(ISNUMBER(週次_媒体別CP!R137),週次_媒体別CP!R137,0)</f>
        <v>0</v>
      </c>
      <c r="E628" s="78" t="n">
        <f aca="false">IF(ISNUMBER(週次_媒体別CP!R193),週次_媒体別CP!R193,0)</f>
        <v>0</v>
      </c>
      <c r="F628" s="78" t="n">
        <f aca="false">IF(ISNUMBER(週次_媒体別CP!R249),週次_媒体別CP!R249,0)</f>
        <v>0</v>
      </c>
      <c r="G628" s="78" t="n">
        <f aca="false">IF(ISNUMBER(週次_媒体別CP!R305),週次_媒体別CP!R305,0)</f>
        <v>0</v>
      </c>
      <c r="H628" s="78" t="n">
        <f aca="false">IF(ISNUMBER(週次_媒体別CP!R361),週次_媒体別CP!R361,0)</f>
        <v>0</v>
      </c>
    </row>
    <row r="629" customFormat="false" ht="15" hidden="false" customHeight="false" outlineLevel="0" collapsed="false">
      <c r="A629" s="72" t="s">
        <v>100</v>
      </c>
      <c r="B629" s="78" t="n">
        <f aca="false">IF(ISNUMBER(週次_媒体別CP!R26),週次_媒体別CP!R26,0)</f>
        <v>0</v>
      </c>
      <c r="C629" s="78" t="n">
        <f aca="false">IF(ISNUMBER(週次_媒体別CP!R82),週次_媒体別CP!R82,0)</f>
        <v>0</v>
      </c>
      <c r="D629" s="78" t="n">
        <f aca="false">IF(ISNUMBER(週次_媒体別CP!R138),週次_媒体別CP!R138,0)</f>
        <v>0</v>
      </c>
      <c r="E629" s="78" t="n">
        <f aca="false">IF(ISNUMBER(週次_媒体別CP!R194),週次_媒体別CP!R194,0)</f>
        <v>0</v>
      </c>
      <c r="F629" s="78" t="n">
        <f aca="false">IF(ISNUMBER(週次_媒体別CP!R250),週次_媒体別CP!R250,0)</f>
        <v>0</v>
      </c>
      <c r="G629" s="78" t="n">
        <f aca="false">IF(ISNUMBER(週次_媒体別CP!R306),週次_媒体別CP!R306,0)</f>
        <v>0</v>
      </c>
      <c r="H629" s="78" t="n">
        <f aca="false">IF(ISNUMBER(週次_媒体別CP!R362),週次_媒体別CP!R362,0)</f>
        <v>0</v>
      </c>
    </row>
    <row r="630" customFormat="false" ht="15" hidden="false" customHeight="false" outlineLevel="0" collapsed="false">
      <c r="A630" s="72" t="s">
        <v>102</v>
      </c>
      <c r="B630" s="78" t="n">
        <f aca="false">IF(ISNUMBER(週次_媒体別CP!R27),週次_媒体別CP!R27,0)</f>
        <v>0</v>
      </c>
      <c r="C630" s="78" t="n">
        <f aca="false">IF(ISNUMBER(週次_媒体別CP!R83),週次_媒体別CP!R83,0)</f>
        <v>0</v>
      </c>
      <c r="D630" s="78" t="n">
        <f aca="false">IF(ISNUMBER(週次_媒体別CP!R139),週次_媒体別CP!R139,0)</f>
        <v>0</v>
      </c>
      <c r="E630" s="78" t="n">
        <f aca="false">IF(ISNUMBER(週次_媒体別CP!R195),週次_媒体別CP!R195,0)</f>
        <v>0</v>
      </c>
      <c r="F630" s="78" t="n">
        <f aca="false">IF(ISNUMBER(週次_媒体別CP!R251),週次_媒体別CP!R251,0)</f>
        <v>0</v>
      </c>
      <c r="G630" s="78" t="n">
        <f aca="false">IF(ISNUMBER(週次_媒体別CP!R307),週次_媒体別CP!R307,0)</f>
        <v>0</v>
      </c>
      <c r="H630" s="78" t="n">
        <f aca="false">IF(ISNUMBER(週次_媒体別CP!R363),週次_媒体別CP!R363,0)</f>
        <v>0</v>
      </c>
    </row>
    <row r="631" customFormat="false" ht="15" hidden="false" customHeight="false" outlineLevel="0" collapsed="false">
      <c r="A631" s="72" t="s">
        <v>104</v>
      </c>
      <c r="B631" s="78" t="n">
        <f aca="false">IF(ISNUMBER(週次_媒体別CP!R28),週次_媒体別CP!R28,0)</f>
        <v>0</v>
      </c>
      <c r="C631" s="78" t="n">
        <f aca="false">IF(ISNUMBER(週次_媒体別CP!R84),週次_媒体別CP!R84,0)</f>
        <v>0</v>
      </c>
      <c r="D631" s="78" t="n">
        <f aca="false">IF(ISNUMBER(週次_媒体別CP!R140),週次_媒体別CP!R140,0)</f>
        <v>0</v>
      </c>
      <c r="E631" s="78" t="n">
        <f aca="false">IF(ISNUMBER(週次_媒体別CP!R196),週次_媒体別CP!R196,0)</f>
        <v>0</v>
      </c>
      <c r="F631" s="78" t="n">
        <f aca="false">IF(ISNUMBER(週次_媒体別CP!R252),週次_媒体別CP!R252,0)</f>
        <v>0</v>
      </c>
      <c r="G631" s="78" t="n">
        <f aca="false">IF(ISNUMBER(週次_媒体別CP!R308),週次_媒体別CP!R308,0)</f>
        <v>0</v>
      </c>
      <c r="H631" s="78" t="n">
        <f aca="false">IF(ISNUMBER(週次_媒体別CP!R364),週次_媒体別CP!R364,0)</f>
        <v>0</v>
      </c>
    </row>
    <row r="632" customFormat="false" ht="15" hidden="false" customHeight="false" outlineLevel="0" collapsed="false">
      <c r="A632" s="72" t="s">
        <v>106</v>
      </c>
      <c r="B632" s="78" t="n">
        <f aca="false">IF(ISNUMBER(週次_媒体別CP!R29),週次_媒体別CP!R29,0)</f>
        <v>0</v>
      </c>
      <c r="C632" s="78" t="n">
        <f aca="false">IF(ISNUMBER(週次_媒体別CP!R85),週次_媒体別CP!R85,0)</f>
        <v>0</v>
      </c>
      <c r="D632" s="78" t="n">
        <f aca="false">IF(ISNUMBER(週次_媒体別CP!R141),週次_媒体別CP!R141,0)</f>
        <v>0</v>
      </c>
      <c r="E632" s="78" t="n">
        <f aca="false">IF(ISNUMBER(週次_媒体別CP!R197),週次_媒体別CP!R197,0)</f>
        <v>0</v>
      </c>
      <c r="F632" s="78" t="n">
        <f aca="false">IF(ISNUMBER(週次_媒体別CP!R253),週次_媒体別CP!R253,0)</f>
        <v>0</v>
      </c>
      <c r="G632" s="78" t="n">
        <f aca="false">IF(ISNUMBER(週次_媒体別CP!R309),週次_媒体別CP!R309,0)</f>
        <v>0</v>
      </c>
      <c r="H632" s="78" t="n">
        <f aca="false">IF(ISNUMBER(週次_媒体別CP!R365),週次_媒体別CP!R365,0)</f>
        <v>0</v>
      </c>
    </row>
    <row r="633" customFormat="false" ht="15" hidden="false" customHeight="false" outlineLevel="0" collapsed="false">
      <c r="A633" s="72" t="s">
        <v>108</v>
      </c>
      <c r="B633" s="78" t="n">
        <f aca="false">IF(ISNUMBER(週次_媒体別CP!R30),週次_媒体別CP!R30,0)</f>
        <v>0</v>
      </c>
      <c r="C633" s="78" t="n">
        <f aca="false">IF(ISNUMBER(週次_媒体別CP!R86),週次_媒体別CP!R86,0)</f>
        <v>0</v>
      </c>
      <c r="D633" s="78" t="n">
        <f aca="false">IF(ISNUMBER(週次_媒体別CP!R142),週次_媒体別CP!R142,0)</f>
        <v>0</v>
      </c>
      <c r="E633" s="78" t="n">
        <f aca="false">IF(ISNUMBER(週次_媒体別CP!R198),週次_媒体別CP!R198,0)</f>
        <v>0</v>
      </c>
      <c r="F633" s="78" t="n">
        <f aca="false">IF(ISNUMBER(週次_媒体別CP!R254),週次_媒体別CP!R254,0)</f>
        <v>0</v>
      </c>
      <c r="G633" s="78" t="n">
        <f aca="false">IF(ISNUMBER(週次_媒体別CP!R310),週次_媒体別CP!R310,0)</f>
        <v>0</v>
      </c>
      <c r="H633" s="78" t="n">
        <f aca="false">IF(ISNUMBER(週次_媒体別CP!R366),週次_媒体別CP!R366,0)</f>
        <v>0</v>
      </c>
    </row>
    <row r="634" customFormat="false" ht="15" hidden="false" customHeight="false" outlineLevel="0" collapsed="false">
      <c r="A634" s="72" t="s">
        <v>110</v>
      </c>
      <c r="B634" s="78" t="n">
        <f aca="false">IF(ISNUMBER(週次_媒体別CP!R31),週次_媒体別CP!R31,0)</f>
        <v>0</v>
      </c>
      <c r="C634" s="78" t="n">
        <f aca="false">IF(ISNUMBER(週次_媒体別CP!R87),週次_媒体別CP!R87,0)</f>
        <v>0</v>
      </c>
      <c r="D634" s="78" t="n">
        <f aca="false">IF(ISNUMBER(週次_媒体別CP!R143),週次_媒体別CP!R143,0)</f>
        <v>0</v>
      </c>
      <c r="E634" s="78" t="n">
        <f aca="false">IF(ISNUMBER(週次_媒体別CP!R199),週次_媒体別CP!R199,0)</f>
        <v>0</v>
      </c>
      <c r="F634" s="78" t="n">
        <f aca="false">IF(ISNUMBER(週次_媒体別CP!R255),週次_媒体別CP!R255,0)</f>
        <v>0</v>
      </c>
      <c r="G634" s="78" t="n">
        <f aca="false">IF(ISNUMBER(週次_媒体別CP!R311),週次_媒体別CP!R311,0)</f>
        <v>0</v>
      </c>
      <c r="H634" s="78" t="n">
        <f aca="false">IF(ISNUMBER(週次_媒体別CP!R367),週次_媒体別CP!R367,0)</f>
        <v>0</v>
      </c>
    </row>
    <row r="635" customFormat="false" ht="15" hidden="false" customHeight="false" outlineLevel="0" collapsed="false">
      <c r="A635" s="72" t="s">
        <v>112</v>
      </c>
      <c r="B635" s="78" t="n">
        <f aca="false">IF(ISNUMBER(週次_媒体別CP!R32),週次_媒体別CP!R32,0)</f>
        <v>0</v>
      </c>
      <c r="C635" s="78" t="n">
        <f aca="false">IF(ISNUMBER(週次_媒体別CP!R88),週次_媒体別CP!R88,0)</f>
        <v>0</v>
      </c>
      <c r="D635" s="78" t="n">
        <f aca="false">IF(ISNUMBER(週次_媒体別CP!R144),週次_媒体別CP!R144,0)</f>
        <v>0</v>
      </c>
      <c r="E635" s="78" t="n">
        <f aca="false">IF(ISNUMBER(週次_媒体別CP!R200),週次_媒体別CP!R200,0)</f>
        <v>0</v>
      </c>
      <c r="F635" s="78" t="n">
        <f aca="false">IF(ISNUMBER(週次_媒体別CP!R256),週次_媒体別CP!R256,0)</f>
        <v>0</v>
      </c>
      <c r="G635" s="78" t="n">
        <f aca="false">IF(ISNUMBER(週次_媒体別CP!R312),週次_媒体別CP!R312,0)</f>
        <v>0</v>
      </c>
      <c r="H635" s="78" t="n">
        <f aca="false">IF(ISNUMBER(週次_媒体別CP!R368),週次_媒体別CP!R368,0)</f>
        <v>0</v>
      </c>
    </row>
    <row r="636" customFormat="false" ht="15" hidden="false" customHeight="false" outlineLevel="0" collapsed="false">
      <c r="A636" s="72" t="s">
        <v>114</v>
      </c>
      <c r="B636" s="78" t="n">
        <f aca="false">IF(ISNUMBER(週次_媒体別CP!R33),週次_媒体別CP!R33,0)</f>
        <v>0</v>
      </c>
      <c r="C636" s="78" t="n">
        <f aca="false">IF(ISNUMBER(週次_媒体別CP!R89),週次_媒体別CP!R89,0)</f>
        <v>0</v>
      </c>
      <c r="D636" s="78" t="n">
        <f aca="false">IF(ISNUMBER(週次_媒体別CP!R145),週次_媒体別CP!R145,0)</f>
        <v>0</v>
      </c>
      <c r="E636" s="78" t="n">
        <f aca="false">IF(ISNUMBER(週次_媒体別CP!R201),週次_媒体別CP!R201,0)</f>
        <v>0</v>
      </c>
      <c r="F636" s="78" t="n">
        <f aca="false">IF(ISNUMBER(週次_媒体別CP!R257),週次_媒体別CP!R257,0)</f>
        <v>0</v>
      </c>
      <c r="G636" s="78" t="n">
        <f aca="false">IF(ISNUMBER(週次_媒体別CP!R313),週次_媒体別CP!R313,0)</f>
        <v>0</v>
      </c>
      <c r="H636" s="78" t="n">
        <f aca="false">IF(ISNUMBER(週次_媒体別CP!R369),週次_媒体別CP!R369,0)</f>
        <v>0</v>
      </c>
    </row>
    <row r="637" customFormat="false" ht="15" hidden="false" customHeight="false" outlineLevel="0" collapsed="false">
      <c r="A637" s="72" t="s">
        <v>116</v>
      </c>
      <c r="B637" s="78" t="n">
        <f aca="false">IF(ISNUMBER(週次_媒体別CP!R34),週次_媒体別CP!R34,0)</f>
        <v>0</v>
      </c>
      <c r="C637" s="78" t="n">
        <f aca="false">IF(ISNUMBER(週次_媒体別CP!R90),週次_媒体別CP!R90,0)</f>
        <v>0</v>
      </c>
      <c r="D637" s="78" t="n">
        <f aca="false">IF(ISNUMBER(週次_媒体別CP!R146),週次_媒体別CP!R146,0)</f>
        <v>0</v>
      </c>
      <c r="E637" s="78" t="n">
        <f aca="false">IF(ISNUMBER(週次_媒体別CP!R202),週次_媒体別CP!R202,0)</f>
        <v>0</v>
      </c>
      <c r="F637" s="78" t="n">
        <f aca="false">IF(ISNUMBER(週次_媒体別CP!R258),週次_媒体別CP!R258,0)</f>
        <v>0</v>
      </c>
      <c r="G637" s="78" t="n">
        <f aca="false">IF(ISNUMBER(週次_媒体別CP!R314),週次_媒体別CP!R314,0)</f>
        <v>0</v>
      </c>
      <c r="H637" s="78" t="n">
        <f aca="false">IF(ISNUMBER(週次_媒体別CP!R370),週次_媒体別CP!R370,0)</f>
        <v>0</v>
      </c>
    </row>
    <row r="638" customFormat="false" ht="15" hidden="false" customHeight="false" outlineLevel="0" collapsed="false">
      <c r="A638" s="72" t="s">
        <v>118</v>
      </c>
      <c r="B638" s="78" t="n">
        <f aca="false">IF(ISNUMBER(週次_媒体別CP!R35),週次_媒体別CP!R35,0)</f>
        <v>0</v>
      </c>
      <c r="C638" s="78" t="n">
        <f aca="false">IF(ISNUMBER(週次_媒体別CP!R91),週次_媒体別CP!R91,0)</f>
        <v>0</v>
      </c>
      <c r="D638" s="78" t="n">
        <f aca="false">IF(ISNUMBER(週次_媒体別CP!R147),週次_媒体別CP!R147,0)</f>
        <v>0</v>
      </c>
      <c r="E638" s="78" t="n">
        <f aca="false">IF(ISNUMBER(週次_媒体別CP!R203),週次_媒体別CP!R203,0)</f>
        <v>0</v>
      </c>
      <c r="F638" s="78" t="n">
        <f aca="false">IF(ISNUMBER(週次_媒体別CP!R259),週次_媒体別CP!R259,0)</f>
        <v>0</v>
      </c>
      <c r="G638" s="78" t="n">
        <f aca="false">IF(ISNUMBER(週次_媒体別CP!R315),週次_媒体別CP!R315,0)</f>
        <v>0</v>
      </c>
      <c r="H638" s="78" t="n">
        <f aca="false">IF(ISNUMBER(週次_媒体別CP!R371),週次_媒体別CP!R371,0)</f>
        <v>0</v>
      </c>
    </row>
    <row r="639" customFormat="false" ht="15" hidden="false" customHeight="false" outlineLevel="0" collapsed="false">
      <c r="A639" s="72" t="s">
        <v>120</v>
      </c>
      <c r="B639" s="78" t="n">
        <f aca="false">IF(ISNUMBER(週次_媒体別CP!R36),週次_媒体別CP!R36,0)</f>
        <v>0</v>
      </c>
      <c r="C639" s="78" t="n">
        <f aca="false">IF(ISNUMBER(週次_媒体別CP!R92),週次_媒体別CP!R92,0)</f>
        <v>0</v>
      </c>
      <c r="D639" s="78" t="n">
        <f aca="false">IF(ISNUMBER(週次_媒体別CP!R148),週次_媒体別CP!R148,0)</f>
        <v>0</v>
      </c>
      <c r="E639" s="78" t="n">
        <f aca="false">IF(ISNUMBER(週次_媒体別CP!R204),週次_媒体別CP!R204,0)</f>
        <v>0</v>
      </c>
      <c r="F639" s="78" t="n">
        <f aca="false">IF(ISNUMBER(週次_媒体別CP!R260),週次_媒体別CP!R260,0)</f>
        <v>0</v>
      </c>
      <c r="G639" s="78" t="n">
        <f aca="false">IF(ISNUMBER(週次_媒体別CP!R316),週次_媒体別CP!R316,0)</f>
        <v>0</v>
      </c>
      <c r="H639" s="78" t="n">
        <f aca="false">IF(ISNUMBER(週次_媒体別CP!R372),週次_媒体別CP!R372,0)</f>
        <v>0</v>
      </c>
    </row>
    <row r="640" customFormat="false" ht="15" hidden="false" customHeight="false" outlineLevel="0" collapsed="false">
      <c r="A640" s="72" t="s">
        <v>122</v>
      </c>
      <c r="B640" s="78" t="n">
        <f aca="false">IF(ISNUMBER(週次_媒体別CP!R37),週次_媒体別CP!R37,0)</f>
        <v>0</v>
      </c>
      <c r="C640" s="78" t="n">
        <f aca="false">IF(ISNUMBER(週次_媒体別CP!R93),週次_媒体別CP!R93,0)</f>
        <v>0</v>
      </c>
      <c r="D640" s="78" t="n">
        <f aca="false">IF(ISNUMBER(週次_媒体別CP!R149),週次_媒体別CP!R149,0)</f>
        <v>0</v>
      </c>
      <c r="E640" s="78" t="n">
        <f aca="false">IF(ISNUMBER(週次_媒体別CP!R205),週次_媒体別CP!R205,0)</f>
        <v>0</v>
      </c>
      <c r="F640" s="78" t="n">
        <f aca="false">IF(ISNUMBER(週次_媒体別CP!R261),週次_媒体別CP!R261,0)</f>
        <v>0</v>
      </c>
      <c r="G640" s="78" t="n">
        <f aca="false">IF(ISNUMBER(週次_媒体別CP!R317),週次_媒体別CP!R317,0)</f>
        <v>0</v>
      </c>
      <c r="H640" s="78" t="n">
        <f aca="false">IF(ISNUMBER(週次_媒体別CP!R373),週次_媒体別CP!R373,0)</f>
        <v>0</v>
      </c>
    </row>
    <row r="641" customFormat="false" ht="15" hidden="false" customHeight="false" outlineLevel="0" collapsed="false">
      <c r="A641" s="72" t="s">
        <v>124</v>
      </c>
      <c r="B641" s="78" t="n">
        <f aca="false">IF(ISNUMBER(週次_媒体別CP!R38),週次_媒体別CP!R38,0)</f>
        <v>0</v>
      </c>
      <c r="C641" s="78" t="n">
        <f aca="false">IF(ISNUMBER(週次_媒体別CP!R94),週次_媒体別CP!R94,0)</f>
        <v>0</v>
      </c>
      <c r="D641" s="78" t="n">
        <f aca="false">IF(ISNUMBER(週次_媒体別CP!R150),週次_媒体別CP!R150,0)</f>
        <v>0</v>
      </c>
      <c r="E641" s="78" t="n">
        <f aca="false">IF(ISNUMBER(週次_媒体別CP!R206),週次_媒体別CP!R206,0)</f>
        <v>0</v>
      </c>
      <c r="F641" s="78" t="n">
        <f aca="false">IF(ISNUMBER(週次_媒体別CP!R262),週次_媒体別CP!R262,0)</f>
        <v>0</v>
      </c>
      <c r="G641" s="78" t="n">
        <f aca="false">IF(ISNUMBER(週次_媒体別CP!R318),週次_媒体別CP!R318,0)</f>
        <v>0</v>
      </c>
      <c r="H641" s="78" t="n">
        <f aca="false">IF(ISNUMBER(週次_媒体別CP!R374),週次_媒体別CP!R374,0)</f>
        <v>0</v>
      </c>
    </row>
    <row r="642" customFormat="false" ht="15" hidden="false" customHeight="false" outlineLevel="0" collapsed="false">
      <c r="A642" s="72" t="s">
        <v>126</v>
      </c>
      <c r="B642" s="78" t="n">
        <f aca="false">IF(ISNUMBER(週次_媒体別CP!R39),週次_媒体別CP!R39,0)</f>
        <v>0</v>
      </c>
      <c r="C642" s="78" t="n">
        <f aca="false">IF(ISNUMBER(週次_媒体別CP!R95),週次_媒体別CP!R95,0)</f>
        <v>0</v>
      </c>
      <c r="D642" s="78" t="n">
        <f aca="false">IF(ISNUMBER(週次_媒体別CP!R151),週次_媒体別CP!R151,0)</f>
        <v>0</v>
      </c>
      <c r="E642" s="78" t="n">
        <f aca="false">IF(ISNUMBER(週次_媒体別CP!R207),週次_媒体別CP!R207,0)</f>
        <v>0</v>
      </c>
      <c r="F642" s="78" t="n">
        <f aca="false">IF(ISNUMBER(週次_媒体別CP!R263),週次_媒体別CP!R263,0)</f>
        <v>0</v>
      </c>
      <c r="G642" s="78" t="n">
        <f aca="false">IF(ISNUMBER(週次_媒体別CP!R319),週次_媒体別CP!R319,0)</f>
        <v>0</v>
      </c>
      <c r="H642" s="78" t="n">
        <f aca="false">IF(ISNUMBER(週次_媒体別CP!R375),週次_媒体別CP!R375,0)</f>
        <v>0</v>
      </c>
    </row>
    <row r="643" customFormat="false" ht="15" hidden="false" customHeight="false" outlineLevel="0" collapsed="false">
      <c r="A643" s="72" t="s">
        <v>128</v>
      </c>
      <c r="B643" s="78" t="n">
        <f aca="false">IF(ISNUMBER(週次_媒体別CP!R40),週次_媒体別CP!R40,0)</f>
        <v>0</v>
      </c>
      <c r="C643" s="78" t="n">
        <f aca="false">IF(ISNUMBER(週次_媒体別CP!R96),週次_媒体別CP!R96,0)</f>
        <v>0</v>
      </c>
      <c r="D643" s="78" t="n">
        <f aca="false">IF(ISNUMBER(週次_媒体別CP!R152),週次_媒体別CP!R152,0)</f>
        <v>0</v>
      </c>
      <c r="E643" s="78" t="n">
        <f aca="false">IF(ISNUMBER(週次_媒体別CP!R208),週次_媒体別CP!R208,0)</f>
        <v>0</v>
      </c>
      <c r="F643" s="78" t="n">
        <f aca="false">IF(ISNUMBER(週次_媒体別CP!R264),週次_媒体別CP!R264,0)</f>
        <v>0</v>
      </c>
      <c r="G643" s="78" t="n">
        <f aca="false">IF(ISNUMBER(週次_媒体別CP!R320),週次_媒体別CP!R320,0)</f>
        <v>0</v>
      </c>
      <c r="H643" s="78" t="n">
        <f aca="false">IF(ISNUMBER(週次_媒体別CP!R376),週次_媒体別CP!R376,0)</f>
        <v>0</v>
      </c>
    </row>
    <row r="644" customFormat="false" ht="15" hidden="false" customHeight="false" outlineLevel="0" collapsed="false">
      <c r="A644" s="72" t="s">
        <v>130</v>
      </c>
      <c r="B644" s="78" t="n">
        <f aca="false">IF(ISNUMBER(週次_媒体別CP!R41),週次_媒体別CP!R41,0)</f>
        <v>0</v>
      </c>
      <c r="C644" s="78" t="n">
        <f aca="false">IF(ISNUMBER(週次_媒体別CP!R97),週次_媒体別CP!R97,0)</f>
        <v>0</v>
      </c>
      <c r="D644" s="78" t="n">
        <f aca="false">IF(ISNUMBER(週次_媒体別CP!R153),週次_媒体別CP!R153,0)</f>
        <v>0</v>
      </c>
      <c r="E644" s="78" t="n">
        <f aca="false">IF(ISNUMBER(週次_媒体別CP!R209),週次_媒体別CP!R209,0)</f>
        <v>0</v>
      </c>
      <c r="F644" s="78" t="n">
        <f aca="false">IF(ISNUMBER(週次_媒体別CP!R265),週次_媒体別CP!R265,0)</f>
        <v>0</v>
      </c>
      <c r="G644" s="78" t="n">
        <f aca="false">IF(ISNUMBER(週次_媒体別CP!R321),週次_媒体別CP!R321,0)</f>
        <v>0</v>
      </c>
      <c r="H644" s="78" t="n">
        <f aca="false">IF(ISNUMBER(週次_媒体別CP!R377),週次_媒体別CP!R377,0)</f>
        <v>0</v>
      </c>
    </row>
    <row r="645" customFormat="false" ht="15" hidden="false" customHeight="false" outlineLevel="0" collapsed="false">
      <c r="A645" s="72" t="s">
        <v>132</v>
      </c>
      <c r="B645" s="78" t="n">
        <f aca="false">IF(ISNUMBER(週次_媒体別CP!R42),週次_媒体別CP!R42,0)</f>
        <v>0</v>
      </c>
      <c r="C645" s="78" t="n">
        <f aca="false">IF(ISNUMBER(週次_媒体別CP!R98),週次_媒体別CP!R98,0)</f>
        <v>0</v>
      </c>
      <c r="D645" s="78" t="n">
        <f aca="false">IF(ISNUMBER(週次_媒体別CP!R154),週次_媒体別CP!R154,0)</f>
        <v>0</v>
      </c>
      <c r="E645" s="78" t="n">
        <f aca="false">IF(ISNUMBER(週次_媒体別CP!R210),週次_媒体別CP!R210,0)</f>
        <v>0</v>
      </c>
      <c r="F645" s="78" t="n">
        <f aca="false">IF(ISNUMBER(週次_媒体別CP!R266),週次_媒体別CP!R266,0)</f>
        <v>0</v>
      </c>
      <c r="G645" s="78" t="n">
        <f aca="false">IF(ISNUMBER(週次_媒体別CP!R322),週次_媒体別CP!R322,0)</f>
        <v>0</v>
      </c>
      <c r="H645" s="78" t="n">
        <f aca="false">IF(ISNUMBER(週次_媒体別CP!R378),週次_媒体別CP!R378,0)</f>
        <v>0</v>
      </c>
    </row>
    <row r="646" customFormat="false" ht="15" hidden="false" customHeight="false" outlineLevel="0" collapsed="false">
      <c r="A646" s="72" t="s">
        <v>134</v>
      </c>
      <c r="B646" s="78" t="n">
        <f aca="false">IF(ISNUMBER(週次_媒体別CP!R43),週次_媒体別CP!R43,0)</f>
        <v>0</v>
      </c>
      <c r="C646" s="78" t="n">
        <f aca="false">IF(ISNUMBER(週次_媒体別CP!R99),週次_媒体別CP!R99,0)</f>
        <v>0</v>
      </c>
      <c r="D646" s="78" t="n">
        <f aca="false">IF(ISNUMBER(週次_媒体別CP!R155),週次_媒体別CP!R155,0)</f>
        <v>0</v>
      </c>
      <c r="E646" s="78" t="n">
        <f aca="false">IF(ISNUMBER(週次_媒体別CP!R211),週次_媒体別CP!R211,0)</f>
        <v>0</v>
      </c>
      <c r="F646" s="78" t="n">
        <f aca="false">IF(ISNUMBER(週次_媒体別CP!R267),週次_媒体別CP!R267,0)</f>
        <v>0</v>
      </c>
      <c r="G646" s="78" t="n">
        <f aca="false">IF(ISNUMBER(週次_媒体別CP!R323),週次_媒体別CP!R323,0)</f>
        <v>0</v>
      </c>
      <c r="H646" s="78" t="n">
        <f aca="false">IF(ISNUMBER(週次_媒体別CP!R379),週次_媒体別CP!R379,0)</f>
        <v>0</v>
      </c>
    </row>
    <row r="647" customFormat="false" ht="15" hidden="false" customHeight="false" outlineLevel="0" collapsed="false">
      <c r="A647" s="72" t="s">
        <v>136</v>
      </c>
      <c r="B647" s="78" t="n">
        <f aca="false">IF(ISNUMBER(週次_媒体別CP!R44),週次_媒体別CP!R44,0)</f>
        <v>0</v>
      </c>
      <c r="C647" s="78" t="n">
        <f aca="false">IF(ISNUMBER(週次_媒体別CP!R100),週次_媒体別CP!R100,0)</f>
        <v>0</v>
      </c>
      <c r="D647" s="78" t="n">
        <f aca="false">IF(ISNUMBER(週次_媒体別CP!R156),週次_媒体別CP!R156,0)</f>
        <v>0</v>
      </c>
      <c r="E647" s="78" t="n">
        <f aca="false">IF(ISNUMBER(週次_媒体別CP!R212),週次_媒体別CP!R212,0)</f>
        <v>0</v>
      </c>
      <c r="F647" s="78" t="n">
        <f aca="false">IF(ISNUMBER(週次_媒体別CP!R268),週次_媒体別CP!R268,0)</f>
        <v>0</v>
      </c>
      <c r="G647" s="78" t="n">
        <f aca="false">IF(ISNUMBER(週次_媒体別CP!R324),週次_媒体別CP!R324,0)</f>
        <v>0</v>
      </c>
      <c r="H647" s="78" t="n">
        <f aca="false">IF(ISNUMBER(週次_媒体別CP!R380),週次_媒体別CP!R380,0)</f>
        <v>0</v>
      </c>
    </row>
    <row r="648" customFormat="false" ht="15" hidden="false" customHeight="false" outlineLevel="0" collapsed="false">
      <c r="A648" s="72" t="s">
        <v>138</v>
      </c>
      <c r="B648" s="78" t="n">
        <f aca="false">IF(ISNUMBER(週次_媒体別CP!R45),週次_媒体別CP!R45,0)</f>
        <v>0</v>
      </c>
      <c r="C648" s="78" t="n">
        <f aca="false">IF(ISNUMBER(週次_媒体別CP!R101),週次_媒体別CP!R101,0)</f>
        <v>0</v>
      </c>
      <c r="D648" s="78" t="n">
        <f aca="false">IF(ISNUMBER(週次_媒体別CP!R157),週次_媒体別CP!R157,0)</f>
        <v>0</v>
      </c>
      <c r="E648" s="78" t="n">
        <f aca="false">IF(ISNUMBER(週次_媒体別CP!R213),週次_媒体別CP!R213,0)</f>
        <v>0</v>
      </c>
      <c r="F648" s="78" t="n">
        <f aca="false">IF(ISNUMBER(週次_媒体別CP!R269),週次_媒体別CP!R269,0)</f>
        <v>0</v>
      </c>
      <c r="G648" s="78" t="n">
        <f aca="false">IF(ISNUMBER(週次_媒体別CP!R325),週次_媒体別CP!R325,0)</f>
        <v>0</v>
      </c>
      <c r="H648" s="78" t="n">
        <f aca="false">IF(ISNUMBER(週次_媒体別CP!R381),週次_媒体別CP!R381,0)</f>
        <v>0</v>
      </c>
    </row>
    <row r="649" customFormat="false" ht="15" hidden="false" customHeight="false" outlineLevel="0" collapsed="false">
      <c r="A649" s="72" t="s">
        <v>140</v>
      </c>
      <c r="B649" s="78" t="n">
        <f aca="false">IF(ISNUMBER(週次_媒体別CP!R46),週次_媒体別CP!R46,0)</f>
        <v>0</v>
      </c>
      <c r="C649" s="78" t="n">
        <f aca="false">IF(ISNUMBER(週次_媒体別CP!R102),週次_媒体別CP!R102,0)</f>
        <v>0</v>
      </c>
      <c r="D649" s="78" t="n">
        <f aca="false">IF(ISNUMBER(週次_媒体別CP!R158),週次_媒体別CP!R158,0)</f>
        <v>0</v>
      </c>
      <c r="E649" s="78" t="n">
        <f aca="false">IF(ISNUMBER(週次_媒体別CP!R214),週次_媒体別CP!R214,0)</f>
        <v>0</v>
      </c>
      <c r="F649" s="78" t="n">
        <f aca="false">IF(ISNUMBER(週次_媒体別CP!R270),週次_媒体別CP!R270,0)</f>
        <v>0</v>
      </c>
      <c r="G649" s="78" t="n">
        <f aca="false">IF(ISNUMBER(週次_媒体別CP!R326),週次_媒体別CP!R326,0)</f>
        <v>0</v>
      </c>
      <c r="H649" s="78" t="n">
        <f aca="false">IF(ISNUMBER(週次_媒体別CP!R382),週次_媒体別CP!R382,0)</f>
        <v>0</v>
      </c>
    </row>
    <row r="650" customFormat="false" ht="15" hidden="false" customHeight="false" outlineLevel="0" collapsed="false">
      <c r="A650" s="72" t="s">
        <v>142</v>
      </c>
      <c r="B650" s="78" t="n">
        <f aca="false">IF(ISNUMBER(週次_媒体別CP!R47),週次_媒体別CP!R47,0)</f>
        <v>0</v>
      </c>
      <c r="C650" s="78" t="n">
        <f aca="false">IF(ISNUMBER(週次_媒体別CP!R103),週次_媒体別CP!R103,0)</f>
        <v>0</v>
      </c>
      <c r="D650" s="78" t="n">
        <f aca="false">IF(ISNUMBER(週次_媒体別CP!R159),週次_媒体別CP!R159,0)</f>
        <v>0</v>
      </c>
      <c r="E650" s="78" t="n">
        <f aca="false">IF(ISNUMBER(週次_媒体別CP!R215),週次_媒体別CP!R215,0)</f>
        <v>0</v>
      </c>
      <c r="F650" s="78" t="n">
        <f aca="false">IF(ISNUMBER(週次_媒体別CP!R271),週次_媒体別CP!R271,0)</f>
        <v>0</v>
      </c>
      <c r="G650" s="78" t="n">
        <f aca="false">IF(ISNUMBER(週次_媒体別CP!R327),週次_媒体別CP!R327,0)</f>
        <v>0</v>
      </c>
      <c r="H650" s="78" t="n">
        <f aca="false">IF(ISNUMBER(週次_媒体別CP!R383),週次_媒体別CP!R383,0)</f>
        <v>0</v>
      </c>
    </row>
    <row r="651" customFormat="false" ht="15" hidden="false" customHeight="false" outlineLevel="0" collapsed="false">
      <c r="A651" s="72" t="s">
        <v>144</v>
      </c>
      <c r="B651" s="78" t="n">
        <f aca="false">IF(ISNUMBER(週次_媒体別CP!R48),週次_媒体別CP!R48,0)</f>
        <v>0</v>
      </c>
      <c r="C651" s="78" t="n">
        <f aca="false">IF(ISNUMBER(週次_媒体別CP!R104),週次_媒体別CP!R104,0)</f>
        <v>0</v>
      </c>
      <c r="D651" s="78" t="n">
        <f aca="false">IF(ISNUMBER(週次_媒体別CP!R160),週次_媒体別CP!R160,0)</f>
        <v>0</v>
      </c>
      <c r="E651" s="78" t="n">
        <f aca="false">IF(ISNUMBER(週次_媒体別CP!R216),週次_媒体別CP!R216,0)</f>
        <v>0</v>
      </c>
      <c r="F651" s="78" t="n">
        <f aca="false">IF(ISNUMBER(週次_媒体別CP!R272),週次_媒体別CP!R272,0)</f>
        <v>0</v>
      </c>
      <c r="G651" s="78" t="n">
        <f aca="false">IF(ISNUMBER(週次_媒体別CP!R328),週次_媒体別CP!R328,0)</f>
        <v>0</v>
      </c>
      <c r="H651" s="78" t="n">
        <f aca="false">IF(ISNUMBER(週次_媒体別CP!R384),週次_媒体別CP!R384,0)</f>
        <v>0</v>
      </c>
    </row>
    <row r="652" customFormat="false" ht="15" hidden="false" customHeight="false" outlineLevel="0" collapsed="false">
      <c r="A652" s="72" t="s">
        <v>146</v>
      </c>
      <c r="B652" s="78" t="n">
        <f aca="false">IF(ISNUMBER(週次_媒体別CP!R49),週次_媒体別CP!R49,0)</f>
        <v>0</v>
      </c>
      <c r="C652" s="78" t="n">
        <f aca="false">IF(ISNUMBER(週次_媒体別CP!R105),週次_媒体別CP!R105,0)</f>
        <v>0</v>
      </c>
      <c r="D652" s="78" t="n">
        <f aca="false">IF(ISNUMBER(週次_媒体別CP!R161),週次_媒体別CP!R161,0)</f>
        <v>0</v>
      </c>
      <c r="E652" s="78" t="n">
        <f aca="false">IF(ISNUMBER(週次_媒体別CP!R217),週次_媒体別CP!R217,0)</f>
        <v>0</v>
      </c>
      <c r="F652" s="78" t="n">
        <f aca="false">IF(ISNUMBER(週次_媒体別CP!R273),週次_媒体別CP!R273,0)</f>
        <v>0</v>
      </c>
      <c r="G652" s="78" t="n">
        <f aca="false">IF(ISNUMBER(週次_媒体別CP!R329),週次_媒体別CP!R329,0)</f>
        <v>0</v>
      </c>
      <c r="H652" s="78" t="n">
        <f aca="false">IF(ISNUMBER(週次_媒体別CP!R385),週次_媒体別CP!R385,0)</f>
        <v>0</v>
      </c>
    </row>
    <row r="653" customFormat="false" ht="15" hidden="false" customHeight="false" outlineLevel="0" collapsed="false">
      <c r="A653" s="72" t="s">
        <v>148</v>
      </c>
      <c r="B653" s="78" t="n">
        <f aca="false">IF(ISNUMBER(週次_媒体別CP!R50),週次_媒体別CP!R50,0)</f>
        <v>0</v>
      </c>
      <c r="C653" s="78" t="n">
        <f aca="false">IF(ISNUMBER(週次_媒体別CP!R106),週次_媒体別CP!R106,0)</f>
        <v>0</v>
      </c>
      <c r="D653" s="78" t="n">
        <f aca="false">IF(ISNUMBER(週次_媒体別CP!R162),週次_媒体別CP!R162,0)</f>
        <v>0</v>
      </c>
      <c r="E653" s="78" t="n">
        <f aca="false">IF(ISNUMBER(週次_媒体別CP!R218),週次_媒体別CP!R218,0)</f>
        <v>0</v>
      </c>
      <c r="F653" s="78" t="n">
        <f aca="false">IF(ISNUMBER(週次_媒体別CP!R274),週次_媒体別CP!R274,0)</f>
        <v>0</v>
      </c>
      <c r="G653" s="78" t="n">
        <f aca="false">IF(ISNUMBER(週次_媒体別CP!R330),週次_媒体別CP!R330,0)</f>
        <v>0</v>
      </c>
      <c r="H653" s="78" t="n">
        <f aca="false">IF(ISNUMBER(週次_媒体別CP!R386),週次_媒体別CP!R386,0)</f>
        <v>0</v>
      </c>
    </row>
    <row r="654" customFormat="false" ht="15" hidden="false" customHeight="false" outlineLevel="0" collapsed="false">
      <c r="A654" s="72" t="s">
        <v>150</v>
      </c>
      <c r="B654" s="78" t="n">
        <f aca="false">IF(ISNUMBER(週次_媒体別CP!R51),週次_媒体別CP!R51,0)</f>
        <v>0</v>
      </c>
      <c r="C654" s="78" t="n">
        <f aca="false">IF(ISNUMBER(週次_媒体別CP!R107),週次_媒体別CP!R107,0)</f>
        <v>0</v>
      </c>
      <c r="D654" s="78" t="n">
        <f aca="false">IF(ISNUMBER(週次_媒体別CP!R163),週次_媒体別CP!R163,0)</f>
        <v>0</v>
      </c>
      <c r="E654" s="78" t="n">
        <f aca="false">IF(ISNUMBER(週次_媒体別CP!R219),週次_媒体別CP!R219,0)</f>
        <v>0</v>
      </c>
      <c r="F654" s="78" t="n">
        <f aca="false">IF(ISNUMBER(週次_媒体別CP!R275),週次_媒体別CP!R275,0)</f>
        <v>0</v>
      </c>
      <c r="G654" s="78" t="n">
        <f aca="false">IF(ISNUMBER(週次_媒体別CP!R331),週次_媒体別CP!R331,0)</f>
        <v>0</v>
      </c>
      <c r="H654" s="78" t="n">
        <f aca="false">IF(ISNUMBER(週次_媒体別CP!R387),週次_媒体別CP!R387,0)</f>
        <v>0</v>
      </c>
    </row>
    <row r="655" customFormat="false" ht="15" hidden="false" customHeight="false" outlineLevel="0" collapsed="false">
      <c r="A655" s="72" t="s">
        <v>152</v>
      </c>
      <c r="B655" s="78" t="n">
        <f aca="false">IF(ISNUMBER(週次_媒体別CP!R52),週次_媒体別CP!R52,0)</f>
        <v>0</v>
      </c>
      <c r="C655" s="78" t="n">
        <f aca="false">IF(ISNUMBER(週次_媒体別CP!R108),週次_媒体別CP!R108,0)</f>
        <v>0</v>
      </c>
      <c r="D655" s="78" t="n">
        <f aca="false">IF(ISNUMBER(週次_媒体別CP!R164),週次_媒体別CP!R164,0)</f>
        <v>0</v>
      </c>
      <c r="E655" s="78" t="n">
        <f aca="false">IF(ISNUMBER(週次_媒体別CP!R220),週次_媒体別CP!R220,0)</f>
        <v>0</v>
      </c>
      <c r="F655" s="78" t="n">
        <f aca="false">IF(ISNUMBER(週次_媒体別CP!R276),週次_媒体別CP!R276,0)</f>
        <v>0</v>
      </c>
      <c r="G655" s="78" t="n">
        <f aca="false">IF(ISNUMBER(週次_媒体別CP!R332),週次_媒体別CP!R332,0)</f>
        <v>0</v>
      </c>
      <c r="H655" s="78" t="n">
        <f aca="false">IF(ISNUMBER(週次_媒体別CP!R388),週次_媒体別CP!R388,0)</f>
        <v>0</v>
      </c>
    </row>
    <row r="656" customFormat="false" ht="15" hidden="false" customHeight="false" outlineLevel="0" collapsed="false">
      <c r="A656" s="72" t="s">
        <v>154</v>
      </c>
      <c r="B656" s="78" t="n">
        <f aca="false">IF(ISNUMBER(週次_媒体別CP!R53),週次_媒体別CP!R53,0)</f>
        <v>0</v>
      </c>
      <c r="C656" s="78" t="n">
        <f aca="false">IF(ISNUMBER(週次_媒体別CP!R109),週次_媒体別CP!R109,0)</f>
        <v>0</v>
      </c>
      <c r="D656" s="78" t="n">
        <f aca="false">IF(ISNUMBER(週次_媒体別CP!R165),週次_媒体別CP!R165,0)</f>
        <v>0</v>
      </c>
      <c r="E656" s="78" t="n">
        <f aca="false">IF(ISNUMBER(週次_媒体別CP!R221),週次_媒体別CP!R221,0)</f>
        <v>0</v>
      </c>
      <c r="F656" s="78" t="n">
        <f aca="false">IF(ISNUMBER(週次_媒体別CP!R277),週次_媒体別CP!R277,0)</f>
        <v>0</v>
      </c>
      <c r="G656" s="78" t="n">
        <f aca="false">IF(ISNUMBER(週次_媒体別CP!R333),週次_媒体別CP!R333,0)</f>
        <v>0</v>
      </c>
      <c r="H656" s="78" t="n">
        <f aca="false">IF(ISNUMBER(週次_媒体別CP!R389),週次_媒体別CP!R389,0)</f>
        <v>0</v>
      </c>
    </row>
    <row r="657" customFormat="false" ht="15" hidden="false" customHeight="false" outlineLevel="0" collapsed="false">
      <c r="A657" s="72" t="s">
        <v>156</v>
      </c>
      <c r="B657" s="78" t="n">
        <f aca="false">IF(ISNUMBER(週次_媒体別CP!R54),週次_媒体別CP!R54,0)</f>
        <v>0</v>
      </c>
      <c r="C657" s="78" t="n">
        <f aca="false">IF(ISNUMBER(週次_媒体別CP!R110),週次_媒体別CP!R110,0)</f>
        <v>0</v>
      </c>
      <c r="D657" s="78" t="n">
        <f aca="false">IF(ISNUMBER(週次_媒体別CP!R166),週次_媒体別CP!R166,0)</f>
        <v>0</v>
      </c>
      <c r="E657" s="78" t="n">
        <f aca="false">IF(ISNUMBER(週次_媒体別CP!R222),週次_媒体別CP!R222,0)</f>
        <v>0</v>
      </c>
      <c r="F657" s="78" t="n">
        <f aca="false">IF(ISNUMBER(週次_媒体別CP!R278),週次_媒体別CP!R278,0)</f>
        <v>0</v>
      </c>
      <c r="G657" s="78" t="n">
        <f aca="false">IF(ISNUMBER(週次_媒体別CP!R334),週次_媒体別CP!R334,0)</f>
        <v>0</v>
      </c>
      <c r="H657" s="78" t="n">
        <f aca="false">IF(ISNUMBER(週次_媒体別CP!R390),週次_媒体別CP!R390,0)</f>
        <v>0</v>
      </c>
    </row>
    <row r="658" customFormat="false" ht="15" hidden="false" customHeight="false" outlineLevel="0" collapsed="false">
      <c r="A658" s="72" t="s">
        <v>158</v>
      </c>
      <c r="B658" s="78" t="n">
        <f aca="false">IF(ISNUMBER(週次_媒体別CP!R55),週次_媒体別CP!R55,0)</f>
        <v>0</v>
      </c>
      <c r="C658" s="78" t="n">
        <f aca="false">IF(ISNUMBER(週次_媒体別CP!R111),週次_媒体別CP!R111,0)</f>
        <v>0</v>
      </c>
      <c r="D658" s="78" t="n">
        <f aca="false">IF(ISNUMBER(週次_媒体別CP!R167),週次_媒体別CP!R167,0)</f>
        <v>0</v>
      </c>
      <c r="E658" s="78" t="n">
        <f aca="false">IF(ISNUMBER(週次_媒体別CP!R223),週次_媒体別CP!R223,0)</f>
        <v>0</v>
      </c>
      <c r="F658" s="78" t="n">
        <f aca="false">IF(ISNUMBER(週次_媒体別CP!R279),週次_媒体別CP!R279,0)</f>
        <v>0</v>
      </c>
      <c r="G658" s="78" t="n">
        <f aca="false">IF(ISNUMBER(週次_媒体別CP!R335),週次_媒体別CP!R335,0)</f>
        <v>0</v>
      </c>
      <c r="H658" s="78" t="n">
        <f aca="false">IF(ISNUMBER(週次_媒体別CP!R391),週次_媒体別CP!R391,0)</f>
        <v>0</v>
      </c>
    </row>
    <row r="659" customFormat="false" ht="15" hidden="false" customHeight="false" outlineLevel="0" collapsed="false">
      <c r="A659" s="72" t="s">
        <v>160</v>
      </c>
      <c r="B659" s="78" t="n">
        <f aca="false">IF(ISNUMBER(週次_媒体別CP!R56),週次_媒体別CP!R56,0)</f>
        <v>0</v>
      </c>
      <c r="C659" s="78" t="n">
        <f aca="false">IF(ISNUMBER(週次_媒体別CP!R112),週次_媒体別CP!R112,0)</f>
        <v>0</v>
      </c>
      <c r="D659" s="78" t="n">
        <f aca="false">IF(ISNUMBER(週次_媒体別CP!R168),週次_媒体別CP!R168,0)</f>
        <v>0</v>
      </c>
      <c r="E659" s="78" t="n">
        <f aca="false">IF(ISNUMBER(週次_媒体別CP!R224),週次_媒体別CP!R224,0)</f>
        <v>0</v>
      </c>
      <c r="F659" s="78" t="n">
        <f aca="false">IF(ISNUMBER(週次_媒体別CP!R280),週次_媒体別CP!R280,0)</f>
        <v>0</v>
      </c>
      <c r="G659" s="78" t="n">
        <f aca="false">IF(ISNUMBER(週次_媒体別CP!R336),週次_媒体別CP!R336,0)</f>
        <v>0</v>
      </c>
      <c r="H659" s="78" t="n">
        <f aca="false">IF(ISNUMBER(週次_媒体別CP!R392),週次_媒体別CP!R392,0)</f>
        <v>0</v>
      </c>
    </row>
    <row r="660" customFormat="false" ht="15" hidden="false" customHeight="false" outlineLevel="0" collapsed="false">
      <c r="A660" s="72" t="s">
        <v>162</v>
      </c>
      <c r="B660" s="78" t="n">
        <f aca="false">IF(ISNUMBER(週次_媒体別CP!R57),週次_媒体別CP!R57,0)</f>
        <v>0</v>
      </c>
      <c r="C660" s="78" t="n">
        <f aca="false">IF(ISNUMBER(週次_媒体別CP!R113),週次_媒体別CP!R113,0)</f>
        <v>0</v>
      </c>
      <c r="D660" s="78" t="n">
        <f aca="false">IF(ISNUMBER(週次_媒体別CP!R169),週次_媒体別CP!R169,0)</f>
        <v>0</v>
      </c>
      <c r="E660" s="78" t="n">
        <f aca="false">IF(ISNUMBER(週次_媒体別CP!R225),週次_媒体別CP!R225,0)</f>
        <v>0</v>
      </c>
      <c r="F660" s="78" t="n">
        <f aca="false">IF(ISNUMBER(週次_媒体別CP!R281),週次_媒体別CP!R281,0)</f>
        <v>0</v>
      </c>
      <c r="G660" s="78" t="n">
        <f aca="false">IF(ISNUMBER(週次_媒体別CP!R337),週次_媒体別CP!R337,0)</f>
        <v>0</v>
      </c>
      <c r="H660" s="78" t="n">
        <f aca="false">IF(ISNUMBER(週次_媒体別CP!R393),週次_媒体別CP!R393,0)</f>
        <v>0</v>
      </c>
    </row>
  </sheetData>
  <mergeCells count="1">
    <mergeCell ref="A1:I1"/>
  </mergeCells>
  <conditionalFormatting sqref="B1:I668">
    <cfRule type="expression" priority="2" aboveAverage="0" equalAverage="0" bottom="0" percent="0" rank="0" text="" dxfId="0">
      <formula>ISNA(B1)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24" hidden="false" customHeight="true" outlineLevel="0" collapsed="false">
      <c r="A1" s="79" t="s">
        <v>254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2026-06-10T03:01:00Z</dcterms:created>
  <dc:creator>openpyxl</dc:creator>
  <dc:description/>
  <dc:language>en-US</dc:language>
  <cp:lastModifiedBy/>
  <dcterms:modified xsi:type="dcterms:W3CDTF">2026-06-24T10:53:46Z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</Properties>
</file>