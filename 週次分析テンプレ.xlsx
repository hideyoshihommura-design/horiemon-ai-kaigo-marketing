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ダッシュボード" sheetId="1" state="visible" r:id="rId1"/>
    <sheet xmlns:r="http://schemas.openxmlformats.org/officeDocument/2006/relationships" name="日次入力" sheetId="2" state="visible" r:id="rId2"/>
    <sheet xmlns:r="http://schemas.openxmlformats.org/officeDocument/2006/relationships" name="週次_媒体別CP" sheetId="3" state="visible" r:id="rId3"/>
    <sheet xmlns:r="http://schemas.openxmlformats.org/officeDocument/2006/relationships" name="全体集計" sheetId="4" state="visible" r:id="rId4"/>
    <sheet xmlns:r="http://schemas.openxmlformats.org/officeDocument/2006/relationships" name="用語集" sheetId="5" state="visible" r:id="rId5"/>
    <sheet xmlns:r="http://schemas.openxmlformats.org/officeDocument/2006/relationships" name="使い方" sheetId="6" state="visible" r:id="rId6"/>
    <sheet xmlns:r="http://schemas.openxmlformats.org/officeDocument/2006/relationships" name="推移データ" sheetId="7" state="visible" r:id="rId7"/>
    <sheet xmlns:r="http://schemas.openxmlformats.org/officeDocument/2006/relationships" name="推移グラフ" sheetId="8" state="visible" r:id="rId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9">
    <numFmt numFmtId="164" formatCode="\¥#,##0"/>
    <numFmt numFmtId="165" formatCode="0.0%"/>
    <numFmt numFmtId="166" formatCode="#,##0.0"/>
    <numFmt numFmtId="167" formatCode="0.00\倍"/>
    <numFmt numFmtId="168" formatCode="¥#,##0"/>
    <numFmt numFmtId="169" formatCode="0.00&quot;倍&quot;"/>
    <numFmt numFmtId="170" formatCode="0.0&quot;倍&quot;"/>
    <numFmt numFmtId="171" formatCode="0.0"/>
    <numFmt numFmtId="172" formatCode="yyyy/m/d"/>
  </numFmts>
  <fonts count="5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DejaVu Sans"/>
      <family val="2"/>
      <b val="1"/>
      <color rgb="FFFFFFFF"/>
      <sz val="15"/>
    </font>
    <font>
      <name val="DejaVu Sans"/>
      <family val="2"/>
      <color rgb="FFFFFFFF"/>
      <sz val="9"/>
    </font>
    <font>
      <name val="DejaVu Sans"/>
      <family val="2"/>
      <b val="1"/>
      <color rgb="FFFFFFFF"/>
      <sz val="12"/>
    </font>
    <font>
      <name val="DejaVu Sans"/>
      <family val="2"/>
      <color rgb="FF1A1A2E"/>
      <sz val="11"/>
    </font>
    <font>
      <name val="DejaVu Sans"/>
      <charset val="1"/>
      <family val="2"/>
      <color rgb="FF1A1A2E"/>
      <sz val="11"/>
    </font>
    <font>
      <name val="Meiryo"/>
      <charset val="1"/>
      <family val="0"/>
      <b val="1"/>
      <color rgb="FF0000FF"/>
      <sz val="11"/>
    </font>
    <font>
      <name val="DejaVu Sans"/>
      <family val="2"/>
      <color rgb="FF555555"/>
      <sz val="9"/>
    </font>
    <font>
      <name val="DejaVu Sans"/>
      <charset val="1"/>
      <family val="2"/>
      <color rgb="FF555555"/>
      <sz val="9"/>
    </font>
    <font>
      <name val="DejaVu Sans"/>
      <charset val="1"/>
      <family val="2"/>
      <b val="1"/>
      <color rgb="FFFFFFFF"/>
      <sz val="12"/>
    </font>
    <font>
      <name val="DejaVu Sans"/>
      <family val="2"/>
      <b val="1"/>
      <color rgb="FFFFFFFF"/>
      <sz val="11"/>
    </font>
    <font>
      <name val="DejaVu Sans"/>
      <charset val="1"/>
      <family val="2"/>
      <b val="1"/>
      <color rgb="FFFFFFFF"/>
      <sz val="11"/>
    </font>
    <font>
      <name val="Meiryo"/>
      <charset val="1"/>
      <family val="0"/>
      <color rgb="FF0000FF"/>
      <sz val="11"/>
    </font>
    <font>
      <name val="Meiryo"/>
      <charset val="1"/>
      <family val="0"/>
      <color rgb="FF1A1A2E"/>
      <sz val="11"/>
    </font>
    <font>
      <name val="DejaVu Sans"/>
      <family val="2"/>
      <b val="1"/>
      <color rgb="FF1A1A2E"/>
      <sz val="11"/>
    </font>
    <font>
      <name val="DejaVu Sans"/>
      <family val="2"/>
      <b val="1"/>
      <sz val="11"/>
    </font>
    <font>
      <name val="DejaVu Sans"/>
      <family val="2"/>
      <b val="1"/>
      <color rgb="FFFFFFFF"/>
      <sz val="14"/>
    </font>
    <font>
      <name val="DejaVu Sans"/>
      <charset val="1"/>
      <family val="2"/>
      <b val="1"/>
      <color rgb="FFFFFFFF"/>
      <sz val="14"/>
    </font>
    <font>
      <name val="DejaVu Sans"/>
      <charset val="1"/>
      <family val="2"/>
      <color rgb="FFFFFFFF"/>
      <sz val="9"/>
    </font>
    <font>
      <name val="DejaVu Sans"/>
      <family val="2"/>
      <b val="1"/>
      <color rgb="FFFFFFFF"/>
      <sz val="9"/>
    </font>
    <font>
      <name val="Meiryo"/>
      <charset val="1"/>
      <family val="0"/>
      <b val="1"/>
      <color rgb="FFFFFFFF"/>
      <sz val="9"/>
    </font>
    <font>
      <name val="DejaVu Sans"/>
      <charset val="1"/>
      <family val="2"/>
      <b val="1"/>
      <color rgb="FFFFFFFF"/>
      <sz val="9"/>
    </font>
    <font>
      <name val="Meiryo"/>
      <charset val="1"/>
      <family val="0"/>
      <b val="1"/>
      <color rgb="FF1A1A2E"/>
      <sz val="11"/>
    </font>
    <font>
      <name val="Meiryo"/>
      <charset val="1"/>
      <family val="0"/>
      <color rgb="FF64748B"/>
      <sz val="9"/>
    </font>
    <font>
      <name val="DejaVu Sans"/>
      <family val="2"/>
      <color rgb="FF64748B"/>
      <sz val="9"/>
    </font>
    <font>
      <name val="DejaVu Sans"/>
      <charset val="1"/>
      <family val="2"/>
      <color rgb="FF64748B"/>
      <sz val="9"/>
    </font>
    <font>
      <name val="Meiryo"/>
      <charset val="1"/>
      <family val="0"/>
      <color rgb="FF64748B"/>
      <sz val="11"/>
    </font>
    <font>
      <name val="DejaVu Sans"/>
      <charset val="1"/>
      <family val="2"/>
      <b val="1"/>
      <color rgb="FF1A1A2E"/>
      <sz val="11"/>
    </font>
    <font>
      <name val="DejaVu Sans"/>
      <family val="2"/>
      <color rgb="FFFEF3C7"/>
      <sz val="10"/>
    </font>
    <font>
      <name val="DejaVu Sans"/>
      <charset val="1"/>
      <family val="2"/>
      <color rgb="FFFEF3C7"/>
      <sz val="10"/>
    </font>
    <font>
      <name val="DejaVu Sans"/>
      <family val="2"/>
      <b val="1"/>
      <sz val="9"/>
    </font>
    <font>
      <name val="Meiryo"/>
      <charset val="1"/>
      <family val="0"/>
      <b val="1"/>
      <sz val="9"/>
    </font>
    <font>
      <name val="Meiryo"/>
      <charset val="1"/>
      <family val="0"/>
      <sz val="9"/>
    </font>
    <font>
      <name val="Meiryo"/>
      <charset val="1"/>
      <family val="0"/>
      <b val="1"/>
      <color rgb="FFFFFFFF"/>
      <sz val="11"/>
    </font>
    <font>
      <name val="DejaVu Sans"/>
      <family val="2"/>
      <b val="1"/>
      <color rgb="FF000000"/>
      <sz val="18"/>
    </font>
    <font>
      <name val="Calibri"/>
      <family val="2"/>
      <color rgb="FF000000"/>
      <sz val="10"/>
    </font>
    <font>
      <name val="DejaVu Sans"/>
      <family val="2"/>
      <b val="1"/>
      <color rgb="FF000000"/>
      <sz val="10"/>
    </font>
    <font>
      <name val="Calibri"/>
      <family val="2"/>
      <b val="1"/>
      <color rgb="FF000000"/>
      <sz val="18"/>
    </font>
    <font>
      <name val="Calibri"/>
      <family val="2"/>
      <b val="1"/>
      <color rgb="FF000000"/>
      <sz val="10"/>
    </font>
    <font>
      <name val="Meiryo"/>
      <b val="1"/>
      <color rgb="00FFFFFF"/>
      <sz val="11"/>
    </font>
    <font>
      <name val="Meiryo"/>
      <b val="1"/>
      <sz val="9"/>
    </font>
    <font>
      <name val="Meiryo"/>
      <sz val="9"/>
    </font>
    <font>
      <name val="Meiryo"/>
      <b val="1"/>
      <color rgb="00FFFFFF"/>
      <sz val="14"/>
    </font>
    <font>
      <name val="Meiryo"/>
      <b val="1"/>
      <color rgb="00FFFFFF"/>
      <sz val="10"/>
    </font>
    <font>
      <name val="Meiryo"/>
      <b val="1"/>
      <color rgb="00334155"/>
      <sz val="10"/>
    </font>
    <font>
      <name val="Meiryo"/>
      <color rgb="0064748B"/>
      <sz val="9"/>
    </font>
    <font>
      <name val="Meiryo"/>
      <b val="1"/>
      <color rgb="001A1A2E"/>
      <sz val="11"/>
    </font>
    <font>
      <name val="Meiryo"/>
      <color rgb="001A1A2E"/>
      <sz val="11"/>
    </font>
    <font>
      <name val="Meiryo"/>
      <color rgb="000000FF"/>
      <sz val="11"/>
    </font>
    <font>
      <name val="Meiryo"/>
      <color rgb="00FFFFFF"/>
      <sz val="9"/>
    </font>
    <font>
      <name val="Meiryo"/>
      <b val="1"/>
      <color rgb="00FFFFFF"/>
      <sz val="9"/>
    </font>
    <font>
      <name val="Meiryo"/>
      <color rgb="0064748B"/>
      <sz val="11"/>
    </font>
    <font>
      <name val="Meiryo"/>
      <b val="1"/>
      <color rgb="001A1A2E"/>
    </font>
    <font>
      <name val="Meiryo"/>
      <color rgb="000000FF"/>
      <sz val="10"/>
    </font>
  </fonts>
  <fills count="19">
    <fill>
      <patternFill/>
    </fill>
    <fill>
      <patternFill patternType="gray125"/>
    </fill>
    <fill>
      <patternFill patternType="solid">
        <fgColor rgb="FF1E293B"/>
        <bgColor rgb="FF1A1A2E"/>
      </patternFill>
    </fill>
    <fill>
      <patternFill patternType="solid">
        <fgColor rgb="FF334155"/>
        <bgColor rgb="FF1E293B"/>
      </patternFill>
    </fill>
    <fill>
      <patternFill patternType="solid">
        <fgColor rgb="FF2563EB"/>
        <bgColor rgb="FF0066CC"/>
      </patternFill>
    </fill>
    <fill>
      <patternFill patternType="solid">
        <fgColor rgb="FFF1F5F9"/>
        <bgColor rgb="FFEEF2F7"/>
      </patternFill>
    </fill>
    <fill>
      <patternFill patternType="solid">
        <fgColor rgb="FFFFF6CC"/>
        <bgColor rgb="FFFEF3C7"/>
      </patternFill>
    </fill>
    <fill>
      <patternFill patternType="solid">
        <fgColor rgb="FFFFFDF0"/>
        <bgColor rgb="FFFFFFFF"/>
      </patternFill>
    </fill>
    <fill>
      <patternFill patternType="solid">
        <fgColor rgb="FFEEF2F7"/>
        <bgColor rgb="FFF1F5F9"/>
      </patternFill>
    </fill>
    <fill>
      <patternFill patternType="solid">
        <fgColor rgb="FF0F766E"/>
        <bgColor rgb="FF008080"/>
      </patternFill>
    </fill>
    <fill>
      <patternFill patternType="solid">
        <fgColor rgb="00334155"/>
      </patternFill>
    </fill>
    <fill>
      <patternFill patternType="solid">
        <fgColor rgb="00F1F5F9"/>
      </patternFill>
    </fill>
    <fill>
      <patternFill patternType="solid">
        <fgColor rgb="001E293B"/>
      </patternFill>
    </fill>
    <fill>
      <patternFill patternType="solid">
        <fgColor rgb="00FFF6CC"/>
      </patternFill>
    </fill>
    <fill>
      <patternFill patternType="solid">
        <fgColor rgb="002563EB"/>
      </patternFill>
    </fill>
    <fill>
      <patternFill patternType="solid">
        <fgColor rgb="00FFFDF0"/>
      </patternFill>
    </fill>
    <fill>
      <patternFill patternType="solid">
        <fgColor rgb="00EEF2F7"/>
      </patternFill>
    </fill>
    <fill>
      <patternFill patternType="solid">
        <fgColor rgb="000F766E"/>
      </patternFill>
    </fill>
    <fill>
      <patternFill patternType="solid">
        <fgColor rgb="00E0F2F1"/>
      </patternFill>
    </fill>
  </fills>
  <borders count="12">
    <border>
      <left/>
      <right/>
      <top/>
      <bottom/>
      <diagonal/>
    </border>
    <border>
      <left style="thin">
        <color rgb="FFD9DEE6"/>
      </left>
      <right/>
      <top style="thin">
        <color rgb="FFD9DEE6"/>
      </top>
      <bottom style="thin">
        <color rgb="FFD9DEE6"/>
      </bottom>
      <diagonal/>
    </border>
    <border>
      <left style="thin">
        <color rgb="FFD9DEE6"/>
      </left>
      <right style="thin">
        <color rgb="FFD9DEE6"/>
      </right>
      <top style="thin">
        <color rgb="FFD9DEE6"/>
      </top>
      <bottom style="thin">
        <color rgb="FFD9DEE6"/>
      </bottom>
      <diagonal/>
    </border>
    <border>
      <left/>
      <right/>
      <top style="thin">
        <color rgb="FFD9DEE6"/>
      </top>
      <bottom/>
      <diagonal/>
    </border>
    <border>
      <left/>
      <right/>
      <top style="thin">
        <color rgb="FFD9DEE6"/>
      </top>
      <bottom style="thin">
        <color rgb="FFD9DEE6"/>
      </bottom>
      <diagonal/>
    </border>
    <border>
      <left/>
      <right style="thin">
        <color rgb="FFD9DEE6"/>
      </right>
      <top style="thin">
        <color rgb="FFD9DEE6"/>
      </top>
      <bottom/>
      <diagonal/>
    </border>
    <border>
      <left/>
      <right style="thin">
        <color rgb="FFD9DEE6"/>
      </right>
      <top style="thin">
        <color rgb="FFD9DEE6"/>
      </top>
      <bottom style="thin">
        <color rgb="FFD9DEE6"/>
      </bottom>
      <diagonal/>
    </border>
    <border>
      <left style="thin">
        <color rgb="00D9DEE6"/>
      </left>
      <right style="thin">
        <color rgb="00D9DEE6"/>
      </right>
      <top style="thin">
        <color rgb="00D9DEE6"/>
      </top>
      <bottom style="thin">
        <color rgb="00D9DEE6"/>
      </bottom>
    </border>
    <border>
      <left/>
      <right/>
      <top style="thin">
        <color rgb="00D9DEE6"/>
      </top>
      <bottom/>
      <diagonal/>
    </border>
    <border>
      <left/>
      <right style="thin">
        <color rgb="00D9DEE6"/>
      </right>
      <top style="thin">
        <color rgb="00D9DEE6"/>
      </top>
      <bottom/>
      <diagonal/>
    </border>
    <border>
      <left/>
      <right/>
      <top style="thin">
        <color rgb="00D9DEE6"/>
      </top>
      <bottom style="thin">
        <color rgb="00D9DEE6"/>
      </bottom>
      <diagonal/>
    </border>
    <border>
      <left/>
      <right style="thin">
        <color rgb="00D9DEE6"/>
      </right>
      <top style="thin">
        <color rgb="00D9DEE6"/>
      </top>
      <bottom style="thin">
        <color rgb="00D9DEE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2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/>
    </xf>
    <xf numFmtId="0" fontId="7" fillId="5" borderId="2" applyAlignment="1" pivotButton="0" quotePrefix="0" xfId="0">
      <alignment horizontal="left" vertical="center"/>
    </xf>
    <xf numFmtId="164" fontId="9" fillId="6" borderId="2" applyAlignment="1" pivotButton="0" quotePrefix="0" xfId="0">
      <alignment horizontal="right" vertical="center"/>
    </xf>
    <xf numFmtId="0" fontId="10" fillId="0" borderId="1" applyAlignment="1" pivotButton="0" quotePrefix="0" xfId="0">
      <alignment horizontal="left" vertical="center"/>
    </xf>
    <xf numFmtId="165" fontId="9" fillId="6" borderId="2" applyAlignment="1" pivotButton="0" quotePrefix="0" xfId="0">
      <alignment horizontal="right" vertical="center"/>
    </xf>
    <xf numFmtId="0" fontId="13" fillId="3" borderId="2" applyAlignment="1" pivotButton="0" quotePrefix="0" xfId="0">
      <alignment horizontal="center" vertical="center"/>
    </xf>
    <xf numFmtId="164" fontId="15" fillId="7" borderId="2" applyAlignment="1" pivotButton="0" quotePrefix="0" xfId="0">
      <alignment horizontal="right" vertical="center"/>
    </xf>
    <xf numFmtId="164" fontId="16" fillId="0" borderId="2" applyAlignment="1" pivotButton="0" quotePrefix="0" xfId="0">
      <alignment horizontal="right" vertical="center"/>
    </xf>
    <xf numFmtId="0" fontId="8" fillId="5" borderId="2" applyAlignment="1" pivotButton="0" quotePrefix="0" xfId="0">
      <alignment horizontal="left" vertical="center"/>
    </xf>
    <xf numFmtId="3" fontId="15" fillId="7" borderId="2" applyAlignment="1" pivotButton="0" quotePrefix="0" xfId="0">
      <alignment horizontal="right" vertical="center"/>
    </xf>
    <xf numFmtId="3" fontId="16" fillId="0" borderId="2" applyAlignment="1" pivotButton="0" quotePrefix="0" xfId="0">
      <alignment horizontal="right" vertical="center"/>
    </xf>
    <xf numFmtId="165" fontId="15" fillId="7" borderId="2" applyAlignment="1" pivotButton="0" quotePrefix="0" xfId="0">
      <alignment horizontal="right" vertical="center"/>
    </xf>
    <xf numFmtId="165" fontId="16" fillId="0" borderId="2" applyAlignment="1" pivotButton="0" quotePrefix="0" xfId="0">
      <alignment horizontal="right" vertical="center"/>
    </xf>
    <xf numFmtId="0" fontId="17" fillId="0" borderId="2" applyAlignment="1" pivotButton="0" quotePrefix="0" xfId="0">
      <alignment horizontal="center" vertical="center"/>
    </xf>
    <xf numFmtId="166" fontId="16" fillId="0" borderId="2" applyAlignment="1" pivotButton="0" quotePrefix="0" xfId="0">
      <alignment horizontal="right" vertical="center"/>
    </xf>
    <xf numFmtId="4" fontId="16" fillId="0" borderId="2" applyAlignment="1" pivotButton="0" quotePrefix="0" xfId="0">
      <alignment horizontal="right" vertical="center"/>
    </xf>
    <xf numFmtId="0" fontId="16" fillId="5" borderId="2" applyAlignment="1" pivotButton="0" quotePrefix="0" xfId="0">
      <alignment horizontal="left" vertical="center"/>
    </xf>
    <xf numFmtId="0" fontId="18" fillId="0" borderId="2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 wrapText="1"/>
    </xf>
    <xf numFmtId="0" fontId="19" fillId="2" borderId="1" applyAlignment="1" pivotButton="0" quotePrefix="0" xfId="0">
      <alignment horizontal="left" vertical="center"/>
    </xf>
    <xf numFmtId="0" fontId="13" fillId="4" borderId="1" applyAlignment="1" pivotButton="0" quotePrefix="0" xfId="0">
      <alignment horizontal="left" vertical="center"/>
    </xf>
    <xf numFmtId="0" fontId="22" fillId="3" borderId="2" applyAlignment="1" pivotButton="0" quotePrefix="0" xfId="0">
      <alignment horizontal="center" vertical="center" wrapText="1"/>
    </xf>
    <xf numFmtId="0" fontId="23" fillId="3" borderId="2" applyAlignment="1" pivotButton="0" quotePrefix="0" xfId="0">
      <alignment horizontal="center" vertical="center" wrapText="1"/>
    </xf>
    <xf numFmtId="0" fontId="25" fillId="0" borderId="2" applyAlignment="1" pivotButton="0" quotePrefix="0" xfId="0">
      <alignment horizontal="center" vertical="center"/>
    </xf>
    <xf numFmtId="0" fontId="26" fillId="0" borderId="2" applyAlignment="1" pivotButton="0" quotePrefix="0" xfId="0">
      <alignment horizontal="center" vertical="center"/>
    </xf>
    <xf numFmtId="167" fontId="16" fillId="0" borderId="2" applyAlignment="1" pivotButton="0" quotePrefix="0" xfId="0">
      <alignment horizontal="right" vertical="center"/>
    </xf>
    <xf numFmtId="0" fontId="16" fillId="0" borderId="2" applyAlignment="1" pivotButton="0" quotePrefix="0" xfId="0">
      <alignment horizontal="right" vertical="center"/>
    </xf>
    <xf numFmtId="0" fontId="27" fillId="0" borderId="2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/>
    </xf>
    <xf numFmtId="0" fontId="25" fillId="5" borderId="2" applyAlignment="1" pivotButton="0" quotePrefix="0" xfId="0">
      <alignment horizontal="left" vertical="center"/>
    </xf>
    <xf numFmtId="164" fontId="25" fillId="5" borderId="2" applyAlignment="1" pivotButton="0" quotePrefix="0" xfId="0">
      <alignment horizontal="right" vertical="center"/>
    </xf>
    <xf numFmtId="3" fontId="25" fillId="5" borderId="2" applyAlignment="1" pivotButton="0" quotePrefix="0" xfId="0">
      <alignment horizontal="right" vertical="center"/>
    </xf>
    <xf numFmtId="165" fontId="25" fillId="5" borderId="2" applyAlignment="1" pivotButton="0" quotePrefix="0" xfId="0">
      <alignment horizontal="right" vertical="center"/>
    </xf>
    <xf numFmtId="167" fontId="25" fillId="5" borderId="2" applyAlignment="1" pivotButton="0" quotePrefix="0" xfId="0">
      <alignment horizontal="right" vertical="center"/>
    </xf>
    <xf numFmtId="0" fontId="17" fillId="6" borderId="2" applyAlignment="1" pivotButton="0" quotePrefix="0" xfId="0">
      <alignment horizontal="center" vertical="center"/>
    </xf>
    <xf numFmtId="0" fontId="27" fillId="6" borderId="2" applyAlignment="1" pivotButton="0" quotePrefix="0" xfId="0">
      <alignment horizontal="center" vertical="center"/>
    </xf>
    <xf numFmtId="0" fontId="29" fillId="8" borderId="2" applyAlignment="1" pivotButton="0" quotePrefix="0" xfId="0">
      <alignment horizontal="center" vertical="center"/>
    </xf>
    <xf numFmtId="0" fontId="16" fillId="0" borderId="2" applyAlignment="1" pivotButton="0" quotePrefix="0" xfId="0">
      <alignment horizontal="center" vertical="center"/>
    </xf>
    <xf numFmtId="0" fontId="22" fillId="4" borderId="2" applyAlignment="1" pivotButton="0" quotePrefix="0" xfId="0">
      <alignment horizontal="center" vertical="center"/>
    </xf>
    <xf numFmtId="0" fontId="22" fillId="9" borderId="2" applyAlignment="1" pivotButton="0" quotePrefix="0" xfId="0">
      <alignment horizontal="center" vertical="center"/>
    </xf>
    <xf numFmtId="0" fontId="27" fillId="0" borderId="1" applyAlignment="1" pivotButton="0" quotePrefix="0" xfId="0">
      <alignment horizontal="left" vertical="center" wrapText="1"/>
    </xf>
    <xf numFmtId="0" fontId="27" fillId="0" borderId="1" applyAlignment="1" pivotButton="0" quotePrefix="0" xfId="0">
      <alignment horizontal="left" vertical="center"/>
    </xf>
    <xf numFmtId="0" fontId="25" fillId="5" borderId="2" applyAlignment="1" pivotButton="0" quotePrefix="0" xfId="0">
      <alignment horizontal="left" vertical="center" wrapText="1"/>
    </xf>
    <xf numFmtId="0" fontId="7" fillId="0" borderId="2" applyAlignment="1" pivotButton="0" quotePrefix="0" xfId="0">
      <alignment horizontal="left" vertical="center" wrapText="1"/>
    </xf>
    <xf numFmtId="0" fontId="17" fillId="5" borderId="2" applyAlignment="1" pivotButton="0" quotePrefix="0" xfId="0">
      <alignment horizontal="left" vertical="center" wrapText="1"/>
    </xf>
    <xf numFmtId="0" fontId="16" fillId="0" borderId="2" applyAlignment="1" pivotButton="0" quotePrefix="0" xfId="0">
      <alignment horizontal="left" vertical="center" wrapText="1"/>
    </xf>
    <xf numFmtId="0" fontId="17" fillId="6" borderId="2" applyAlignment="1" pivotButton="0" quotePrefix="0" xfId="0">
      <alignment horizontal="left" vertical="center"/>
    </xf>
    <xf numFmtId="164" fontId="15" fillId="6" borderId="2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6" fillId="4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31" fillId="0" borderId="0" applyAlignment="1" pivotButton="0" quotePrefix="0" xfId="0">
      <alignment horizontal="left" vertical="center" wrapText="1"/>
    </xf>
    <xf numFmtId="0" fontId="13" fillId="3" borderId="0" applyAlignment="1" pivotButton="0" quotePrefix="0" xfId="0">
      <alignment horizontal="general" vertical="bottom"/>
    </xf>
    <xf numFmtId="0" fontId="33" fillId="5" borderId="0" applyAlignment="1" pivotButton="0" quotePrefix="0" xfId="0">
      <alignment horizontal="general" vertical="bottom"/>
    </xf>
    <xf numFmtId="0" fontId="34" fillId="5" borderId="0" applyAlignment="1" pivotButton="0" quotePrefix="0" xfId="0">
      <alignment horizontal="center" vertical="bottom" wrapText="1"/>
    </xf>
    <xf numFmtId="0" fontId="35" fillId="0" borderId="0" applyAlignment="1" pivotButton="0" quotePrefix="0" xfId="0">
      <alignment horizontal="general" vertical="bottom"/>
    </xf>
    <xf numFmtId="164" fontId="35" fillId="0" borderId="0" applyAlignment="1" pivotButton="0" quotePrefix="0" xfId="0">
      <alignment horizontal="general" vertical="bottom"/>
    </xf>
    <xf numFmtId="0" fontId="36" fillId="3" borderId="0" applyAlignment="1" pivotButton="0" quotePrefix="0" xfId="0">
      <alignment horizontal="general" vertical="bottom"/>
    </xf>
    <xf numFmtId="3" fontId="35" fillId="0" borderId="0" applyAlignment="1" pivotButton="0" quotePrefix="0" xfId="0">
      <alignment horizontal="general" vertical="bottom"/>
    </xf>
    <xf numFmtId="165" fontId="35" fillId="0" borderId="0" applyAlignment="1" pivotButton="0" quotePrefix="0" xfId="0">
      <alignment horizontal="general" vertical="bottom"/>
    </xf>
    <xf numFmtId="167" fontId="35" fillId="0" borderId="0" applyAlignment="1" pivotButton="0" quotePrefix="0" xfId="0">
      <alignment horizontal="general" vertical="bottom"/>
    </xf>
    <xf numFmtId="0" fontId="33" fillId="5" borderId="0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left" vertical="center"/>
    </xf>
    <xf numFmtId="0" fontId="0" fillId="0" borderId="4" pivotButton="0" quotePrefix="0" xfId="0"/>
    <xf numFmtId="0" fontId="5" fillId="3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/>
    </xf>
    <xf numFmtId="0" fontId="7" fillId="5" borderId="2" applyAlignment="1" pivotButton="0" quotePrefix="0" xfId="0">
      <alignment horizontal="left" vertical="center"/>
    </xf>
    <xf numFmtId="164" fontId="9" fillId="6" borderId="2" applyAlignment="1" pivotButton="0" quotePrefix="0" xfId="0">
      <alignment horizontal="right" vertical="center"/>
    </xf>
    <xf numFmtId="0" fontId="10" fillId="0" borderId="1" applyAlignment="1" pivotButton="0" quotePrefix="0" xfId="0">
      <alignment horizontal="left" vertical="center"/>
    </xf>
    <xf numFmtId="165" fontId="9" fillId="6" borderId="2" applyAlignment="1" pivotButton="0" quotePrefix="0" xfId="0">
      <alignment horizontal="right" vertical="center"/>
    </xf>
    <xf numFmtId="0" fontId="13" fillId="3" borderId="2" applyAlignment="1" pivotButton="0" quotePrefix="0" xfId="0">
      <alignment horizontal="center" vertical="center"/>
    </xf>
    <xf numFmtId="164" fontId="15" fillId="7" borderId="2" applyAlignment="1" pivotButton="0" quotePrefix="0" xfId="0">
      <alignment horizontal="right" vertical="center"/>
    </xf>
    <xf numFmtId="164" fontId="16" fillId="0" borderId="2" applyAlignment="1" pivotButton="0" quotePrefix="0" xfId="0">
      <alignment horizontal="right" vertical="center"/>
    </xf>
    <xf numFmtId="0" fontId="8" fillId="5" borderId="2" applyAlignment="1" pivotButton="0" quotePrefix="0" xfId="0">
      <alignment horizontal="left" vertical="center"/>
    </xf>
    <xf numFmtId="3" fontId="15" fillId="7" borderId="2" applyAlignment="1" pivotButton="0" quotePrefix="0" xfId="0">
      <alignment horizontal="right" vertical="center"/>
    </xf>
    <xf numFmtId="3" fontId="16" fillId="0" borderId="2" applyAlignment="1" pivotButton="0" quotePrefix="0" xfId="0">
      <alignment horizontal="right" vertical="center"/>
    </xf>
    <xf numFmtId="165" fontId="15" fillId="7" borderId="2" applyAlignment="1" pivotButton="0" quotePrefix="0" xfId="0">
      <alignment horizontal="right" vertical="center"/>
    </xf>
    <xf numFmtId="165" fontId="16" fillId="0" borderId="2" applyAlignment="1" pivotButton="0" quotePrefix="0" xfId="0">
      <alignment horizontal="right" vertical="center"/>
    </xf>
    <xf numFmtId="0" fontId="17" fillId="0" borderId="2" applyAlignment="1" pivotButton="0" quotePrefix="0" xfId="0">
      <alignment horizontal="center" vertical="center"/>
    </xf>
    <xf numFmtId="166" fontId="16" fillId="0" borderId="2" applyAlignment="1" pivotButton="0" quotePrefix="0" xfId="0">
      <alignment horizontal="right" vertical="center"/>
    </xf>
    <xf numFmtId="4" fontId="16" fillId="0" borderId="2" applyAlignment="1" pivotButton="0" quotePrefix="0" xfId="0">
      <alignment horizontal="right" vertical="center"/>
    </xf>
    <xf numFmtId="0" fontId="16" fillId="5" borderId="2" applyAlignment="1" pivotButton="0" quotePrefix="0" xfId="0">
      <alignment horizontal="left" vertical="center"/>
    </xf>
    <xf numFmtId="0" fontId="18" fillId="0" borderId="2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 wrapText="1"/>
    </xf>
    <xf numFmtId="0" fontId="19" fillId="2" borderId="1" applyAlignment="1" pivotButton="0" quotePrefix="0" xfId="0">
      <alignment horizontal="left" vertical="center"/>
    </xf>
    <xf numFmtId="0" fontId="13" fillId="4" borderId="1" applyAlignment="1" pivotButton="0" quotePrefix="0" xfId="0">
      <alignment horizontal="left" vertical="center"/>
    </xf>
    <xf numFmtId="0" fontId="22" fillId="3" borderId="2" applyAlignment="1" pivotButton="0" quotePrefix="0" xfId="0">
      <alignment horizontal="center" vertical="center" wrapText="1"/>
    </xf>
    <xf numFmtId="0" fontId="23" fillId="3" borderId="2" applyAlignment="1" pivotButton="0" quotePrefix="0" xfId="0">
      <alignment horizontal="center" vertical="center" wrapText="1"/>
    </xf>
    <xf numFmtId="0" fontId="25" fillId="0" borderId="2" applyAlignment="1" pivotButton="0" quotePrefix="0" xfId="0">
      <alignment horizontal="center" vertical="center"/>
    </xf>
    <xf numFmtId="0" fontId="26" fillId="0" borderId="2" applyAlignment="1" pivotButton="0" quotePrefix="0" xfId="0">
      <alignment horizontal="center" vertical="center"/>
    </xf>
    <xf numFmtId="167" fontId="16" fillId="0" borderId="2" applyAlignment="1" pivotButton="0" quotePrefix="0" xfId="0">
      <alignment horizontal="right" vertical="center"/>
    </xf>
    <xf numFmtId="0" fontId="16" fillId="0" borderId="2" applyAlignment="1" pivotButton="0" quotePrefix="0" xfId="0">
      <alignment horizontal="right" vertical="center"/>
    </xf>
    <xf numFmtId="0" fontId="27" fillId="0" borderId="2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/>
    </xf>
    <xf numFmtId="0" fontId="25" fillId="5" borderId="2" applyAlignment="1" pivotButton="0" quotePrefix="0" xfId="0">
      <alignment horizontal="left" vertical="center"/>
    </xf>
    <xf numFmtId="164" fontId="25" fillId="5" borderId="2" applyAlignment="1" pivotButton="0" quotePrefix="0" xfId="0">
      <alignment horizontal="right" vertical="center"/>
    </xf>
    <xf numFmtId="3" fontId="25" fillId="5" borderId="2" applyAlignment="1" pivotButton="0" quotePrefix="0" xfId="0">
      <alignment horizontal="right" vertical="center"/>
    </xf>
    <xf numFmtId="165" fontId="25" fillId="5" borderId="2" applyAlignment="1" pivotButton="0" quotePrefix="0" xfId="0">
      <alignment horizontal="right" vertical="center"/>
    </xf>
    <xf numFmtId="167" fontId="25" fillId="5" borderId="2" applyAlignment="1" pivotButton="0" quotePrefix="0" xfId="0">
      <alignment horizontal="right" vertical="center"/>
    </xf>
    <xf numFmtId="0" fontId="17" fillId="6" borderId="2" applyAlignment="1" pivotButton="0" quotePrefix="0" xfId="0">
      <alignment horizontal="center" vertical="center"/>
    </xf>
    <xf numFmtId="0" fontId="27" fillId="6" borderId="2" applyAlignment="1" pivotButton="0" quotePrefix="0" xfId="0">
      <alignment horizontal="center" vertical="center"/>
    </xf>
    <xf numFmtId="0" fontId="29" fillId="8" borderId="2" applyAlignment="1" pivotButton="0" quotePrefix="0" xfId="0">
      <alignment horizontal="center" vertical="center"/>
    </xf>
    <xf numFmtId="0" fontId="16" fillId="0" borderId="2" applyAlignment="1" pivotButton="0" quotePrefix="0" xfId="0">
      <alignment horizontal="center" vertical="center"/>
    </xf>
    <xf numFmtId="0" fontId="22" fillId="4" borderId="2" applyAlignment="1" pivotButton="0" quotePrefix="0" xfId="0">
      <alignment horizontal="center" vertical="center"/>
    </xf>
    <xf numFmtId="0" fontId="0" fillId="0" borderId="6" pivotButton="0" quotePrefix="0" xfId="0"/>
    <xf numFmtId="0" fontId="22" fillId="9" borderId="2" applyAlignment="1" pivotButton="0" quotePrefix="0" xfId="0">
      <alignment horizontal="center" vertical="center"/>
    </xf>
    <xf numFmtId="0" fontId="27" fillId="0" borderId="1" applyAlignment="1" pivotButton="0" quotePrefix="0" xfId="0">
      <alignment horizontal="left" vertical="center" wrapText="1"/>
    </xf>
    <xf numFmtId="0" fontId="27" fillId="0" borderId="1" applyAlignment="1" pivotButton="0" quotePrefix="0" xfId="0">
      <alignment horizontal="left" vertical="center"/>
    </xf>
    <xf numFmtId="0" fontId="25" fillId="5" borderId="2" applyAlignment="1" pivotButton="0" quotePrefix="0" xfId="0">
      <alignment horizontal="left" vertical="center" wrapText="1"/>
    </xf>
    <xf numFmtId="0" fontId="7" fillId="0" borderId="2" applyAlignment="1" pivotButton="0" quotePrefix="0" xfId="0">
      <alignment horizontal="left" vertical="center" wrapText="1"/>
    </xf>
    <xf numFmtId="0" fontId="17" fillId="5" borderId="2" applyAlignment="1" pivotButton="0" quotePrefix="0" xfId="0">
      <alignment horizontal="left" vertical="center" wrapText="1"/>
    </xf>
    <xf numFmtId="0" fontId="16" fillId="0" borderId="2" applyAlignment="1" pivotButton="0" quotePrefix="0" xfId="0">
      <alignment horizontal="left" vertical="center" wrapText="1"/>
    </xf>
    <xf numFmtId="0" fontId="17" fillId="6" borderId="2" applyAlignment="1" pivotButton="0" quotePrefix="0" xfId="0">
      <alignment horizontal="left" vertical="center"/>
    </xf>
    <xf numFmtId="164" fontId="15" fillId="6" borderId="2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6" fillId="4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31" fillId="0" borderId="0" applyAlignment="1" pivotButton="0" quotePrefix="0" xfId="0">
      <alignment horizontal="left" vertical="center" wrapText="1"/>
    </xf>
    <xf numFmtId="0" fontId="42" fillId="10" borderId="0" pivotButton="0" quotePrefix="0" xfId="0"/>
    <xf numFmtId="0" fontId="43" fillId="11" borderId="0" pivotButton="0" quotePrefix="0" xfId="0"/>
    <xf numFmtId="0" fontId="43" fillId="11" borderId="0" applyAlignment="1" pivotButton="0" quotePrefix="0" xfId="0">
      <alignment horizontal="center" wrapText="1"/>
    </xf>
    <xf numFmtId="0" fontId="44" fillId="0" borderId="0" pivotButton="0" quotePrefix="0" xfId="0"/>
    <xf numFmtId="168" fontId="44" fillId="0" borderId="0" pivotButton="0" quotePrefix="0" xfId="0"/>
    <xf numFmtId="3" fontId="44" fillId="0" borderId="0" pivotButton="0" quotePrefix="0" xfId="0"/>
    <xf numFmtId="165" fontId="44" fillId="0" borderId="0" pivotButton="0" quotePrefix="0" xfId="0"/>
    <xf numFmtId="169" fontId="44" fillId="0" borderId="0" pivotButton="0" quotePrefix="0" xfId="0"/>
    <xf numFmtId="0" fontId="45" fillId="10" borderId="0" applyAlignment="1" pivotButton="0" quotePrefix="0" xfId="0">
      <alignment horizontal="left" vertical="center"/>
    </xf>
    <xf numFmtId="0" fontId="46" fillId="10" borderId="0" pivotButton="0" quotePrefix="0" xfId="0"/>
    <xf numFmtId="0" fontId="47" fillId="0" borderId="0" pivotButton="0" quotePrefix="0" xfId="0"/>
    <xf numFmtId="170" fontId="44" fillId="0" borderId="0" pivotButton="0" quotePrefix="0" xfId="0"/>
    <xf numFmtId="0" fontId="45" fillId="12" borderId="7" applyAlignment="1" pivotButton="0" quotePrefix="0" xfId="0">
      <alignment horizontal="left" vertical="center"/>
    </xf>
    <xf numFmtId="0" fontId="52" fillId="10" borderId="7" applyAlignment="1" pivotButton="0" quotePrefix="0" xfId="0">
      <alignment horizontal="left" vertical="center"/>
    </xf>
    <xf numFmtId="0" fontId="42" fillId="14" borderId="7" applyAlignment="1" pivotButton="0" quotePrefix="0" xfId="0">
      <alignment horizontal="left" vertical="center"/>
    </xf>
    <xf numFmtId="0" fontId="53" fillId="10" borderId="7" applyAlignment="1" pivotButton="0" quotePrefix="0" xfId="0">
      <alignment horizontal="center" vertical="center" wrapText="1"/>
    </xf>
    <xf numFmtId="0" fontId="49" fillId="0" borderId="7" applyAlignment="1" pivotButton="0" quotePrefix="0" xfId="0">
      <alignment horizontal="center" vertical="center"/>
    </xf>
    <xf numFmtId="0" fontId="48" fillId="0" borderId="7" applyAlignment="1" pivotButton="0" quotePrefix="0" xfId="0">
      <alignment horizontal="center" vertical="center"/>
    </xf>
    <xf numFmtId="168" fontId="51" fillId="15" borderId="7" applyAlignment="1" pivotButton="0" quotePrefix="0" xfId="0">
      <alignment horizontal="right" vertical="center"/>
    </xf>
    <xf numFmtId="3" fontId="51" fillId="15" borderId="7" applyAlignment="1" pivotButton="0" quotePrefix="0" xfId="0">
      <alignment horizontal="right" vertical="center"/>
    </xf>
    <xf numFmtId="165" fontId="50" fillId="0" borderId="7" applyAlignment="1" pivotButton="0" quotePrefix="0" xfId="0">
      <alignment horizontal="right" vertical="center"/>
    </xf>
    <xf numFmtId="168" fontId="50" fillId="0" borderId="7" applyAlignment="1" pivotButton="0" quotePrefix="0" xfId="0">
      <alignment horizontal="right" vertical="center"/>
    </xf>
    <xf numFmtId="0" fontId="50" fillId="0" borderId="7" applyAlignment="1" pivotButton="0" quotePrefix="0" xfId="0">
      <alignment horizontal="right" vertical="center"/>
    </xf>
    <xf numFmtId="169" fontId="50" fillId="0" borderId="7" applyAlignment="1" pivotButton="0" quotePrefix="0" xfId="0">
      <alignment horizontal="right" vertical="center"/>
    </xf>
    <xf numFmtId="3" fontId="50" fillId="0" borderId="7" applyAlignment="1" pivotButton="0" quotePrefix="0" xfId="0">
      <alignment horizontal="right" vertical="center"/>
    </xf>
    <xf numFmtId="0" fontId="49" fillId="11" borderId="7" applyAlignment="1" pivotButton="0" quotePrefix="0" xfId="0">
      <alignment horizontal="center" vertical="center"/>
    </xf>
    <xf numFmtId="0" fontId="49" fillId="11" borderId="7" applyAlignment="1" pivotButton="0" quotePrefix="0" xfId="0">
      <alignment horizontal="left" vertical="center"/>
    </xf>
    <xf numFmtId="168" fontId="49" fillId="11" borderId="7" applyAlignment="1" pivotButton="0" quotePrefix="0" xfId="0">
      <alignment horizontal="right" vertical="center"/>
    </xf>
    <xf numFmtId="3" fontId="49" fillId="11" borderId="7" applyAlignment="1" pivotButton="0" quotePrefix="0" xfId="0">
      <alignment horizontal="right" vertical="center"/>
    </xf>
    <xf numFmtId="165" fontId="49" fillId="11" borderId="7" applyAlignment="1" pivotButton="0" quotePrefix="0" xfId="0">
      <alignment horizontal="right" vertical="center"/>
    </xf>
    <xf numFmtId="169" fontId="49" fillId="11" borderId="7" applyAlignment="1" pivotButton="0" quotePrefix="0" xfId="0">
      <alignment horizontal="right" vertical="center"/>
    </xf>
    <xf numFmtId="0" fontId="49" fillId="13" borderId="7" applyAlignment="1" pivotButton="0" quotePrefix="0" xfId="0">
      <alignment horizontal="center" vertical="center"/>
    </xf>
    <xf numFmtId="0" fontId="48" fillId="13" borderId="7" applyAlignment="1" pivotButton="0" quotePrefix="0" xfId="0">
      <alignment horizontal="center" vertical="center"/>
    </xf>
    <xf numFmtId="0" fontId="54" fillId="16" borderId="7" applyAlignment="1" pivotButton="0" quotePrefix="0" xfId="0">
      <alignment horizontal="center" vertical="center"/>
    </xf>
    <xf numFmtId="169" fontId="50" fillId="0" borderId="7" applyAlignment="1" pivotButton="0" quotePrefix="0" xfId="0">
      <alignment horizontal="center" vertical="center"/>
    </xf>
    <xf numFmtId="0" fontId="53" fillId="14" borderId="7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11" pivotButton="0" quotePrefix="0" xfId="0"/>
    <xf numFmtId="0" fontId="53" fillId="17" borderId="7" applyAlignment="1" pivotButton="0" quotePrefix="0" xfId="0">
      <alignment horizontal="center" vertical="center"/>
    </xf>
    <xf numFmtId="0" fontId="55" fillId="11" borderId="7" applyAlignment="1" pivotButton="0" quotePrefix="0" xfId="0">
      <alignment horizontal="center" vertical="center"/>
    </xf>
    <xf numFmtId="0" fontId="55" fillId="11" borderId="7" applyAlignment="1" pivotButton="0" quotePrefix="0" xfId="0">
      <alignment horizontal="left" vertical="center"/>
    </xf>
    <xf numFmtId="168" fontId="55" fillId="11" borderId="7" applyAlignment="1" pivotButton="0" quotePrefix="0" xfId="0">
      <alignment horizontal="right" vertical="center"/>
    </xf>
    <xf numFmtId="3" fontId="55" fillId="11" borderId="7" applyAlignment="1" pivotButton="0" quotePrefix="0" xfId="0">
      <alignment horizontal="right" vertical="center"/>
    </xf>
    <xf numFmtId="165" fontId="55" fillId="11" borderId="7" applyAlignment="1" pivotButton="0" quotePrefix="0" xfId="0">
      <alignment horizontal="right" vertical="center"/>
    </xf>
    <xf numFmtId="0" fontId="48" fillId="0" borderId="7" applyAlignment="1" pivotButton="0" quotePrefix="0" xfId="0">
      <alignment horizontal="left" vertical="center" wrapText="1"/>
    </xf>
    <xf numFmtId="0" fontId="48" fillId="0" borderId="7" applyAlignment="1" pivotButton="0" quotePrefix="0" xfId="0">
      <alignment horizontal="left" vertical="center"/>
    </xf>
    <xf numFmtId="0" fontId="49" fillId="11" borderId="7" applyAlignment="1" pivotButton="0" quotePrefix="0" xfId="0">
      <alignment horizontal="left" vertical="center" wrapText="1"/>
    </xf>
    <xf numFmtId="0" fontId="50" fillId="0" borderId="7" applyAlignment="1" pivotButton="0" quotePrefix="0" xfId="0">
      <alignment horizontal="left" vertical="center" wrapText="1"/>
    </xf>
    <xf numFmtId="0" fontId="49" fillId="13" borderId="7" applyAlignment="1" pivotButton="0" quotePrefix="0" xfId="0">
      <alignment horizontal="left" vertical="center"/>
    </xf>
    <xf numFmtId="168" fontId="51" fillId="13" borderId="7" applyAlignment="1" pivotButton="0" quotePrefix="0" xfId="0">
      <alignment horizontal="left" vertical="center"/>
    </xf>
    <xf numFmtId="0" fontId="45" fillId="12" borderId="7" applyAlignment="1" pivotButton="0" quotePrefix="0" xfId="0">
      <alignment horizontal="left" vertical="center"/>
    </xf>
    <xf numFmtId="0" fontId="52" fillId="10" borderId="7" applyAlignment="1" pivotButton="0" quotePrefix="0" xfId="0">
      <alignment horizontal="left" vertical="center"/>
    </xf>
    <xf numFmtId="0" fontId="42" fillId="14" borderId="7" applyAlignment="1" pivotButton="0" quotePrefix="0" xfId="0">
      <alignment horizontal="left" vertical="center"/>
    </xf>
    <xf numFmtId="0" fontId="49" fillId="0" borderId="7" applyAlignment="1" pivotButton="0" quotePrefix="0" xfId="0">
      <alignment horizontal="center" vertical="center"/>
    </xf>
    <xf numFmtId="0" fontId="48" fillId="0" borderId="7" applyAlignment="1" pivotButton="0" quotePrefix="0" xfId="0">
      <alignment horizontal="center" vertical="center"/>
    </xf>
    <xf numFmtId="168" fontId="51" fillId="15" borderId="7" applyAlignment="1" pivotButton="0" quotePrefix="0" xfId="0">
      <alignment horizontal="right" vertical="center"/>
    </xf>
    <xf numFmtId="3" fontId="51" fillId="15" borderId="7" applyAlignment="1" pivotButton="0" quotePrefix="0" xfId="0">
      <alignment horizontal="right" vertical="center"/>
    </xf>
    <xf numFmtId="165" fontId="50" fillId="0" borderId="7" applyAlignment="1" pivotButton="0" quotePrefix="0" xfId="0">
      <alignment horizontal="right" vertical="center"/>
    </xf>
    <xf numFmtId="168" fontId="50" fillId="0" borderId="7" applyAlignment="1" pivotButton="0" quotePrefix="0" xfId="0">
      <alignment horizontal="right" vertical="center"/>
    </xf>
    <xf numFmtId="0" fontId="50" fillId="0" borderId="7" applyAlignment="1" pivotButton="0" quotePrefix="0" xfId="0">
      <alignment horizontal="right" vertical="center"/>
    </xf>
    <xf numFmtId="169" fontId="50" fillId="0" borderId="7" applyAlignment="1" pivotButton="0" quotePrefix="0" xfId="0">
      <alignment horizontal="right" vertical="center"/>
    </xf>
    <xf numFmtId="3" fontId="50" fillId="0" borderId="7" applyAlignment="1" pivotButton="0" quotePrefix="0" xfId="0">
      <alignment horizontal="right" vertical="center"/>
    </xf>
    <xf numFmtId="0" fontId="49" fillId="11" borderId="7" applyAlignment="1" pivotButton="0" quotePrefix="0" xfId="0">
      <alignment horizontal="center" vertical="center"/>
    </xf>
    <xf numFmtId="0" fontId="49" fillId="11" borderId="7" applyAlignment="1" pivotButton="0" quotePrefix="0" xfId="0">
      <alignment horizontal="left" vertical="center"/>
    </xf>
    <xf numFmtId="168" fontId="49" fillId="11" borderId="7" applyAlignment="1" pivotButton="0" quotePrefix="0" xfId="0">
      <alignment horizontal="right" vertical="center"/>
    </xf>
    <xf numFmtId="3" fontId="49" fillId="11" borderId="7" applyAlignment="1" pivotButton="0" quotePrefix="0" xfId="0">
      <alignment horizontal="right" vertical="center"/>
    </xf>
    <xf numFmtId="165" fontId="49" fillId="11" borderId="7" applyAlignment="1" pivotButton="0" quotePrefix="0" xfId="0">
      <alignment horizontal="right" vertical="center"/>
    </xf>
    <xf numFmtId="169" fontId="49" fillId="11" borderId="7" applyAlignment="1" pivotButton="0" quotePrefix="0" xfId="0">
      <alignment horizontal="right" vertical="center"/>
    </xf>
    <xf numFmtId="0" fontId="49" fillId="13" borderId="7" applyAlignment="1" pivotButton="0" quotePrefix="0" xfId="0">
      <alignment horizontal="center" vertical="center"/>
    </xf>
    <xf numFmtId="0" fontId="48" fillId="13" borderId="7" applyAlignment="1" pivotButton="0" quotePrefix="0" xfId="0">
      <alignment horizontal="center" vertical="center"/>
    </xf>
    <xf numFmtId="0" fontId="54" fillId="16" borderId="7" applyAlignment="1" pivotButton="0" quotePrefix="0" xfId="0">
      <alignment horizontal="center" vertical="center"/>
    </xf>
    <xf numFmtId="169" fontId="50" fillId="0" borderId="7" applyAlignment="1" pivotButton="0" quotePrefix="0" xfId="0">
      <alignment horizontal="center" vertical="center"/>
    </xf>
    <xf numFmtId="0" fontId="53" fillId="14" borderId="7" applyAlignment="1" pivotButton="0" quotePrefix="0" xfId="0">
      <alignment horizontal="center" vertical="center"/>
    </xf>
    <xf numFmtId="0" fontId="53" fillId="17" borderId="7" applyAlignment="1" pivotButton="0" quotePrefix="0" xfId="0">
      <alignment horizontal="center" vertical="center"/>
    </xf>
    <xf numFmtId="0" fontId="55" fillId="11" borderId="7" applyAlignment="1" pivotButton="0" quotePrefix="0" xfId="0">
      <alignment horizontal="center" vertical="center"/>
    </xf>
    <xf numFmtId="0" fontId="55" fillId="11" borderId="7" applyAlignment="1" pivotButton="0" quotePrefix="0" xfId="0">
      <alignment horizontal="left" vertical="center"/>
    </xf>
    <xf numFmtId="168" fontId="55" fillId="11" borderId="7" applyAlignment="1" pivotButton="0" quotePrefix="0" xfId="0">
      <alignment horizontal="right" vertical="center"/>
    </xf>
    <xf numFmtId="3" fontId="55" fillId="11" borderId="7" applyAlignment="1" pivotButton="0" quotePrefix="0" xfId="0">
      <alignment horizontal="right" vertical="center"/>
    </xf>
    <xf numFmtId="165" fontId="55" fillId="11" borderId="7" applyAlignment="1" pivotButton="0" quotePrefix="0" xfId="0">
      <alignment horizontal="right" vertical="center"/>
    </xf>
    <xf numFmtId="0" fontId="48" fillId="0" borderId="7" applyAlignment="1" pivotButton="0" quotePrefix="0" xfId="0">
      <alignment horizontal="left" vertical="center"/>
    </xf>
    <xf numFmtId="0" fontId="49" fillId="13" borderId="7" applyAlignment="1" pivotButton="0" quotePrefix="0" xfId="0">
      <alignment horizontal="left" vertical="center"/>
    </xf>
    <xf numFmtId="168" fontId="51" fillId="13" borderId="7" applyAlignment="1" pivotButton="0" quotePrefix="0" xfId="0">
      <alignment horizontal="left" vertical="center"/>
    </xf>
    <xf numFmtId="171" fontId="44" fillId="0" borderId="0" pivotButton="0" quotePrefix="0" xfId="0"/>
    <xf numFmtId="0" fontId="45" fillId="12" borderId="7" applyAlignment="1" pivotButton="0" quotePrefix="0" xfId="0">
      <alignment horizontal="left" vertical="center"/>
    </xf>
    <xf numFmtId="0" fontId="52" fillId="10" borderId="7" applyAlignment="1" pivotButton="0" quotePrefix="0" xfId="0">
      <alignment horizontal="left" vertical="center"/>
    </xf>
    <xf numFmtId="0" fontId="42" fillId="14" borderId="7" applyAlignment="1" pivotButton="0" quotePrefix="0" xfId="0">
      <alignment horizontal="left" vertical="center"/>
    </xf>
    <xf numFmtId="0" fontId="49" fillId="0" borderId="7" applyAlignment="1" pivotButton="0" quotePrefix="0" xfId="0">
      <alignment horizontal="center" vertical="center"/>
    </xf>
    <xf numFmtId="0" fontId="48" fillId="0" borderId="7" applyAlignment="1" pivotButton="0" quotePrefix="0" xfId="0">
      <alignment horizontal="center" vertical="center"/>
    </xf>
    <xf numFmtId="168" fontId="51" fillId="15" borderId="7" applyAlignment="1" pivotButton="0" quotePrefix="0" xfId="0">
      <alignment horizontal="right" vertical="center"/>
    </xf>
    <xf numFmtId="3" fontId="51" fillId="15" borderId="7" applyAlignment="1" pivotButton="0" quotePrefix="0" xfId="0">
      <alignment horizontal="right" vertical="center"/>
    </xf>
    <xf numFmtId="165" fontId="50" fillId="0" borderId="7" applyAlignment="1" pivotButton="0" quotePrefix="0" xfId="0">
      <alignment horizontal="right" vertical="center"/>
    </xf>
    <xf numFmtId="168" fontId="50" fillId="0" borderId="7" applyAlignment="1" pivotButton="0" quotePrefix="0" xfId="0">
      <alignment horizontal="right" vertical="center"/>
    </xf>
    <xf numFmtId="0" fontId="50" fillId="0" borderId="7" applyAlignment="1" pivotButton="0" quotePrefix="0" xfId="0">
      <alignment horizontal="right" vertical="center"/>
    </xf>
    <xf numFmtId="169" fontId="50" fillId="0" borderId="7" applyAlignment="1" pivotButton="0" quotePrefix="0" xfId="0">
      <alignment horizontal="right" vertical="center"/>
    </xf>
    <xf numFmtId="3" fontId="50" fillId="0" borderId="7" applyAlignment="1" pivotButton="0" quotePrefix="0" xfId="0">
      <alignment horizontal="right" vertical="center"/>
    </xf>
    <xf numFmtId="0" fontId="49" fillId="11" borderId="7" applyAlignment="1" pivotButton="0" quotePrefix="0" xfId="0">
      <alignment horizontal="center" vertical="center"/>
    </xf>
    <xf numFmtId="0" fontId="49" fillId="11" borderId="7" applyAlignment="1" pivotButton="0" quotePrefix="0" xfId="0">
      <alignment horizontal="left" vertical="center"/>
    </xf>
    <xf numFmtId="168" fontId="49" fillId="11" borderId="7" applyAlignment="1" pivotButton="0" quotePrefix="0" xfId="0">
      <alignment horizontal="right" vertical="center"/>
    </xf>
    <xf numFmtId="3" fontId="49" fillId="11" borderId="7" applyAlignment="1" pivotButton="0" quotePrefix="0" xfId="0">
      <alignment horizontal="right" vertical="center"/>
    </xf>
    <xf numFmtId="165" fontId="49" fillId="11" borderId="7" applyAlignment="1" pivotButton="0" quotePrefix="0" xfId="0">
      <alignment horizontal="right" vertical="center"/>
    </xf>
    <xf numFmtId="169" fontId="49" fillId="11" borderId="7" applyAlignment="1" pivotButton="0" quotePrefix="0" xfId="0">
      <alignment horizontal="right" vertical="center"/>
    </xf>
    <xf numFmtId="0" fontId="49" fillId="13" borderId="7" applyAlignment="1" pivotButton="0" quotePrefix="0" xfId="0">
      <alignment horizontal="center" vertical="center"/>
    </xf>
    <xf numFmtId="0" fontId="48" fillId="13" borderId="7" applyAlignment="1" pivotButton="0" quotePrefix="0" xfId="0">
      <alignment horizontal="center" vertical="center"/>
    </xf>
    <xf numFmtId="0" fontId="54" fillId="16" borderId="7" applyAlignment="1" pivotButton="0" quotePrefix="0" xfId="0">
      <alignment horizontal="center" vertical="center"/>
    </xf>
    <xf numFmtId="169" fontId="50" fillId="0" borderId="7" applyAlignment="1" pivotButton="0" quotePrefix="0" xfId="0">
      <alignment horizontal="center" vertical="center"/>
    </xf>
    <xf numFmtId="0" fontId="53" fillId="14" borderId="7" applyAlignment="1" pivotButton="0" quotePrefix="0" xfId="0">
      <alignment horizontal="center" vertical="center"/>
    </xf>
    <xf numFmtId="0" fontId="53" fillId="17" borderId="7" applyAlignment="1" pivotButton="0" quotePrefix="0" xfId="0">
      <alignment horizontal="center" vertical="center"/>
    </xf>
    <xf numFmtId="0" fontId="55" fillId="11" borderId="7" applyAlignment="1" pivotButton="0" quotePrefix="0" xfId="0">
      <alignment horizontal="center" vertical="center"/>
    </xf>
    <xf numFmtId="0" fontId="55" fillId="11" borderId="7" applyAlignment="1" pivotButton="0" quotePrefix="0" xfId="0">
      <alignment horizontal="left" vertical="center"/>
    </xf>
    <xf numFmtId="168" fontId="55" fillId="11" borderId="7" applyAlignment="1" pivotButton="0" quotePrefix="0" xfId="0">
      <alignment horizontal="right" vertical="center"/>
    </xf>
    <xf numFmtId="3" fontId="55" fillId="11" borderId="7" applyAlignment="1" pivotButton="0" quotePrefix="0" xfId="0">
      <alignment horizontal="right" vertical="center"/>
    </xf>
    <xf numFmtId="165" fontId="55" fillId="11" borderId="7" applyAlignment="1" pivotButton="0" quotePrefix="0" xfId="0">
      <alignment horizontal="right" vertical="center"/>
    </xf>
    <xf numFmtId="0" fontId="48" fillId="0" borderId="7" applyAlignment="1" pivotButton="0" quotePrefix="0" xfId="0">
      <alignment horizontal="left" vertical="center"/>
    </xf>
    <xf numFmtId="0" fontId="49" fillId="13" borderId="7" applyAlignment="1" pivotButton="0" quotePrefix="0" xfId="0">
      <alignment horizontal="left" vertical="center"/>
    </xf>
    <xf numFmtId="168" fontId="51" fillId="13" borderId="7" applyAlignment="1" pivotButton="0" quotePrefix="0" xfId="0">
      <alignment horizontal="left" vertical="center"/>
    </xf>
    <xf numFmtId="0" fontId="45" fillId="12" borderId="7" applyAlignment="1" pivotButton="0" quotePrefix="0" xfId="0">
      <alignment horizontal="left" vertical="center"/>
    </xf>
    <xf numFmtId="0" fontId="52" fillId="10" borderId="7" applyAlignment="1" pivotButton="0" quotePrefix="0" xfId="0">
      <alignment horizontal="left" vertical="center"/>
    </xf>
    <xf numFmtId="0" fontId="53" fillId="10" borderId="7" applyAlignment="1" pivotButton="0" quotePrefix="0" xfId="0">
      <alignment horizontal="center" vertical="center"/>
    </xf>
    <xf numFmtId="172" fontId="56" fillId="15" borderId="7" applyAlignment="1" pivotButton="0" quotePrefix="0" xfId="0">
      <alignment horizontal="center"/>
    </xf>
    <xf numFmtId="0" fontId="56" fillId="15" borderId="7" applyAlignment="1" pivotButton="0" quotePrefix="0" xfId="0">
      <alignment horizontal="center"/>
    </xf>
    <xf numFmtId="168" fontId="56" fillId="15" borderId="7" applyAlignment="1" pivotButton="0" quotePrefix="0" xfId="0">
      <alignment horizontal="right"/>
    </xf>
    <xf numFmtId="3" fontId="56" fillId="15" borderId="7" applyAlignment="1" pivotButton="0" quotePrefix="0" xfId="0">
      <alignment horizontal="right"/>
    </xf>
    <xf numFmtId="0" fontId="42" fillId="14" borderId="7" applyAlignment="1" pivotButton="0" quotePrefix="0" xfId="0">
      <alignment horizontal="left" vertical="center"/>
    </xf>
    <xf numFmtId="0" fontId="49" fillId="0" borderId="7" applyAlignment="1" pivotButton="0" quotePrefix="0" xfId="0">
      <alignment horizontal="center" vertical="center"/>
    </xf>
    <xf numFmtId="0" fontId="48" fillId="0" borderId="7" applyAlignment="1" pivotButton="0" quotePrefix="0" xfId="0">
      <alignment horizontal="center" vertical="center"/>
    </xf>
    <xf numFmtId="168" fontId="51" fillId="15" borderId="7" applyAlignment="1" pivotButton="0" quotePrefix="0" xfId="0">
      <alignment horizontal="right" vertical="center"/>
    </xf>
    <xf numFmtId="3" fontId="51" fillId="15" borderId="7" applyAlignment="1" pivotButton="0" quotePrefix="0" xfId="0">
      <alignment horizontal="right" vertical="center"/>
    </xf>
    <xf numFmtId="165" fontId="50" fillId="0" borderId="7" applyAlignment="1" pivotButton="0" quotePrefix="0" xfId="0">
      <alignment horizontal="right" vertical="center"/>
    </xf>
    <xf numFmtId="168" fontId="50" fillId="0" borderId="7" applyAlignment="1" pivotButton="0" quotePrefix="0" xfId="0">
      <alignment horizontal="right" vertical="center"/>
    </xf>
    <xf numFmtId="0" fontId="50" fillId="0" borderId="7" applyAlignment="1" pivotButton="0" quotePrefix="0" xfId="0">
      <alignment horizontal="right" vertical="center"/>
    </xf>
    <xf numFmtId="169" fontId="50" fillId="0" borderId="7" applyAlignment="1" pivotButton="0" quotePrefix="0" xfId="0">
      <alignment horizontal="right" vertical="center"/>
    </xf>
    <xf numFmtId="3" fontId="50" fillId="0" borderId="7" applyAlignment="1" pivotButton="0" quotePrefix="0" xfId="0">
      <alignment horizontal="right" vertical="center"/>
    </xf>
    <xf numFmtId="168" fontId="50" fillId="18" borderId="7" applyAlignment="1" pivotButton="0" quotePrefix="0" xfId="0">
      <alignment horizontal="right" vertical="center"/>
    </xf>
    <xf numFmtId="3" fontId="50" fillId="18" borderId="7" applyAlignment="1" pivotButton="0" quotePrefix="0" xfId="0">
      <alignment horizontal="right" vertical="center"/>
    </xf>
    <xf numFmtId="0" fontId="49" fillId="11" borderId="7" applyAlignment="1" pivotButton="0" quotePrefix="0" xfId="0">
      <alignment horizontal="center" vertical="center"/>
    </xf>
    <xf numFmtId="0" fontId="49" fillId="11" borderId="7" applyAlignment="1" pivotButton="0" quotePrefix="0" xfId="0">
      <alignment horizontal="left" vertical="center"/>
    </xf>
    <xf numFmtId="168" fontId="49" fillId="11" borderId="7" applyAlignment="1" pivotButton="0" quotePrefix="0" xfId="0">
      <alignment horizontal="right" vertical="center"/>
    </xf>
    <xf numFmtId="3" fontId="49" fillId="11" borderId="7" applyAlignment="1" pivotButton="0" quotePrefix="0" xfId="0">
      <alignment horizontal="right" vertical="center"/>
    </xf>
    <xf numFmtId="165" fontId="49" fillId="11" borderId="7" applyAlignment="1" pivotButton="0" quotePrefix="0" xfId="0">
      <alignment horizontal="right" vertical="center"/>
    </xf>
    <xf numFmtId="169" fontId="49" fillId="11" borderId="7" applyAlignment="1" pivotButton="0" quotePrefix="0" xfId="0">
      <alignment horizontal="right" vertical="center"/>
    </xf>
    <xf numFmtId="0" fontId="49" fillId="13" borderId="7" applyAlignment="1" pivotButton="0" quotePrefix="0" xfId="0">
      <alignment horizontal="center" vertical="center"/>
    </xf>
    <xf numFmtId="0" fontId="48" fillId="13" borderId="7" applyAlignment="1" pivotButton="0" quotePrefix="0" xfId="0">
      <alignment horizontal="center" vertical="center"/>
    </xf>
    <xf numFmtId="0" fontId="54" fillId="16" borderId="7" applyAlignment="1" pivotButton="0" quotePrefix="0" xfId="0">
      <alignment horizontal="center" vertical="center"/>
    </xf>
    <xf numFmtId="169" fontId="50" fillId="0" borderId="7" applyAlignment="1" pivotButton="0" quotePrefix="0" xfId="0">
      <alignment horizontal="center" vertical="center"/>
    </xf>
    <xf numFmtId="0" fontId="53" fillId="14" borderId="7" applyAlignment="1" pivotButton="0" quotePrefix="0" xfId="0">
      <alignment horizontal="center" vertical="center"/>
    </xf>
    <xf numFmtId="0" fontId="53" fillId="17" borderId="7" applyAlignment="1" pivotButton="0" quotePrefix="0" xfId="0">
      <alignment horizontal="center" vertical="center"/>
    </xf>
    <xf numFmtId="0" fontId="55" fillId="11" borderId="7" applyAlignment="1" pivotButton="0" quotePrefix="0" xfId="0">
      <alignment horizontal="center" vertical="center"/>
    </xf>
    <xf numFmtId="0" fontId="55" fillId="11" borderId="7" applyAlignment="1" pivotButton="0" quotePrefix="0" xfId="0">
      <alignment horizontal="left" vertical="center"/>
    </xf>
    <xf numFmtId="168" fontId="55" fillId="11" borderId="7" applyAlignment="1" pivotButton="0" quotePrefix="0" xfId="0">
      <alignment horizontal="right" vertical="center"/>
    </xf>
    <xf numFmtId="3" fontId="55" fillId="11" borderId="7" applyAlignment="1" pivotButton="0" quotePrefix="0" xfId="0">
      <alignment horizontal="right" vertical="center"/>
    </xf>
    <xf numFmtId="165" fontId="55" fillId="11" borderId="7" applyAlignment="1" pivotButton="0" quotePrefix="0" xfId="0">
      <alignment horizontal="right" vertical="center"/>
    </xf>
    <xf numFmtId="0" fontId="48" fillId="0" borderId="7" applyAlignment="1" pivotButton="0" quotePrefix="0" xfId="0">
      <alignment horizontal="left" vertical="center"/>
    </xf>
    <xf numFmtId="0" fontId="49" fillId="13" borderId="7" applyAlignment="1" pivotButton="0" quotePrefix="0" xfId="0">
      <alignment horizontal="left" vertical="center"/>
    </xf>
    <xf numFmtId="168" fontId="51" fillId="13" borderId="7" applyAlignment="1" pivotButton="0" quotePrefix="0" xfId="0">
      <alignment horizontal="left" vertical="center"/>
    </xf>
    <xf numFmtId="0" fontId="45" fillId="12" borderId="7" applyAlignment="1" pivotButton="0" quotePrefix="0" xfId="0">
      <alignment horizontal="left" vertical="center"/>
    </xf>
    <xf numFmtId="0" fontId="52" fillId="10" borderId="7" applyAlignment="1" pivotButton="0" quotePrefix="0" xfId="0">
      <alignment horizontal="left" vertical="center"/>
    </xf>
    <xf numFmtId="0" fontId="42" fillId="14" borderId="7" applyAlignment="1" pivotButton="0" quotePrefix="0" xfId="0">
      <alignment horizontal="left" vertical="center"/>
    </xf>
    <xf numFmtId="0" fontId="49" fillId="0" borderId="7" applyAlignment="1" pivotButton="0" quotePrefix="0" xfId="0">
      <alignment horizontal="center" vertical="center"/>
    </xf>
    <xf numFmtId="0" fontId="48" fillId="0" borderId="7" applyAlignment="1" pivotButton="0" quotePrefix="0" xfId="0">
      <alignment horizontal="center" vertical="center"/>
    </xf>
    <xf numFmtId="168" fontId="51" fillId="15" borderId="7" applyAlignment="1" pivotButton="0" quotePrefix="0" xfId="0">
      <alignment horizontal="right" vertical="center"/>
    </xf>
    <xf numFmtId="3" fontId="51" fillId="15" borderId="7" applyAlignment="1" pivotButton="0" quotePrefix="0" xfId="0">
      <alignment horizontal="right" vertical="center"/>
    </xf>
    <xf numFmtId="165" fontId="50" fillId="0" borderId="7" applyAlignment="1" pivotButton="0" quotePrefix="0" xfId="0">
      <alignment horizontal="right" vertical="center"/>
    </xf>
    <xf numFmtId="168" fontId="50" fillId="0" borderId="7" applyAlignment="1" pivotButton="0" quotePrefix="0" xfId="0">
      <alignment horizontal="right" vertical="center"/>
    </xf>
    <xf numFmtId="0" fontId="50" fillId="0" borderId="7" applyAlignment="1" pivotButton="0" quotePrefix="0" xfId="0">
      <alignment horizontal="right" vertical="center"/>
    </xf>
    <xf numFmtId="169" fontId="50" fillId="0" borderId="7" applyAlignment="1" pivotButton="0" quotePrefix="0" xfId="0">
      <alignment horizontal="right" vertical="center"/>
    </xf>
    <xf numFmtId="3" fontId="50" fillId="0" borderId="7" applyAlignment="1" pivotButton="0" quotePrefix="0" xfId="0">
      <alignment horizontal="right" vertical="center"/>
    </xf>
    <xf numFmtId="168" fontId="50" fillId="18" borderId="7" applyAlignment="1" pivotButton="0" quotePrefix="0" xfId="0">
      <alignment horizontal="right" vertical="center"/>
    </xf>
    <xf numFmtId="3" fontId="50" fillId="18" borderId="7" applyAlignment="1" pivotButton="0" quotePrefix="0" xfId="0">
      <alignment horizontal="right" vertical="center"/>
    </xf>
    <xf numFmtId="0" fontId="49" fillId="11" borderId="7" applyAlignment="1" pivotButton="0" quotePrefix="0" xfId="0">
      <alignment horizontal="center" vertical="center"/>
    </xf>
    <xf numFmtId="0" fontId="49" fillId="11" borderId="7" applyAlignment="1" pivotButton="0" quotePrefix="0" xfId="0">
      <alignment horizontal="left" vertical="center"/>
    </xf>
    <xf numFmtId="168" fontId="49" fillId="11" borderId="7" applyAlignment="1" pivotButton="0" quotePrefix="0" xfId="0">
      <alignment horizontal="right" vertical="center"/>
    </xf>
    <xf numFmtId="3" fontId="49" fillId="11" borderId="7" applyAlignment="1" pivotButton="0" quotePrefix="0" xfId="0">
      <alignment horizontal="right" vertical="center"/>
    </xf>
    <xf numFmtId="165" fontId="49" fillId="11" borderId="7" applyAlignment="1" pivotButton="0" quotePrefix="0" xfId="0">
      <alignment horizontal="right" vertical="center"/>
    </xf>
    <xf numFmtId="169" fontId="49" fillId="11" borderId="7" applyAlignment="1" pivotButton="0" quotePrefix="0" xfId="0">
      <alignment horizontal="right" vertical="center"/>
    </xf>
    <xf numFmtId="0" fontId="49" fillId="13" borderId="7" applyAlignment="1" pivotButton="0" quotePrefix="0" xfId="0">
      <alignment horizontal="center" vertical="center"/>
    </xf>
    <xf numFmtId="0" fontId="48" fillId="13" borderId="7" applyAlignment="1" pivotButton="0" quotePrefix="0" xfId="0">
      <alignment horizontal="center" vertical="center"/>
    </xf>
    <xf numFmtId="0" fontId="54" fillId="16" borderId="7" applyAlignment="1" pivotButton="0" quotePrefix="0" xfId="0">
      <alignment horizontal="center" vertical="center"/>
    </xf>
    <xf numFmtId="169" fontId="50" fillId="0" borderId="7" applyAlignment="1" pivotButton="0" quotePrefix="0" xfId="0">
      <alignment horizontal="center" vertical="center"/>
    </xf>
    <xf numFmtId="0" fontId="53" fillId="14" borderId="7" applyAlignment="1" pivotButton="0" quotePrefix="0" xfId="0">
      <alignment horizontal="center" vertical="center"/>
    </xf>
    <xf numFmtId="0" fontId="53" fillId="17" borderId="7" applyAlignment="1" pivotButton="0" quotePrefix="0" xfId="0">
      <alignment horizontal="center" vertical="center"/>
    </xf>
    <xf numFmtId="0" fontId="55" fillId="11" borderId="7" applyAlignment="1" pivotButton="0" quotePrefix="0" xfId="0">
      <alignment horizontal="center" vertical="center"/>
    </xf>
    <xf numFmtId="0" fontId="55" fillId="11" borderId="7" applyAlignment="1" pivotButton="0" quotePrefix="0" xfId="0">
      <alignment horizontal="left" vertical="center"/>
    </xf>
    <xf numFmtId="168" fontId="55" fillId="11" borderId="7" applyAlignment="1" pivotButton="0" quotePrefix="0" xfId="0">
      <alignment horizontal="right" vertical="center"/>
    </xf>
    <xf numFmtId="3" fontId="55" fillId="11" borderId="7" applyAlignment="1" pivotButton="0" quotePrefix="0" xfId="0">
      <alignment horizontal="right" vertical="center"/>
    </xf>
    <xf numFmtId="165" fontId="55" fillId="11" borderId="7" applyAlignment="1" pivotButton="0" quotePrefix="0" xfId="0">
      <alignment horizontal="right" vertical="center"/>
    </xf>
    <xf numFmtId="0" fontId="48" fillId="0" borderId="7" applyAlignment="1" pivotButton="0" quotePrefix="0" xfId="0">
      <alignment horizontal="left" vertical="center"/>
    </xf>
    <xf numFmtId="0" fontId="49" fillId="13" borderId="7" applyAlignment="1" pivotButton="0" quotePrefix="0" xfId="0">
      <alignment horizontal="left" vertical="center"/>
    </xf>
    <xf numFmtId="168" fontId="51" fillId="13" borderId="7" applyAlignment="1" pivotButton="0" quotePrefix="0" xfId="0">
      <alignment horizontal="left" vertical="center"/>
    </xf>
    <xf numFmtId="0" fontId="53" fillId="10" borderId="7" applyAlignment="1" pivotButton="0" quotePrefix="0" xfId="0">
      <alignment horizontal="center" vertical="center"/>
    </xf>
    <xf numFmtId="0" fontId="45" fillId="12" borderId="7" applyAlignment="1" pivotButton="0" quotePrefix="0" xfId="0">
      <alignment horizontal="left" vertical="center"/>
    </xf>
    <xf numFmtId="0" fontId="52" fillId="10" borderId="7" applyAlignment="1" pivotButton="0" quotePrefix="0" xfId="0">
      <alignment horizontal="left" vertical="center"/>
    </xf>
    <xf numFmtId="0" fontId="53" fillId="10" borderId="7" applyAlignment="1" pivotButton="0" quotePrefix="0" xfId="0">
      <alignment horizontal="center" vertical="center"/>
    </xf>
    <xf numFmtId="0" fontId="42" fillId="14" borderId="7" applyAlignment="1" pivotButton="0" quotePrefix="0" xfId="0">
      <alignment horizontal="left" vertical="center"/>
    </xf>
    <xf numFmtId="0" fontId="49" fillId="0" borderId="7" applyAlignment="1" pivotButton="0" quotePrefix="0" xfId="0">
      <alignment horizontal="center" vertical="center"/>
    </xf>
    <xf numFmtId="0" fontId="48" fillId="0" borderId="7" applyAlignment="1" pivotButton="0" quotePrefix="0" xfId="0">
      <alignment horizontal="center" vertical="center"/>
    </xf>
    <xf numFmtId="168" fontId="51" fillId="15" borderId="7" applyAlignment="1" pivotButton="0" quotePrefix="0" xfId="0">
      <alignment horizontal="right" vertical="center"/>
    </xf>
    <xf numFmtId="3" fontId="51" fillId="15" borderId="7" applyAlignment="1" pivotButton="0" quotePrefix="0" xfId="0">
      <alignment horizontal="right" vertical="center"/>
    </xf>
    <xf numFmtId="165" fontId="50" fillId="0" borderId="7" applyAlignment="1" pivotButton="0" quotePrefix="0" xfId="0">
      <alignment horizontal="right" vertical="center"/>
    </xf>
    <xf numFmtId="168" fontId="50" fillId="0" borderId="7" applyAlignment="1" pivotButton="0" quotePrefix="0" xfId="0">
      <alignment horizontal="right" vertical="center"/>
    </xf>
    <xf numFmtId="0" fontId="50" fillId="0" borderId="7" applyAlignment="1" pivotButton="0" quotePrefix="0" xfId="0">
      <alignment horizontal="right" vertical="center"/>
    </xf>
    <xf numFmtId="169" fontId="50" fillId="0" borderId="7" applyAlignment="1" pivotButton="0" quotePrefix="0" xfId="0">
      <alignment horizontal="right" vertical="center"/>
    </xf>
    <xf numFmtId="3" fontId="50" fillId="0" borderId="7" applyAlignment="1" pivotButton="0" quotePrefix="0" xfId="0">
      <alignment horizontal="right" vertical="center"/>
    </xf>
    <xf numFmtId="168" fontId="50" fillId="18" borderId="7" applyAlignment="1" pivotButton="0" quotePrefix="0" xfId="0">
      <alignment horizontal="right" vertical="center"/>
    </xf>
    <xf numFmtId="3" fontId="50" fillId="18" borderId="7" applyAlignment="1" pivotButton="0" quotePrefix="0" xfId="0">
      <alignment horizontal="right" vertical="center"/>
    </xf>
    <xf numFmtId="0" fontId="49" fillId="11" borderId="7" applyAlignment="1" pivotButton="0" quotePrefix="0" xfId="0">
      <alignment horizontal="center" vertical="center"/>
    </xf>
    <xf numFmtId="0" fontId="49" fillId="11" borderId="7" applyAlignment="1" pivotButton="0" quotePrefix="0" xfId="0">
      <alignment horizontal="left" vertical="center"/>
    </xf>
    <xf numFmtId="168" fontId="49" fillId="11" borderId="7" applyAlignment="1" pivotButton="0" quotePrefix="0" xfId="0">
      <alignment horizontal="right" vertical="center"/>
    </xf>
    <xf numFmtId="3" fontId="49" fillId="11" borderId="7" applyAlignment="1" pivotButton="0" quotePrefix="0" xfId="0">
      <alignment horizontal="right" vertical="center"/>
    </xf>
    <xf numFmtId="165" fontId="49" fillId="11" borderId="7" applyAlignment="1" pivotButton="0" quotePrefix="0" xfId="0">
      <alignment horizontal="right" vertical="center"/>
    </xf>
    <xf numFmtId="169" fontId="49" fillId="11" borderId="7" applyAlignment="1" pivotButton="0" quotePrefix="0" xfId="0">
      <alignment horizontal="right" vertical="center"/>
    </xf>
    <xf numFmtId="0" fontId="49" fillId="13" borderId="7" applyAlignment="1" pivotButton="0" quotePrefix="0" xfId="0">
      <alignment horizontal="center" vertical="center"/>
    </xf>
    <xf numFmtId="0" fontId="48" fillId="13" borderId="7" applyAlignment="1" pivotButton="0" quotePrefix="0" xfId="0">
      <alignment horizontal="center" vertical="center"/>
    </xf>
    <xf numFmtId="0" fontId="54" fillId="16" borderId="7" applyAlignment="1" pivotButton="0" quotePrefix="0" xfId="0">
      <alignment horizontal="center" vertical="center"/>
    </xf>
    <xf numFmtId="169" fontId="50" fillId="0" borderId="7" applyAlignment="1" pivotButton="0" quotePrefix="0" xfId="0">
      <alignment horizontal="center" vertical="center"/>
    </xf>
    <xf numFmtId="0" fontId="53" fillId="14" borderId="7" applyAlignment="1" pivotButton="0" quotePrefix="0" xfId="0">
      <alignment horizontal="center" vertical="center"/>
    </xf>
    <xf numFmtId="0" fontId="53" fillId="17" borderId="7" applyAlignment="1" pivotButton="0" quotePrefix="0" xfId="0">
      <alignment horizontal="center" vertical="center"/>
    </xf>
    <xf numFmtId="0" fontId="55" fillId="11" borderId="7" applyAlignment="1" pivotButton="0" quotePrefix="0" xfId="0">
      <alignment horizontal="center" vertical="center"/>
    </xf>
    <xf numFmtId="0" fontId="55" fillId="11" borderId="7" applyAlignment="1" pivotButton="0" quotePrefix="0" xfId="0">
      <alignment horizontal="left" vertical="center"/>
    </xf>
    <xf numFmtId="168" fontId="55" fillId="11" borderId="7" applyAlignment="1" pivotButton="0" quotePrefix="0" xfId="0">
      <alignment horizontal="right" vertical="center"/>
    </xf>
    <xf numFmtId="3" fontId="55" fillId="11" borderId="7" applyAlignment="1" pivotButton="0" quotePrefix="0" xfId="0">
      <alignment horizontal="right" vertical="center"/>
    </xf>
    <xf numFmtId="165" fontId="55" fillId="11" borderId="7" applyAlignment="1" pivotButton="0" quotePrefix="0" xfId="0">
      <alignment horizontal="right" vertical="center"/>
    </xf>
    <xf numFmtId="0" fontId="48" fillId="0" borderId="7" applyAlignment="1" pivotButton="0" quotePrefix="0" xfId="0">
      <alignment horizontal="left" vertical="center"/>
    </xf>
    <xf numFmtId="0" fontId="49" fillId="13" borderId="7" applyAlignment="1" pivotButton="0" quotePrefix="0" xfId="0">
      <alignment horizontal="left" vertical="center"/>
    </xf>
    <xf numFmtId="168" fontId="51" fillId="13" borderId="7" applyAlignment="1" pivotButton="0" quotePrefix="0" xfId="0">
      <alignment horizontal="left" vertical="center"/>
    </xf>
    <xf numFmtId="0" fontId="45" fillId="12" borderId="7" applyAlignment="1" pivotButton="0" quotePrefix="0" xfId="0">
      <alignment horizontal="left" vertical="center"/>
    </xf>
    <xf numFmtId="0" fontId="52" fillId="10" borderId="7" applyAlignment="1" pivotButton="0" quotePrefix="0" xfId="0">
      <alignment horizontal="left" vertical="center"/>
    </xf>
    <xf numFmtId="0" fontId="53" fillId="10" borderId="7" applyAlignment="1" pivotButton="0" quotePrefix="0" xfId="0">
      <alignment horizontal="center" vertical="center"/>
    </xf>
    <xf numFmtId="0" fontId="42" fillId="14" borderId="7" applyAlignment="1" pivotButton="0" quotePrefix="0" xfId="0">
      <alignment horizontal="left" vertical="center"/>
    </xf>
    <xf numFmtId="0" fontId="49" fillId="0" borderId="7" applyAlignment="1" pivotButton="0" quotePrefix="0" xfId="0">
      <alignment horizontal="center" vertical="center"/>
    </xf>
    <xf numFmtId="0" fontId="48" fillId="0" borderId="7" applyAlignment="1" pivotButton="0" quotePrefix="0" xfId="0">
      <alignment horizontal="center" vertical="center"/>
    </xf>
    <xf numFmtId="168" fontId="51" fillId="15" borderId="7" applyAlignment="1" pivotButton="0" quotePrefix="0" xfId="0">
      <alignment horizontal="right" vertical="center"/>
    </xf>
    <xf numFmtId="3" fontId="51" fillId="15" borderId="7" applyAlignment="1" pivotButton="0" quotePrefix="0" xfId="0">
      <alignment horizontal="right" vertical="center"/>
    </xf>
    <xf numFmtId="165" fontId="50" fillId="0" borderId="7" applyAlignment="1" pivotButton="0" quotePrefix="0" xfId="0">
      <alignment horizontal="right" vertical="center"/>
    </xf>
    <xf numFmtId="168" fontId="50" fillId="0" borderId="7" applyAlignment="1" pivotButton="0" quotePrefix="0" xfId="0">
      <alignment horizontal="right" vertical="center"/>
    </xf>
    <xf numFmtId="0" fontId="50" fillId="0" borderId="7" applyAlignment="1" pivotButton="0" quotePrefix="0" xfId="0">
      <alignment horizontal="right" vertical="center"/>
    </xf>
    <xf numFmtId="169" fontId="50" fillId="0" borderId="7" applyAlignment="1" pivotButton="0" quotePrefix="0" xfId="0">
      <alignment horizontal="right" vertical="center"/>
    </xf>
    <xf numFmtId="3" fontId="50" fillId="0" borderId="7" applyAlignment="1" pivotButton="0" quotePrefix="0" xfId="0">
      <alignment horizontal="right" vertical="center"/>
    </xf>
    <xf numFmtId="168" fontId="50" fillId="18" borderId="7" applyAlignment="1" pivotButton="0" quotePrefix="0" xfId="0">
      <alignment horizontal="right" vertical="center"/>
    </xf>
    <xf numFmtId="3" fontId="50" fillId="18" borderId="7" applyAlignment="1" pivotButton="0" quotePrefix="0" xfId="0">
      <alignment horizontal="right" vertical="center"/>
    </xf>
    <xf numFmtId="0" fontId="49" fillId="11" borderId="7" applyAlignment="1" pivotButton="0" quotePrefix="0" xfId="0">
      <alignment horizontal="center" vertical="center"/>
    </xf>
    <xf numFmtId="0" fontId="49" fillId="11" borderId="7" applyAlignment="1" pivotButton="0" quotePrefix="0" xfId="0">
      <alignment horizontal="left" vertical="center"/>
    </xf>
    <xf numFmtId="168" fontId="49" fillId="11" borderId="7" applyAlignment="1" pivotButton="0" quotePrefix="0" xfId="0">
      <alignment horizontal="right" vertical="center"/>
    </xf>
    <xf numFmtId="3" fontId="49" fillId="11" borderId="7" applyAlignment="1" pivotButton="0" quotePrefix="0" xfId="0">
      <alignment horizontal="right" vertical="center"/>
    </xf>
    <xf numFmtId="165" fontId="49" fillId="11" borderId="7" applyAlignment="1" pivotButton="0" quotePrefix="0" xfId="0">
      <alignment horizontal="right" vertical="center"/>
    </xf>
    <xf numFmtId="169" fontId="49" fillId="11" borderId="7" applyAlignment="1" pivotButton="0" quotePrefix="0" xfId="0">
      <alignment horizontal="right" vertical="center"/>
    </xf>
    <xf numFmtId="0" fontId="49" fillId="13" borderId="7" applyAlignment="1" pivotButton="0" quotePrefix="0" xfId="0">
      <alignment horizontal="center" vertical="center"/>
    </xf>
    <xf numFmtId="0" fontId="48" fillId="13" borderId="7" applyAlignment="1" pivotButton="0" quotePrefix="0" xfId="0">
      <alignment horizontal="center" vertical="center"/>
    </xf>
    <xf numFmtId="0" fontId="54" fillId="16" borderId="7" applyAlignment="1" pivotButton="0" quotePrefix="0" xfId="0">
      <alignment horizontal="center" vertical="center"/>
    </xf>
    <xf numFmtId="169" fontId="50" fillId="0" borderId="7" applyAlignment="1" pivotButton="0" quotePrefix="0" xfId="0">
      <alignment horizontal="center" vertical="center"/>
    </xf>
    <xf numFmtId="0" fontId="53" fillId="14" borderId="7" applyAlignment="1" pivotButton="0" quotePrefix="0" xfId="0">
      <alignment horizontal="center" vertical="center"/>
    </xf>
    <xf numFmtId="0" fontId="53" fillId="17" borderId="7" applyAlignment="1" pivotButton="0" quotePrefix="0" xfId="0">
      <alignment horizontal="center" vertical="center"/>
    </xf>
    <xf numFmtId="0" fontId="55" fillId="11" borderId="7" applyAlignment="1" pivotButton="0" quotePrefix="0" xfId="0">
      <alignment horizontal="center" vertical="center"/>
    </xf>
    <xf numFmtId="0" fontId="55" fillId="11" borderId="7" applyAlignment="1" pivotButton="0" quotePrefix="0" xfId="0">
      <alignment horizontal="left" vertical="center"/>
    </xf>
    <xf numFmtId="168" fontId="55" fillId="11" borderId="7" applyAlignment="1" pivotButton="0" quotePrefix="0" xfId="0">
      <alignment horizontal="right" vertical="center"/>
    </xf>
    <xf numFmtId="3" fontId="55" fillId="11" borderId="7" applyAlignment="1" pivotButton="0" quotePrefix="0" xfId="0">
      <alignment horizontal="right" vertical="center"/>
    </xf>
    <xf numFmtId="165" fontId="55" fillId="11" borderId="7" applyAlignment="1" pivotButton="0" quotePrefix="0" xfId="0">
      <alignment horizontal="right" vertical="center"/>
    </xf>
    <xf numFmtId="0" fontId="48" fillId="0" borderId="7" applyAlignment="1" pivotButton="0" quotePrefix="0" xfId="0">
      <alignment horizontal="left" vertical="center"/>
    </xf>
    <xf numFmtId="0" fontId="49" fillId="13" borderId="7" applyAlignment="1" pivotButton="0" quotePrefix="0" xfId="0">
      <alignment horizontal="left" vertical="center"/>
    </xf>
    <xf numFmtId="168" fontId="51" fillId="13" borderId="7" applyAlignment="1" pivotButton="0" quotePrefix="0" xfId="0">
      <alignment horizontal="left" vertical="center"/>
    </xf>
    <xf numFmtId="0" fontId="45" fillId="12" borderId="7" applyAlignment="1" pivotButton="0" quotePrefix="0" xfId="0">
      <alignment horizontal="left" vertical="center"/>
    </xf>
    <xf numFmtId="0" fontId="52" fillId="10" borderId="7" applyAlignment="1" pivotButton="0" quotePrefix="0" xfId="0">
      <alignment horizontal="left" vertical="center"/>
    </xf>
    <xf numFmtId="0" fontId="53" fillId="10" borderId="7" applyAlignment="1" pivotButton="0" quotePrefix="0" xfId="0">
      <alignment horizontal="center" vertical="center"/>
    </xf>
    <xf numFmtId="0" fontId="42" fillId="14" borderId="7" applyAlignment="1" pivotButton="0" quotePrefix="0" xfId="0">
      <alignment horizontal="left" vertical="center"/>
    </xf>
    <xf numFmtId="0" fontId="49" fillId="0" borderId="7" applyAlignment="1" pivotButton="0" quotePrefix="0" xfId="0">
      <alignment horizontal="center" vertical="center"/>
    </xf>
    <xf numFmtId="0" fontId="48" fillId="0" borderId="7" applyAlignment="1" pivotButton="0" quotePrefix="0" xfId="0">
      <alignment horizontal="center" vertical="center"/>
    </xf>
    <xf numFmtId="168" fontId="51" fillId="15" borderId="7" applyAlignment="1" pivotButton="0" quotePrefix="0" xfId="0">
      <alignment horizontal="right" vertical="center"/>
    </xf>
    <xf numFmtId="3" fontId="51" fillId="15" borderId="7" applyAlignment="1" pivotButton="0" quotePrefix="0" xfId="0">
      <alignment horizontal="right" vertical="center"/>
    </xf>
    <xf numFmtId="165" fontId="50" fillId="0" borderId="7" applyAlignment="1" pivotButton="0" quotePrefix="0" xfId="0">
      <alignment horizontal="right" vertical="center"/>
    </xf>
    <xf numFmtId="168" fontId="50" fillId="0" borderId="7" applyAlignment="1" pivotButton="0" quotePrefix="0" xfId="0">
      <alignment horizontal="right" vertical="center"/>
    </xf>
    <xf numFmtId="0" fontId="50" fillId="0" borderId="7" applyAlignment="1" pivotButton="0" quotePrefix="0" xfId="0">
      <alignment horizontal="right" vertical="center"/>
    </xf>
    <xf numFmtId="169" fontId="50" fillId="0" borderId="7" applyAlignment="1" pivotButton="0" quotePrefix="0" xfId="0">
      <alignment horizontal="right" vertical="center"/>
    </xf>
    <xf numFmtId="3" fontId="50" fillId="0" borderId="7" applyAlignment="1" pivotButton="0" quotePrefix="0" xfId="0">
      <alignment horizontal="right" vertical="center"/>
    </xf>
    <xf numFmtId="168" fontId="50" fillId="18" borderId="7" applyAlignment="1" pivotButton="0" quotePrefix="0" xfId="0">
      <alignment horizontal="right" vertical="center"/>
    </xf>
    <xf numFmtId="3" fontId="50" fillId="18" borderId="7" applyAlignment="1" pivotButton="0" quotePrefix="0" xfId="0">
      <alignment horizontal="right" vertical="center"/>
    </xf>
    <xf numFmtId="0" fontId="49" fillId="11" borderId="7" applyAlignment="1" pivotButton="0" quotePrefix="0" xfId="0">
      <alignment horizontal="center" vertical="center"/>
    </xf>
    <xf numFmtId="0" fontId="49" fillId="11" borderId="7" applyAlignment="1" pivotButton="0" quotePrefix="0" xfId="0">
      <alignment horizontal="left" vertical="center"/>
    </xf>
    <xf numFmtId="168" fontId="49" fillId="11" borderId="7" applyAlignment="1" pivotButton="0" quotePrefix="0" xfId="0">
      <alignment horizontal="right" vertical="center"/>
    </xf>
    <xf numFmtId="3" fontId="49" fillId="11" borderId="7" applyAlignment="1" pivotButton="0" quotePrefix="0" xfId="0">
      <alignment horizontal="right" vertical="center"/>
    </xf>
    <xf numFmtId="165" fontId="49" fillId="11" borderId="7" applyAlignment="1" pivotButton="0" quotePrefix="0" xfId="0">
      <alignment horizontal="right" vertical="center"/>
    </xf>
    <xf numFmtId="169" fontId="49" fillId="11" borderId="7" applyAlignment="1" pivotButton="0" quotePrefix="0" xfId="0">
      <alignment horizontal="right" vertical="center"/>
    </xf>
    <xf numFmtId="0" fontId="49" fillId="13" borderId="7" applyAlignment="1" pivotButton="0" quotePrefix="0" xfId="0">
      <alignment horizontal="center" vertical="center"/>
    </xf>
    <xf numFmtId="0" fontId="48" fillId="13" borderId="7" applyAlignment="1" pivotButton="0" quotePrefix="0" xfId="0">
      <alignment horizontal="center" vertical="center"/>
    </xf>
    <xf numFmtId="0" fontId="54" fillId="16" borderId="7" applyAlignment="1" pivotButton="0" quotePrefix="0" xfId="0">
      <alignment horizontal="center" vertical="center"/>
    </xf>
    <xf numFmtId="169" fontId="50" fillId="0" borderId="7" applyAlignment="1" pivotButton="0" quotePrefix="0" xfId="0">
      <alignment horizontal="center" vertical="center"/>
    </xf>
    <xf numFmtId="0" fontId="53" fillId="14" borderId="7" applyAlignment="1" pivotButton="0" quotePrefix="0" xfId="0">
      <alignment horizontal="center" vertical="center"/>
    </xf>
    <xf numFmtId="0" fontId="53" fillId="17" borderId="7" applyAlignment="1" pivotButton="0" quotePrefix="0" xfId="0">
      <alignment horizontal="center" vertical="center"/>
    </xf>
    <xf numFmtId="0" fontId="55" fillId="11" borderId="7" applyAlignment="1" pivotButton="0" quotePrefix="0" xfId="0">
      <alignment horizontal="center" vertical="center"/>
    </xf>
    <xf numFmtId="0" fontId="55" fillId="11" borderId="7" applyAlignment="1" pivotButton="0" quotePrefix="0" xfId="0">
      <alignment horizontal="left" vertical="center"/>
    </xf>
    <xf numFmtId="168" fontId="55" fillId="11" borderId="7" applyAlignment="1" pivotButton="0" quotePrefix="0" xfId="0">
      <alignment horizontal="right" vertical="center"/>
    </xf>
    <xf numFmtId="3" fontId="55" fillId="11" borderId="7" applyAlignment="1" pivotButton="0" quotePrefix="0" xfId="0">
      <alignment horizontal="right" vertical="center"/>
    </xf>
    <xf numFmtId="165" fontId="55" fillId="11" borderId="7" applyAlignment="1" pivotButton="0" quotePrefix="0" xfId="0">
      <alignment horizontal="right" vertical="center"/>
    </xf>
    <xf numFmtId="0" fontId="48" fillId="0" borderId="7" applyAlignment="1" pivotButton="0" quotePrefix="0" xfId="0">
      <alignment horizontal="left" vertical="center"/>
    </xf>
    <xf numFmtId="0" fontId="49" fillId="13" borderId="7" applyAlignment="1" pivotButton="0" quotePrefix="0" xfId="0">
      <alignment horizontal="left" vertical="center"/>
    </xf>
    <xf numFmtId="168" fontId="51" fillId="13" borderId="7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">
    <dxf>
      <font>
        <color rgb="00FFFFFF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766E"/>
      <rgbColor rgb="FFB3B3B3"/>
      <rgbColor rgb="FF555555"/>
      <rgbColor rgb="FF9999FF"/>
      <rgbColor rgb="FF993366"/>
      <rgbColor rgb="FFFFF6CC"/>
      <rgbColor rgb="FFEEF2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F5F9"/>
      <rgbColor rgb="FFD9DEE6"/>
      <rgbColor rgb="FFFEF3C7"/>
      <rgbColor rgb="FF99CCFF"/>
      <rgbColor rgb="FFFF99CC"/>
      <rgbColor rgb="FFCC99FF"/>
      <rgbColor rgb="FFFFFDF0"/>
      <rgbColor rgb="FF2563EB"/>
      <rgbColor rgb="FF33CCCC"/>
      <rgbColor rgb="FF99CC00"/>
      <rgbColor rgb="FFFFCC00"/>
      <rgbColor rgb="FFFF9900"/>
      <rgbColor rgb="FFFF6600"/>
      <rgbColor rgb="FF64748B"/>
      <rgbColor rgb="FF969696"/>
      <rgbColor rgb="FF003366"/>
      <rgbColor rgb="FF339966"/>
      <rgbColor rgb="FF003300"/>
      <rgbColor rgb="FF1A1A2E"/>
      <rgbColor rgb="FF993300"/>
      <rgbColor rgb="FF993366"/>
      <rgbColor rgb="FF334155"/>
      <rgbColor rgb="FF1E293B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消費金額</a:t>
            </a:r>
          </a:p>
        </rich>
      </tx>
    </title>
    <plotArea>
      <lineChart>
        <grouping val="standard"/>
        <ser>
          <idx val="0"/>
          <order val="0"/>
          <tx>
            <strRef>
              <f>'推移データ'!B3</f>
            </strRef>
          </tx>
          <spPr>
            <a:ln xmlns:a="http://schemas.openxmlformats.org/drawingml/2006/main" w="22000">
              <a:solidFill>
                <a:srgbClr val="2563EB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2563EB"/>
              </a:solidFill>
              <a:ln xmlns:a="http://schemas.openxmlformats.org/drawingml/2006/main">
                <a:solidFill>
                  <a:srgbClr val="2563EB"/>
                </a:solidFill>
                <a:prstDash val="solid"/>
              </a:ln>
            </spPr>
          </marker>
          <cat>
            <numRef>
              <f>'推移データ'!$A$4:$A$16</f>
            </numRef>
          </cat>
          <val>
            <numRef>
              <f>'推移データ'!$B$4:$B$16</f>
            </numRef>
          </val>
          <smooth val="0"/>
        </ser>
        <ser>
          <idx val="1"/>
          <order val="1"/>
          <tx>
            <strRef>
              <f>'推移データ'!C3</f>
            </strRef>
          </tx>
          <spPr>
            <a:ln xmlns:a="http://schemas.openxmlformats.org/drawingml/2006/main" w="22000">
              <a:solidFill>
                <a:srgbClr val="DC262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DC2626"/>
              </a:solidFill>
              <a:ln xmlns:a="http://schemas.openxmlformats.org/drawingml/2006/main">
                <a:solidFill>
                  <a:srgbClr val="DC2626"/>
                </a:solidFill>
                <a:prstDash val="solid"/>
              </a:ln>
            </spPr>
          </marker>
          <cat>
            <numRef>
              <f>'推移データ'!$A$4:$A$16</f>
            </numRef>
          </cat>
          <val>
            <numRef>
              <f>'推移データ'!$C$4:$C$16</f>
            </numRef>
          </val>
          <smooth val="0"/>
        </ser>
        <ser>
          <idx val="2"/>
          <order val="2"/>
          <tx>
            <strRef>
              <f>'推移データ'!D3</f>
            </strRef>
          </tx>
          <spPr>
            <a:ln xmlns:a="http://schemas.openxmlformats.org/drawingml/2006/main" w="22000">
              <a:solidFill>
                <a:srgbClr val="16A34A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6A34A"/>
              </a:solidFill>
              <a:ln xmlns:a="http://schemas.openxmlformats.org/drawingml/2006/main">
                <a:solidFill>
                  <a:srgbClr val="16A34A"/>
                </a:solidFill>
                <a:prstDash val="solid"/>
              </a:ln>
            </spPr>
          </marker>
          <cat>
            <numRef>
              <f>'推移データ'!$A$4:$A$16</f>
            </numRef>
          </cat>
          <val>
            <numRef>
              <f>'推移データ'!$D$4:$D$16</f>
            </numRef>
          </val>
          <smooth val="0"/>
        </ser>
        <ser>
          <idx val="3"/>
          <order val="3"/>
          <tx>
            <strRef>
              <f>'推移データ'!E3</f>
            </strRef>
          </tx>
          <spPr>
            <a:ln xmlns:a="http://schemas.openxmlformats.org/drawingml/2006/main" w="22000">
              <a:solidFill>
                <a:srgbClr val="9333EA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9333EA"/>
              </a:solidFill>
              <a:ln xmlns:a="http://schemas.openxmlformats.org/drawingml/2006/main">
                <a:solidFill>
                  <a:srgbClr val="9333EA"/>
                </a:solidFill>
                <a:prstDash val="solid"/>
              </a:ln>
            </spPr>
          </marker>
          <cat>
            <numRef>
              <f>'推移データ'!$A$4:$A$16</f>
            </numRef>
          </cat>
          <val>
            <numRef>
              <f>'推移データ'!$E$4:$E$16</f>
            </numRef>
          </val>
          <smooth val="0"/>
        </ser>
        <ser>
          <idx val="4"/>
          <order val="4"/>
          <tx>
            <strRef>
              <f>'推移データ'!F3</f>
            </strRef>
          </tx>
          <spPr>
            <a:ln xmlns:a="http://schemas.openxmlformats.org/drawingml/2006/main" w="22000">
              <a:solidFill>
                <a:srgbClr val="0891B2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0891B2"/>
              </a:solidFill>
              <a:ln xmlns:a="http://schemas.openxmlformats.org/drawingml/2006/main">
                <a:solidFill>
                  <a:srgbClr val="0891B2"/>
                </a:solidFill>
                <a:prstDash val="solid"/>
              </a:ln>
            </spPr>
          </marker>
          <cat>
            <numRef>
              <f>'推移データ'!$A$4:$A$16</f>
            </numRef>
          </cat>
          <val>
            <numRef>
              <f>'推移データ'!$F$4:$F$16</f>
            </numRef>
          </val>
          <smooth val="0"/>
        </ser>
        <ser>
          <idx val="5"/>
          <order val="5"/>
          <tx>
            <strRef>
              <f>'推移データ'!G3</f>
            </strRef>
          </tx>
          <spPr>
            <a:ln xmlns:a="http://schemas.openxmlformats.org/drawingml/2006/main" w="22000">
              <a:solidFill>
                <a:srgbClr val="F59E0B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F59E0B"/>
              </a:solidFill>
              <a:ln xmlns:a="http://schemas.openxmlformats.org/drawingml/2006/main">
                <a:solidFill>
                  <a:srgbClr val="F59E0B"/>
                </a:solidFill>
                <a:prstDash val="solid"/>
              </a:ln>
            </spPr>
          </marker>
          <cat>
            <numRef>
              <f>'推移データ'!$A$4:$A$16</f>
            </numRef>
          </cat>
          <val>
            <numRef>
              <f>'推移データ'!$G$4:$G$16</f>
            </numRef>
          </val>
          <smooth val="0"/>
        </ser>
        <ser>
          <idx val="6"/>
          <order val="6"/>
          <tx>
            <strRef>
              <f>'推移データ'!H3</f>
            </strRef>
          </tx>
          <spPr>
            <a:ln xmlns:a="http://schemas.openxmlformats.org/drawingml/2006/main" w="22000">
              <a:solidFill>
                <a:srgbClr val="64748B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64748B"/>
              </a:solidFill>
              <a:ln xmlns:a="http://schemas.openxmlformats.org/drawingml/2006/main">
                <a:solidFill>
                  <a:srgbClr val="64748B"/>
                </a:solidFill>
                <a:prstDash val="solid"/>
              </a:ln>
            </spPr>
          </marker>
          <cat>
            <numRef>
              <f>'推移データ'!$A$4:$A$16</f>
            </numRef>
          </cat>
          <val>
            <numRef>
              <f>'推移データ'!$H$4:$H$16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週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¥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CV（リード）</a:t>
            </a:r>
          </a:p>
        </rich>
      </tx>
    </title>
    <plotArea>
      <lineChart>
        <grouping val="standard"/>
        <ser>
          <idx val="0"/>
          <order val="0"/>
          <tx>
            <strRef>
              <f>'推移データ'!B19</f>
            </strRef>
          </tx>
          <spPr>
            <a:ln xmlns:a="http://schemas.openxmlformats.org/drawingml/2006/main" w="22000">
              <a:solidFill>
                <a:srgbClr val="2563EB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2563EB"/>
              </a:solidFill>
              <a:ln xmlns:a="http://schemas.openxmlformats.org/drawingml/2006/main">
                <a:solidFill>
                  <a:srgbClr val="2563EB"/>
                </a:solidFill>
                <a:prstDash val="solid"/>
              </a:ln>
            </spPr>
          </marker>
          <cat>
            <numRef>
              <f>'推移データ'!$A$20:$A$32</f>
            </numRef>
          </cat>
          <val>
            <numRef>
              <f>'推移データ'!$B$20:$B$32</f>
            </numRef>
          </val>
          <smooth val="0"/>
        </ser>
        <ser>
          <idx val="1"/>
          <order val="1"/>
          <tx>
            <strRef>
              <f>'推移データ'!C19</f>
            </strRef>
          </tx>
          <spPr>
            <a:ln xmlns:a="http://schemas.openxmlformats.org/drawingml/2006/main" w="22000">
              <a:solidFill>
                <a:srgbClr val="DC262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DC2626"/>
              </a:solidFill>
              <a:ln xmlns:a="http://schemas.openxmlformats.org/drawingml/2006/main">
                <a:solidFill>
                  <a:srgbClr val="DC2626"/>
                </a:solidFill>
                <a:prstDash val="solid"/>
              </a:ln>
            </spPr>
          </marker>
          <cat>
            <numRef>
              <f>'推移データ'!$A$20:$A$32</f>
            </numRef>
          </cat>
          <val>
            <numRef>
              <f>'推移データ'!$C$20:$C$32</f>
            </numRef>
          </val>
          <smooth val="0"/>
        </ser>
        <ser>
          <idx val="2"/>
          <order val="2"/>
          <tx>
            <strRef>
              <f>'推移データ'!D19</f>
            </strRef>
          </tx>
          <spPr>
            <a:ln xmlns:a="http://schemas.openxmlformats.org/drawingml/2006/main" w="22000">
              <a:solidFill>
                <a:srgbClr val="16A34A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6A34A"/>
              </a:solidFill>
              <a:ln xmlns:a="http://schemas.openxmlformats.org/drawingml/2006/main">
                <a:solidFill>
                  <a:srgbClr val="16A34A"/>
                </a:solidFill>
                <a:prstDash val="solid"/>
              </a:ln>
            </spPr>
          </marker>
          <cat>
            <numRef>
              <f>'推移データ'!$A$20:$A$32</f>
            </numRef>
          </cat>
          <val>
            <numRef>
              <f>'推移データ'!$D$20:$D$32</f>
            </numRef>
          </val>
          <smooth val="0"/>
        </ser>
        <ser>
          <idx val="3"/>
          <order val="3"/>
          <tx>
            <strRef>
              <f>'推移データ'!E19</f>
            </strRef>
          </tx>
          <spPr>
            <a:ln xmlns:a="http://schemas.openxmlformats.org/drawingml/2006/main" w="22000">
              <a:solidFill>
                <a:srgbClr val="9333EA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9333EA"/>
              </a:solidFill>
              <a:ln xmlns:a="http://schemas.openxmlformats.org/drawingml/2006/main">
                <a:solidFill>
                  <a:srgbClr val="9333EA"/>
                </a:solidFill>
                <a:prstDash val="solid"/>
              </a:ln>
            </spPr>
          </marker>
          <cat>
            <numRef>
              <f>'推移データ'!$A$20:$A$32</f>
            </numRef>
          </cat>
          <val>
            <numRef>
              <f>'推移データ'!$E$20:$E$32</f>
            </numRef>
          </val>
          <smooth val="0"/>
        </ser>
        <ser>
          <idx val="4"/>
          <order val="4"/>
          <tx>
            <strRef>
              <f>'推移データ'!F19</f>
            </strRef>
          </tx>
          <spPr>
            <a:ln xmlns:a="http://schemas.openxmlformats.org/drawingml/2006/main" w="22000">
              <a:solidFill>
                <a:srgbClr val="0891B2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0891B2"/>
              </a:solidFill>
              <a:ln xmlns:a="http://schemas.openxmlformats.org/drawingml/2006/main">
                <a:solidFill>
                  <a:srgbClr val="0891B2"/>
                </a:solidFill>
                <a:prstDash val="solid"/>
              </a:ln>
            </spPr>
          </marker>
          <cat>
            <numRef>
              <f>'推移データ'!$A$20:$A$32</f>
            </numRef>
          </cat>
          <val>
            <numRef>
              <f>'推移データ'!$F$20:$F$32</f>
            </numRef>
          </val>
          <smooth val="0"/>
        </ser>
        <ser>
          <idx val="5"/>
          <order val="5"/>
          <tx>
            <strRef>
              <f>'推移データ'!G19</f>
            </strRef>
          </tx>
          <spPr>
            <a:ln xmlns:a="http://schemas.openxmlformats.org/drawingml/2006/main" w="22000">
              <a:solidFill>
                <a:srgbClr val="F59E0B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F59E0B"/>
              </a:solidFill>
              <a:ln xmlns:a="http://schemas.openxmlformats.org/drawingml/2006/main">
                <a:solidFill>
                  <a:srgbClr val="F59E0B"/>
                </a:solidFill>
                <a:prstDash val="solid"/>
              </a:ln>
            </spPr>
          </marker>
          <cat>
            <numRef>
              <f>'推移データ'!$A$20:$A$32</f>
            </numRef>
          </cat>
          <val>
            <numRef>
              <f>'推移データ'!$G$20:$G$32</f>
            </numRef>
          </val>
          <smooth val="0"/>
        </ser>
        <ser>
          <idx val="6"/>
          <order val="6"/>
          <tx>
            <strRef>
              <f>'推移データ'!H19</f>
            </strRef>
          </tx>
          <spPr>
            <a:ln xmlns:a="http://schemas.openxmlformats.org/drawingml/2006/main" w="22000">
              <a:solidFill>
                <a:srgbClr val="64748B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64748B"/>
              </a:solidFill>
              <a:ln xmlns:a="http://schemas.openxmlformats.org/drawingml/2006/main">
                <a:solidFill>
                  <a:srgbClr val="64748B"/>
                </a:solidFill>
                <a:prstDash val="solid"/>
              </a:ln>
            </spPr>
          </marker>
          <cat>
            <numRef>
              <f>'推移データ'!$A$20:$A$32</f>
            </numRef>
          </cat>
          <val>
            <numRef>
              <f>'推移データ'!$H$20:$H$32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週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CPL</a:t>
            </a:r>
          </a:p>
        </rich>
      </tx>
    </title>
    <plotArea>
      <lineChart>
        <grouping val="standard"/>
        <ser>
          <idx val="0"/>
          <order val="0"/>
          <tx>
            <strRef>
              <f>'推移データ'!B35</f>
            </strRef>
          </tx>
          <spPr>
            <a:ln xmlns:a="http://schemas.openxmlformats.org/drawingml/2006/main" w="22000">
              <a:solidFill>
                <a:srgbClr val="2563EB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2563EB"/>
              </a:solidFill>
              <a:ln xmlns:a="http://schemas.openxmlformats.org/drawingml/2006/main">
                <a:solidFill>
                  <a:srgbClr val="2563EB"/>
                </a:solidFill>
                <a:prstDash val="solid"/>
              </a:ln>
            </spPr>
          </marker>
          <cat>
            <numRef>
              <f>'推移データ'!$A$36:$A$48</f>
            </numRef>
          </cat>
          <val>
            <numRef>
              <f>'推移データ'!$B$36:$B$48</f>
            </numRef>
          </val>
          <smooth val="0"/>
        </ser>
        <ser>
          <idx val="1"/>
          <order val="1"/>
          <tx>
            <strRef>
              <f>'推移データ'!C35</f>
            </strRef>
          </tx>
          <spPr>
            <a:ln xmlns:a="http://schemas.openxmlformats.org/drawingml/2006/main" w="22000">
              <a:solidFill>
                <a:srgbClr val="DC262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DC2626"/>
              </a:solidFill>
              <a:ln xmlns:a="http://schemas.openxmlformats.org/drawingml/2006/main">
                <a:solidFill>
                  <a:srgbClr val="DC2626"/>
                </a:solidFill>
                <a:prstDash val="solid"/>
              </a:ln>
            </spPr>
          </marker>
          <cat>
            <numRef>
              <f>'推移データ'!$A$36:$A$48</f>
            </numRef>
          </cat>
          <val>
            <numRef>
              <f>'推移データ'!$C$36:$C$48</f>
            </numRef>
          </val>
          <smooth val="0"/>
        </ser>
        <ser>
          <idx val="2"/>
          <order val="2"/>
          <tx>
            <strRef>
              <f>'推移データ'!D35</f>
            </strRef>
          </tx>
          <spPr>
            <a:ln xmlns:a="http://schemas.openxmlformats.org/drawingml/2006/main" w="22000">
              <a:solidFill>
                <a:srgbClr val="16A34A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6A34A"/>
              </a:solidFill>
              <a:ln xmlns:a="http://schemas.openxmlformats.org/drawingml/2006/main">
                <a:solidFill>
                  <a:srgbClr val="16A34A"/>
                </a:solidFill>
                <a:prstDash val="solid"/>
              </a:ln>
            </spPr>
          </marker>
          <cat>
            <numRef>
              <f>'推移データ'!$A$36:$A$48</f>
            </numRef>
          </cat>
          <val>
            <numRef>
              <f>'推移データ'!$D$36:$D$48</f>
            </numRef>
          </val>
          <smooth val="0"/>
        </ser>
        <ser>
          <idx val="3"/>
          <order val="3"/>
          <tx>
            <strRef>
              <f>'推移データ'!E35</f>
            </strRef>
          </tx>
          <spPr>
            <a:ln xmlns:a="http://schemas.openxmlformats.org/drawingml/2006/main" w="22000">
              <a:solidFill>
                <a:srgbClr val="9333EA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9333EA"/>
              </a:solidFill>
              <a:ln xmlns:a="http://schemas.openxmlformats.org/drawingml/2006/main">
                <a:solidFill>
                  <a:srgbClr val="9333EA"/>
                </a:solidFill>
                <a:prstDash val="solid"/>
              </a:ln>
            </spPr>
          </marker>
          <cat>
            <numRef>
              <f>'推移データ'!$A$36:$A$48</f>
            </numRef>
          </cat>
          <val>
            <numRef>
              <f>'推移データ'!$E$36:$E$48</f>
            </numRef>
          </val>
          <smooth val="0"/>
        </ser>
        <ser>
          <idx val="4"/>
          <order val="4"/>
          <tx>
            <strRef>
              <f>'推移データ'!F35</f>
            </strRef>
          </tx>
          <spPr>
            <a:ln xmlns:a="http://schemas.openxmlformats.org/drawingml/2006/main" w="22000">
              <a:solidFill>
                <a:srgbClr val="0891B2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0891B2"/>
              </a:solidFill>
              <a:ln xmlns:a="http://schemas.openxmlformats.org/drawingml/2006/main">
                <a:solidFill>
                  <a:srgbClr val="0891B2"/>
                </a:solidFill>
                <a:prstDash val="solid"/>
              </a:ln>
            </spPr>
          </marker>
          <cat>
            <numRef>
              <f>'推移データ'!$A$36:$A$48</f>
            </numRef>
          </cat>
          <val>
            <numRef>
              <f>'推移データ'!$F$36:$F$48</f>
            </numRef>
          </val>
          <smooth val="0"/>
        </ser>
        <ser>
          <idx val="5"/>
          <order val="5"/>
          <tx>
            <strRef>
              <f>'推移データ'!G35</f>
            </strRef>
          </tx>
          <spPr>
            <a:ln xmlns:a="http://schemas.openxmlformats.org/drawingml/2006/main" w="22000">
              <a:solidFill>
                <a:srgbClr val="F59E0B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F59E0B"/>
              </a:solidFill>
              <a:ln xmlns:a="http://schemas.openxmlformats.org/drawingml/2006/main">
                <a:solidFill>
                  <a:srgbClr val="F59E0B"/>
                </a:solidFill>
                <a:prstDash val="solid"/>
              </a:ln>
            </spPr>
          </marker>
          <cat>
            <numRef>
              <f>'推移データ'!$A$36:$A$48</f>
            </numRef>
          </cat>
          <val>
            <numRef>
              <f>'推移データ'!$G$36:$G$48</f>
            </numRef>
          </val>
          <smooth val="0"/>
        </ser>
        <ser>
          <idx val="6"/>
          <order val="6"/>
          <tx>
            <strRef>
              <f>'推移データ'!H35</f>
            </strRef>
          </tx>
          <spPr>
            <a:ln xmlns:a="http://schemas.openxmlformats.org/drawingml/2006/main" w="22000">
              <a:solidFill>
                <a:srgbClr val="64748B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64748B"/>
              </a:solidFill>
              <a:ln xmlns:a="http://schemas.openxmlformats.org/drawingml/2006/main">
                <a:solidFill>
                  <a:srgbClr val="64748B"/>
                </a:solidFill>
                <a:prstDash val="solid"/>
              </a:ln>
            </spPr>
          </marker>
          <cat>
            <numRef>
              <f>'推移データ'!$A$36:$A$48</f>
            </numRef>
          </cat>
          <val>
            <numRef>
              <f>'推移データ'!$H$36:$H$48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週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¥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CPM</a:t>
            </a:r>
          </a:p>
        </rich>
      </tx>
    </title>
    <plotArea>
      <lineChart>
        <grouping val="standard"/>
        <ser>
          <idx val="0"/>
          <order val="0"/>
          <tx>
            <strRef>
              <f>'推移データ'!B51</f>
            </strRef>
          </tx>
          <spPr>
            <a:ln xmlns:a="http://schemas.openxmlformats.org/drawingml/2006/main" w="22000">
              <a:solidFill>
                <a:srgbClr val="2563EB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2563EB"/>
              </a:solidFill>
              <a:ln xmlns:a="http://schemas.openxmlformats.org/drawingml/2006/main">
                <a:solidFill>
                  <a:srgbClr val="2563EB"/>
                </a:solidFill>
                <a:prstDash val="solid"/>
              </a:ln>
            </spPr>
          </marker>
          <cat>
            <numRef>
              <f>'推移データ'!$A$52:$A$64</f>
            </numRef>
          </cat>
          <val>
            <numRef>
              <f>'推移データ'!$B$52:$B$64</f>
            </numRef>
          </val>
          <smooth val="0"/>
        </ser>
        <ser>
          <idx val="1"/>
          <order val="1"/>
          <tx>
            <strRef>
              <f>'推移データ'!C51</f>
            </strRef>
          </tx>
          <spPr>
            <a:ln xmlns:a="http://schemas.openxmlformats.org/drawingml/2006/main" w="22000">
              <a:solidFill>
                <a:srgbClr val="DC262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DC2626"/>
              </a:solidFill>
              <a:ln xmlns:a="http://schemas.openxmlformats.org/drawingml/2006/main">
                <a:solidFill>
                  <a:srgbClr val="DC2626"/>
                </a:solidFill>
                <a:prstDash val="solid"/>
              </a:ln>
            </spPr>
          </marker>
          <cat>
            <numRef>
              <f>'推移データ'!$A$52:$A$64</f>
            </numRef>
          </cat>
          <val>
            <numRef>
              <f>'推移データ'!$C$52:$C$64</f>
            </numRef>
          </val>
          <smooth val="0"/>
        </ser>
        <ser>
          <idx val="2"/>
          <order val="2"/>
          <tx>
            <strRef>
              <f>'推移データ'!D51</f>
            </strRef>
          </tx>
          <spPr>
            <a:ln xmlns:a="http://schemas.openxmlformats.org/drawingml/2006/main" w="22000">
              <a:solidFill>
                <a:srgbClr val="16A34A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6A34A"/>
              </a:solidFill>
              <a:ln xmlns:a="http://schemas.openxmlformats.org/drawingml/2006/main">
                <a:solidFill>
                  <a:srgbClr val="16A34A"/>
                </a:solidFill>
                <a:prstDash val="solid"/>
              </a:ln>
            </spPr>
          </marker>
          <cat>
            <numRef>
              <f>'推移データ'!$A$52:$A$64</f>
            </numRef>
          </cat>
          <val>
            <numRef>
              <f>'推移データ'!$D$52:$D$64</f>
            </numRef>
          </val>
          <smooth val="0"/>
        </ser>
        <ser>
          <idx val="3"/>
          <order val="3"/>
          <tx>
            <strRef>
              <f>'推移データ'!E51</f>
            </strRef>
          </tx>
          <spPr>
            <a:ln xmlns:a="http://schemas.openxmlformats.org/drawingml/2006/main" w="22000">
              <a:solidFill>
                <a:srgbClr val="9333EA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9333EA"/>
              </a:solidFill>
              <a:ln xmlns:a="http://schemas.openxmlformats.org/drawingml/2006/main">
                <a:solidFill>
                  <a:srgbClr val="9333EA"/>
                </a:solidFill>
                <a:prstDash val="solid"/>
              </a:ln>
            </spPr>
          </marker>
          <cat>
            <numRef>
              <f>'推移データ'!$A$52:$A$64</f>
            </numRef>
          </cat>
          <val>
            <numRef>
              <f>'推移データ'!$E$52:$E$64</f>
            </numRef>
          </val>
          <smooth val="0"/>
        </ser>
        <ser>
          <idx val="4"/>
          <order val="4"/>
          <tx>
            <strRef>
              <f>'推移データ'!F51</f>
            </strRef>
          </tx>
          <spPr>
            <a:ln xmlns:a="http://schemas.openxmlformats.org/drawingml/2006/main" w="22000">
              <a:solidFill>
                <a:srgbClr val="0891B2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0891B2"/>
              </a:solidFill>
              <a:ln xmlns:a="http://schemas.openxmlformats.org/drawingml/2006/main">
                <a:solidFill>
                  <a:srgbClr val="0891B2"/>
                </a:solidFill>
                <a:prstDash val="solid"/>
              </a:ln>
            </spPr>
          </marker>
          <cat>
            <numRef>
              <f>'推移データ'!$A$52:$A$64</f>
            </numRef>
          </cat>
          <val>
            <numRef>
              <f>'推移データ'!$F$52:$F$64</f>
            </numRef>
          </val>
          <smooth val="0"/>
        </ser>
        <ser>
          <idx val="5"/>
          <order val="5"/>
          <tx>
            <strRef>
              <f>'推移データ'!G51</f>
            </strRef>
          </tx>
          <spPr>
            <a:ln xmlns:a="http://schemas.openxmlformats.org/drawingml/2006/main" w="22000">
              <a:solidFill>
                <a:srgbClr val="F59E0B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F59E0B"/>
              </a:solidFill>
              <a:ln xmlns:a="http://schemas.openxmlformats.org/drawingml/2006/main">
                <a:solidFill>
                  <a:srgbClr val="F59E0B"/>
                </a:solidFill>
                <a:prstDash val="solid"/>
              </a:ln>
            </spPr>
          </marker>
          <cat>
            <numRef>
              <f>'推移データ'!$A$52:$A$64</f>
            </numRef>
          </cat>
          <val>
            <numRef>
              <f>'推移データ'!$G$52:$G$64</f>
            </numRef>
          </val>
          <smooth val="0"/>
        </ser>
        <ser>
          <idx val="6"/>
          <order val="6"/>
          <tx>
            <strRef>
              <f>'推移データ'!H51</f>
            </strRef>
          </tx>
          <spPr>
            <a:ln xmlns:a="http://schemas.openxmlformats.org/drawingml/2006/main" w="22000">
              <a:solidFill>
                <a:srgbClr val="64748B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64748B"/>
              </a:solidFill>
              <a:ln xmlns:a="http://schemas.openxmlformats.org/drawingml/2006/main">
                <a:solidFill>
                  <a:srgbClr val="64748B"/>
                </a:solidFill>
                <a:prstDash val="solid"/>
              </a:ln>
            </spPr>
          </marker>
          <cat>
            <numRef>
              <f>'推移データ'!$A$52:$A$64</f>
            </numRef>
          </cat>
          <val>
            <numRef>
              <f>'推移データ'!$H$52:$H$64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週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¥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CTR</a:t>
            </a:r>
          </a:p>
        </rich>
      </tx>
    </title>
    <plotArea>
      <lineChart>
        <grouping val="standard"/>
        <ser>
          <idx val="0"/>
          <order val="0"/>
          <tx>
            <strRef>
              <f>'推移データ'!B67</f>
            </strRef>
          </tx>
          <spPr>
            <a:ln xmlns:a="http://schemas.openxmlformats.org/drawingml/2006/main" w="22000">
              <a:solidFill>
                <a:srgbClr val="2563EB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2563EB"/>
              </a:solidFill>
              <a:ln xmlns:a="http://schemas.openxmlformats.org/drawingml/2006/main">
                <a:solidFill>
                  <a:srgbClr val="2563EB"/>
                </a:solidFill>
                <a:prstDash val="solid"/>
              </a:ln>
            </spPr>
          </marker>
          <cat>
            <numRef>
              <f>'推移データ'!$A$68:$A$80</f>
            </numRef>
          </cat>
          <val>
            <numRef>
              <f>'推移データ'!$B$68:$B$80</f>
            </numRef>
          </val>
          <smooth val="0"/>
        </ser>
        <ser>
          <idx val="1"/>
          <order val="1"/>
          <tx>
            <strRef>
              <f>'推移データ'!C67</f>
            </strRef>
          </tx>
          <spPr>
            <a:ln xmlns:a="http://schemas.openxmlformats.org/drawingml/2006/main" w="22000">
              <a:solidFill>
                <a:srgbClr val="DC262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DC2626"/>
              </a:solidFill>
              <a:ln xmlns:a="http://schemas.openxmlformats.org/drawingml/2006/main">
                <a:solidFill>
                  <a:srgbClr val="DC2626"/>
                </a:solidFill>
                <a:prstDash val="solid"/>
              </a:ln>
            </spPr>
          </marker>
          <cat>
            <numRef>
              <f>'推移データ'!$A$68:$A$80</f>
            </numRef>
          </cat>
          <val>
            <numRef>
              <f>'推移データ'!$C$68:$C$80</f>
            </numRef>
          </val>
          <smooth val="0"/>
        </ser>
        <ser>
          <idx val="2"/>
          <order val="2"/>
          <tx>
            <strRef>
              <f>'推移データ'!D67</f>
            </strRef>
          </tx>
          <spPr>
            <a:ln xmlns:a="http://schemas.openxmlformats.org/drawingml/2006/main" w="22000">
              <a:solidFill>
                <a:srgbClr val="16A34A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6A34A"/>
              </a:solidFill>
              <a:ln xmlns:a="http://schemas.openxmlformats.org/drawingml/2006/main">
                <a:solidFill>
                  <a:srgbClr val="16A34A"/>
                </a:solidFill>
                <a:prstDash val="solid"/>
              </a:ln>
            </spPr>
          </marker>
          <cat>
            <numRef>
              <f>'推移データ'!$A$68:$A$80</f>
            </numRef>
          </cat>
          <val>
            <numRef>
              <f>'推移データ'!$D$68:$D$80</f>
            </numRef>
          </val>
          <smooth val="0"/>
        </ser>
        <ser>
          <idx val="3"/>
          <order val="3"/>
          <tx>
            <strRef>
              <f>'推移データ'!E67</f>
            </strRef>
          </tx>
          <spPr>
            <a:ln xmlns:a="http://schemas.openxmlformats.org/drawingml/2006/main" w="22000">
              <a:solidFill>
                <a:srgbClr val="9333EA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9333EA"/>
              </a:solidFill>
              <a:ln xmlns:a="http://schemas.openxmlformats.org/drawingml/2006/main">
                <a:solidFill>
                  <a:srgbClr val="9333EA"/>
                </a:solidFill>
                <a:prstDash val="solid"/>
              </a:ln>
            </spPr>
          </marker>
          <cat>
            <numRef>
              <f>'推移データ'!$A$68:$A$80</f>
            </numRef>
          </cat>
          <val>
            <numRef>
              <f>'推移データ'!$E$68:$E$80</f>
            </numRef>
          </val>
          <smooth val="0"/>
        </ser>
        <ser>
          <idx val="4"/>
          <order val="4"/>
          <tx>
            <strRef>
              <f>'推移データ'!F67</f>
            </strRef>
          </tx>
          <spPr>
            <a:ln xmlns:a="http://schemas.openxmlformats.org/drawingml/2006/main" w="22000">
              <a:solidFill>
                <a:srgbClr val="0891B2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0891B2"/>
              </a:solidFill>
              <a:ln xmlns:a="http://schemas.openxmlformats.org/drawingml/2006/main">
                <a:solidFill>
                  <a:srgbClr val="0891B2"/>
                </a:solidFill>
                <a:prstDash val="solid"/>
              </a:ln>
            </spPr>
          </marker>
          <cat>
            <numRef>
              <f>'推移データ'!$A$68:$A$80</f>
            </numRef>
          </cat>
          <val>
            <numRef>
              <f>'推移データ'!$F$68:$F$80</f>
            </numRef>
          </val>
          <smooth val="0"/>
        </ser>
        <ser>
          <idx val="5"/>
          <order val="5"/>
          <tx>
            <strRef>
              <f>'推移データ'!G67</f>
            </strRef>
          </tx>
          <spPr>
            <a:ln xmlns:a="http://schemas.openxmlformats.org/drawingml/2006/main" w="22000">
              <a:solidFill>
                <a:srgbClr val="F59E0B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F59E0B"/>
              </a:solidFill>
              <a:ln xmlns:a="http://schemas.openxmlformats.org/drawingml/2006/main">
                <a:solidFill>
                  <a:srgbClr val="F59E0B"/>
                </a:solidFill>
                <a:prstDash val="solid"/>
              </a:ln>
            </spPr>
          </marker>
          <cat>
            <numRef>
              <f>'推移データ'!$A$68:$A$80</f>
            </numRef>
          </cat>
          <val>
            <numRef>
              <f>'推移データ'!$G$68:$G$80</f>
            </numRef>
          </val>
          <smooth val="0"/>
        </ser>
        <ser>
          <idx val="6"/>
          <order val="6"/>
          <tx>
            <strRef>
              <f>'推移データ'!H67</f>
            </strRef>
          </tx>
          <spPr>
            <a:ln xmlns:a="http://schemas.openxmlformats.org/drawingml/2006/main" w="22000">
              <a:solidFill>
                <a:srgbClr val="64748B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64748B"/>
              </a:solidFill>
              <a:ln xmlns:a="http://schemas.openxmlformats.org/drawingml/2006/main">
                <a:solidFill>
                  <a:srgbClr val="64748B"/>
                </a:solidFill>
                <a:prstDash val="solid"/>
              </a:ln>
            </spPr>
          </marker>
          <cat>
            <numRef>
              <f>'推移データ'!$A$68:$A$80</f>
            </numRef>
          </cat>
          <val>
            <numRef>
              <f>'推移データ'!$H$68:$H$80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週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CPC</a:t>
            </a:r>
          </a:p>
        </rich>
      </tx>
    </title>
    <plotArea>
      <lineChart>
        <grouping val="standard"/>
        <ser>
          <idx val="0"/>
          <order val="0"/>
          <tx>
            <strRef>
              <f>'推移データ'!B83</f>
            </strRef>
          </tx>
          <spPr>
            <a:ln xmlns:a="http://schemas.openxmlformats.org/drawingml/2006/main" w="22000">
              <a:solidFill>
                <a:srgbClr val="2563EB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2563EB"/>
              </a:solidFill>
              <a:ln xmlns:a="http://schemas.openxmlformats.org/drawingml/2006/main">
                <a:solidFill>
                  <a:srgbClr val="2563EB"/>
                </a:solidFill>
                <a:prstDash val="solid"/>
              </a:ln>
            </spPr>
          </marker>
          <cat>
            <numRef>
              <f>'推移データ'!$A$84:$A$96</f>
            </numRef>
          </cat>
          <val>
            <numRef>
              <f>'推移データ'!$B$84:$B$96</f>
            </numRef>
          </val>
          <smooth val="0"/>
        </ser>
        <ser>
          <idx val="1"/>
          <order val="1"/>
          <tx>
            <strRef>
              <f>'推移データ'!C83</f>
            </strRef>
          </tx>
          <spPr>
            <a:ln xmlns:a="http://schemas.openxmlformats.org/drawingml/2006/main" w="22000">
              <a:solidFill>
                <a:srgbClr val="DC262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DC2626"/>
              </a:solidFill>
              <a:ln xmlns:a="http://schemas.openxmlformats.org/drawingml/2006/main">
                <a:solidFill>
                  <a:srgbClr val="DC2626"/>
                </a:solidFill>
                <a:prstDash val="solid"/>
              </a:ln>
            </spPr>
          </marker>
          <cat>
            <numRef>
              <f>'推移データ'!$A$84:$A$96</f>
            </numRef>
          </cat>
          <val>
            <numRef>
              <f>'推移データ'!$C$84:$C$96</f>
            </numRef>
          </val>
          <smooth val="0"/>
        </ser>
        <ser>
          <idx val="2"/>
          <order val="2"/>
          <tx>
            <strRef>
              <f>'推移データ'!D83</f>
            </strRef>
          </tx>
          <spPr>
            <a:ln xmlns:a="http://schemas.openxmlformats.org/drawingml/2006/main" w="22000">
              <a:solidFill>
                <a:srgbClr val="16A34A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6A34A"/>
              </a:solidFill>
              <a:ln xmlns:a="http://schemas.openxmlformats.org/drawingml/2006/main">
                <a:solidFill>
                  <a:srgbClr val="16A34A"/>
                </a:solidFill>
                <a:prstDash val="solid"/>
              </a:ln>
            </spPr>
          </marker>
          <cat>
            <numRef>
              <f>'推移データ'!$A$84:$A$96</f>
            </numRef>
          </cat>
          <val>
            <numRef>
              <f>'推移データ'!$D$84:$D$96</f>
            </numRef>
          </val>
          <smooth val="0"/>
        </ser>
        <ser>
          <idx val="3"/>
          <order val="3"/>
          <tx>
            <strRef>
              <f>'推移データ'!E83</f>
            </strRef>
          </tx>
          <spPr>
            <a:ln xmlns:a="http://schemas.openxmlformats.org/drawingml/2006/main" w="22000">
              <a:solidFill>
                <a:srgbClr val="9333EA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9333EA"/>
              </a:solidFill>
              <a:ln xmlns:a="http://schemas.openxmlformats.org/drawingml/2006/main">
                <a:solidFill>
                  <a:srgbClr val="9333EA"/>
                </a:solidFill>
                <a:prstDash val="solid"/>
              </a:ln>
            </spPr>
          </marker>
          <cat>
            <numRef>
              <f>'推移データ'!$A$84:$A$96</f>
            </numRef>
          </cat>
          <val>
            <numRef>
              <f>'推移データ'!$E$84:$E$96</f>
            </numRef>
          </val>
          <smooth val="0"/>
        </ser>
        <ser>
          <idx val="4"/>
          <order val="4"/>
          <tx>
            <strRef>
              <f>'推移データ'!F83</f>
            </strRef>
          </tx>
          <spPr>
            <a:ln xmlns:a="http://schemas.openxmlformats.org/drawingml/2006/main" w="22000">
              <a:solidFill>
                <a:srgbClr val="0891B2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0891B2"/>
              </a:solidFill>
              <a:ln xmlns:a="http://schemas.openxmlformats.org/drawingml/2006/main">
                <a:solidFill>
                  <a:srgbClr val="0891B2"/>
                </a:solidFill>
                <a:prstDash val="solid"/>
              </a:ln>
            </spPr>
          </marker>
          <cat>
            <numRef>
              <f>'推移データ'!$A$84:$A$96</f>
            </numRef>
          </cat>
          <val>
            <numRef>
              <f>'推移データ'!$F$84:$F$96</f>
            </numRef>
          </val>
          <smooth val="0"/>
        </ser>
        <ser>
          <idx val="5"/>
          <order val="5"/>
          <tx>
            <strRef>
              <f>'推移データ'!G83</f>
            </strRef>
          </tx>
          <spPr>
            <a:ln xmlns:a="http://schemas.openxmlformats.org/drawingml/2006/main" w="22000">
              <a:solidFill>
                <a:srgbClr val="F59E0B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F59E0B"/>
              </a:solidFill>
              <a:ln xmlns:a="http://schemas.openxmlformats.org/drawingml/2006/main">
                <a:solidFill>
                  <a:srgbClr val="F59E0B"/>
                </a:solidFill>
                <a:prstDash val="solid"/>
              </a:ln>
            </spPr>
          </marker>
          <cat>
            <numRef>
              <f>'推移データ'!$A$84:$A$96</f>
            </numRef>
          </cat>
          <val>
            <numRef>
              <f>'推移データ'!$G$84:$G$96</f>
            </numRef>
          </val>
          <smooth val="0"/>
        </ser>
        <ser>
          <idx val="6"/>
          <order val="6"/>
          <tx>
            <strRef>
              <f>'推移データ'!H83</f>
            </strRef>
          </tx>
          <spPr>
            <a:ln xmlns:a="http://schemas.openxmlformats.org/drawingml/2006/main" w="22000">
              <a:solidFill>
                <a:srgbClr val="64748B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64748B"/>
              </a:solidFill>
              <a:ln xmlns:a="http://schemas.openxmlformats.org/drawingml/2006/main">
                <a:solidFill>
                  <a:srgbClr val="64748B"/>
                </a:solidFill>
                <a:prstDash val="solid"/>
              </a:ln>
            </spPr>
          </marker>
          <cat>
            <numRef>
              <f>'推移データ'!$A$84:$A$96</f>
            </numRef>
          </cat>
          <val>
            <numRef>
              <f>'推移データ'!$H$84:$H$96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週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¥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CVR</a:t>
            </a:r>
          </a:p>
        </rich>
      </tx>
    </title>
    <plotArea>
      <lineChart>
        <grouping val="standard"/>
        <ser>
          <idx val="0"/>
          <order val="0"/>
          <tx>
            <strRef>
              <f>'推移データ'!B99</f>
            </strRef>
          </tx>
          <spPr>
            <a:ln xmlns:a="http://schemas.openxmlformats.org/drawingml/2006/main" w="22000">
              <a:solidFill>
                <a:srgbClr val="2563EB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2563EB"/>
              </a:solidFill>
              <a:ln xmlns:a="http://schemas.openxmlformats.org/drawingml/2006/main">
                <a:solidFill>
                  <a:srgbClr val="2563EB"/>
                </a:solidFill>
                <a:prstDash val="solid"/>
              </a:ln>
            </spPr>
          </marker>
          <cat>
            <numRef>
              <f>'推移データ'!$A$100:$A$112</f>
            </numRef>
          </cat>
          <val>
            <numRef>
              <f>'推移データ'!$B$100:$B$112</f>
            </numRef>
          </val>
          <smooth val="0"/>
        </ser>
        <ser>
          <idx val="1"/>
          <order val="1"/>
          <tx>
            <strRef>
              <f>'推移データ'!C99</f>
            </strRef>
          </tx>
          <spPr>
            <a:ln xmlns:a="http://schemas.openxmlformats.org/drawingml/2006/main" w="22000">
              <a:solidFill>
                <a:srgbClr val="DC262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DC2626"/>
              </a:solidFill>
              <a:ln xmlns:a="http://schemas.openxmlformats.org/drawingml/2006/main">
                <a:solidFill>
                  <a:srgbClr val="DC2626"/>
                </a:solidFill>
                <a:prstDash val="solid"/>
              </a:ln>
            </spPr>
          </marker>
          <cat>
            <numRef>
              <f>'推移データ'!$A$100:$A$112</f>
            </numRef>
          </cat>
          <val>
            <numRef>
              <f>'推移データ'!$C$100:$C$112</f>
            </numRef>
          </val>
          <smooth val="0"/>
        </ser>
        <ser>
          <idx val="2"/>
          <order val="2"/>
          <tx>
            <strRef>
              <f>'推移データ'!D99</f>
            </strRef>
          </tx>
          <spPr>
            <a:ln xmlns:a="http://schemas.openxmlformats.org/drawingml/2006/main" w="22000">
              <a:solidFill>
                <a:srgbClr val="16A34A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6A34A"/>
              </a:solidFill>
              <a:ln xmlns:a="http://schemas.openxmlformats.org/drawingml/2006/main">
                <a:solidFill>
                  <a:srgbClr val="16A34A"/>
                </a:solidFill>
                <a:prstDash val="solid"/>
              </a:ln>
            </spPr>
          </marker>
          <cat>
            <numRef>
              <f>'推移データ'!$A$100:$A$112</f>
            </numRef>
          </cat>
          <val>
            <numRef>
              <f>'推移データ'!$D$100:$D$112</f>
            </numRef>
          </val>
          <smooth val="0"/>
        </ser>
        <ser>
          <idx val="3"/>
          <order val="3"/>
          <tx>
            <strRef>
              <f>'推移データ'!E99</f>
            </strRef>
          </tx>
          <spPr>
            <a:ln xmlns:a="http://schemas.openxmlformats.org/drawingml/2006/main" w="22000">
              <a:solidFill>
                <a:srgbClr val="9333EA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9333EA"/>
              </a:solidFill>
              <a:ln xmlns:a="http://schemas.openxmlformats.org/drawingml/2006/main">
                <a:solidFill>
                  <a:srgbClr val="9333EA"/>
                </a:solidFill>
                <a:prstDash val="solid"/>
              </a:ln>
            </spPr>
          </marker>
          <cat>
            <numRef>
              <f>'推移データ'!$A$100:$A$112</f>
            </numRef>
          </cat>
          <val>
            <numRef>
              <f>'推移データ'!$E$100:$E$112</f>
            </numRef>
          </val>
          <smooth val="0"/>
        </ser>
        <ser>
          <idx val="4"/>
          <order val="4"/>
          <tx>
            <strRef>
              <f>'推移データ'!F99</f>
            </strRef>
          </tx>
          <spPr>
            <a:ln xmlns:a="http://schemas.openxmlformats.org/drawingml/2006/main" w="22000">
              <a:solidFill>
                <a:srgbClr val="0891B2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0891B2"/>
              </a:solidFill>
              <a:ln xmlns:a="http://schemas.openxmlformats.org/drawingml/2006/main">
                <a:solidFill>
                  <a:srgbClr val="0891B2"/>
                </a:solidFill>
                <a:prstDash val="solid"/>
              </a:ln>
            </spPr>
          </marker>
          <cat>
            <numRef>
              <f>'推移データ'!$A$100:$A$112</f>
            </numRef>
          </cat>
          <val>
            <numRef>
              <f>'推移データ'!$F$100:$F$112</f>
            </numRef>
          </val>
          <smooth val="0"/>
        </ser>
        <ser>
          <idx val="5"/>
          <order val="5"/>
          <tx>
            <strRef>
              <f>'推移データ'!G99</f>
            </strRef>
          </tx>
          <spPr>
            <a:ln xmlns:a="http://schemas.openxmlformats.org/drawingml/2006/main" w="22000">
              <a:solidFill>
                <a:srgbClr val="F59E0B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F59E0B"/>
              </a:solidFill>
              <a:ln xmlns:a="http://schemas.openxmlformats.org/drawingml/2006/main">
                <a:solidFill>
                  <a:srgbClr val="F59E0B"/>
                </a:solidFill>
                <a:prstDash val="solid"/>
              </a:ln>
            </spPr>
          </marker>
          <cat>
            <numRef>
              <f>'推移データ'!$A$100:$A$112</f>
            </numRef>
          </cat>
          <val>
            <numRef>
              <f>'推移データ'!$G$100:$G$112</f>
            </numRef>
          </val>
          <smooth val="0"/>
        </ser>
        <ser>
          <idx val="6"/>
          <order val="6"/>
          <tx>
            <strRef>
              <f>'推移データ'!H99</f>
            </strRef>
          </tx>
          <spPr>
            <a:ln xmlns:a="http://schemas.openxmlformats.org/drawingml/2006/main" w="22000">
              <a:solidFill>
                <a:srgbClr val="64748B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64748B"/>
              </a:solidFill>
              <a:ln xmlns:a="http://schemas.openxmlformats.org/drawingml/2006/main">
                <a:solidFill>
                  <a:srgbClr val="64748B"/>
                </a:solidFill>
                <a:prstDash val="solid"/>
              </a:ln>
            </spPr>
          </marker>
          <cat>
            <numRef>
              <f>'推移データ'!$A$100:$A$112</f>
            </numRef>
          </cat>
          <val>
            <numRef>
              <f>'推移データ'!$H$100:$H$112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週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商談</a:t>
            </a:r>
          </a:p>
        </rich>
      </tx>
    </title>
    <plotArea>
      <lineChart>
        <grouping val="standard"/>
        <ser>
          <idx val="0"/>
          <order val="0"/>
          <tx>
            <strRef>
              <f>'推移データ'!B115</f>
            </strRef>
          </tx>
          <spPr>
            <a:ln xmlns:a="http://schemas.openxmlformats.org/drawingml/2006/main" w="22000">
              <a:solidFill>
                <a:srgbClr val="2563EB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2563EB"/>
              </a:solidFill>
              <a:ln xmlns:a="http://schemas.openxmlformats.org/drawingml/2006/main">
                <a:solidFill>
                  <a:srgbClr val="2563EB"/>
                </a:solidFill>
                <a:prstDash val="solid"/>
              </a:ln>
            </spPr>
          </marker>
          <cat>
            <numRef>
              <f>'推移データ'!$A$116:$A$128</f>
            </numRef>
          </cat>
          <val>
            <numRef>
              <f>'推移データ'!$B$116:$B$128</f>
            </numRef>
          </val>
          <smooth val="0"/>
        </ser>
        <ser>
          <idx val="1"/>
          <order val="1"/>
          <tx>
            <strRef>
              <f>'推移データ'!C115</f>
            </strRef>
          </tx>
          <spPr>
            <a:ln xmlns:a="http://schemas.openxmlformats.org/drawingml/2006/main" w="22000">
              <a:solidFill>
                <a:srgbClr val="DC262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DC2626"/>
              </a:solidFill>
              <a:ln xmlns:a="http://schemas.openxmlformats.org/drawingml/2006/main">
                <a:solidFill>
                  <a:srgbClr val="DC2626"/>
                </a:solidFill>
                <a:prstDash val="solid"/>
              </a:ln>
            </spPr>
          </marker>
          <cat>
            <numRef>
              <f>'推移データ'!$A$116:$A$128</f>
            </numRef>
          </cat>
          <val>
            <numRef>
              <f>'推移データ'!$C$116:$C$128</f>
            </numRef>
          </val>
          <smooth val="0"/>
        </ser>
        <ser>
          <idx val="2"/>
          <order val="2"/>
          <tx>
            <strRef>
              <f>'推移データ'!D115</f>
            </strRef>
          </tx>
          <spPr>
            <a:ln xmlns:a="http://schemas.openxmlformats.org/drawingml/2006/main" w="22000">
              <a:solidFill>
                <a:srgbClr val="16A34A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6A34A"/>
              </a:solidFill>
              <a:ln xmlns:a="http://schemas.openxmlformats.org/drawingml/2006/main">
                <a:solidFill>
                  <a:srgbClr val="16A34A"/>
                </a:solidFill>
                <a:prstDash val="solid"/>
              </a:ln>
            </spPr>
          </marker>
          <cat>
            <numRef>
              <f>'推移データ'!$A$116:$A$128</f>
            </numRef>
          </cat>
          <val>
            <numRef>
              <f>'推移データ'!$D$116:$D$128</f>
            </numRef>
          </val>
          <smooth val="0"/>
        </ser>
        <ser>
          <idx val="3"/>
          <order val="3"/>
          <tx>
            <strRef>
              <f>'推移データ'!E115</f>
            </strRef>
          </tx>
          <spPr>
            <a:ln xmlns:a="http://schemas.openxmlformats.org/drawingml/2006/main" w="22000">
              <a:solidFill>
                <a:srgbClr val="9333EA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9333EA"/>
              </a:solidFill>
              <a:ln xmlns:a="http://schemas.openxmlformats.org/drawingml/2006/main">
                <a:solidFill>
                  <a:srgbClr val="9333EA"/>
                </a:solidFill>
                <a:prstDash val="solid"/>
              </a:ln>
            </spPr>
          </marker>
          <cat>
            <numRef>
              <f>'推移データ'!$A$116:$A$128</f>
            </numRef>
          </cat>
          <val>
            <numRef>
              <f>'推移データ'!$E$116:$E$128</f>
            </numRef>
          </val>
          <smooth val="0"/>
        </ser>
        <ser>
          <idx val="4"/>
          <order val="4"/>
          <tx>
            <strRef>
              <f>'推移データ'!F115</f>
            </strRef>
          </tx>
          <spPr>
            <a:ln xmlns:a="http://schemas.openxmlformats.org/drawingml/2006/main" w="22000">
              <a:solidFill>
                <a:srgbClr val="0891B2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0891B2"/>
              </a:solidFill>
              <a:ln xmlns:a="http://schemas.openxmlformats.org/drawingml/2006/main">
                <a:solidFill>
                  <a:srgbClr val="0891B2"/>
                </a:solidFill>
                <a:prstDash val="solid"/>
              </a:ln>
            </spPr>
          </marker>
          <cat>
            <numRef>
              <f>'推移データ'!$A$116:$A$128</f>
            </numRef>
          </cat>
          <val>
            <numRef>
              <f>'推移データ'!$F$116:$F$128</f>
            </numRef>
          </val>
          <smooth val="0"/>
        </ser>
        <ser>
          <idx val="5"/>
          <order val="5"/>
          <tx>
            <strRef>
              <f>'推移データ'!G115</f>
            </strRef>
          </tx>
          <spPr>
            <a:ln xmlns:a="http://schemas.openxmlformats.org/drawingml/2006/main" w="22000">
              <a:solidFill>
                <a:srgbClr val="F59E0B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F59E0B"/>
              </a:solidFill>
              <a:ln xmlns:a="http://schemas.openxmlformats.org/drawingml/2006/main">
                <a:solidFill>
                  <a:srgbClr val="F59E0B"/>
                </a:solidFill>
                <a:prstDash val="solid"/>
              </a:ln>
            </spPr>
          </marker>
          <cat>
            <numRef>
              <f>'推移データ'!$A$116:$A$128</f>
            </numRef>
          </cat>
          <val>
            <numRef>
              <f>'推移データ'!$G$116:$G$128</f>
            </numRef>
          </val>
          <smooth val="0"/>
        </ser>
        <ser>
          <idx val="6"/>
          <order val="6"/>
          <tx>
            <strRef>
              <f>'推移データ'!H115</f>
            </strRef>
          </tx>
          <spPr>
            <a:ln xmlns:a="http://schemas.openxmlformats.org/drawingml/2006/main" w="22000">
              <a:solidFill>
                <a:srgbClr val="64748B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64748B"/>
              </a:solidFill>
              <a:ln xmlns:a="http://schemas.openxmlformats.org/drawingml/2006/main">
                <a:solidFill>
                  <a:srgbClr val="64748B"/>
                </a:solidFill>
                <a:prstDash val="solid"/>
              </a:ln>
            </spPr>
          </marker>
          <cat>
            <numRef>
              <f>'推移データ'!$A$116:$A$128</f>
            </numRef>
          </cat>
          <val>
            <numRef>
              <f>'推移データ'!$H$116:$H$128</f>
            </numRef>
          </val>
          <smooth val="0"/>
        </ser>
        <ser>
          <idx val="7"/>
          <order val="7"/>
          <tx>
            <strRef>
              <f>'推移データ'!I115</f>
            </strRef>
          </tx>
          <spPr>
            <a:ln xmlns:a="http://schemas.openxmlformats.org/drawingml/2006/main" w="22000">
              <a:solidFill>
                <a:srgbClr val="DB2777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DB2777"/>
              </a:solidFill>
              <a:ln xmlns:a="http://schemas.openxmlformats.org/drawingml/2006/main">
                <a:solidFill>
                  <a:srgbClr val="DB2777"/>
                </a:solidFill>
                <a:prstDash val="solid"/>
              </a:ln>
            </spPr>
          </marker>
          <cat>
            <numRef>
              <f>'推移データ'!$A$116:$A$128</f>
            </numRef>
          </cat>
          <val>
            <numRef>
              <f>'推移データ'!$I$116:$I$128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週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歩留まり（商談化率）</a:t>
            </a:r>
          </a:p>
        </rich>
      </tx>
    </title>
    <plotArea>
      <lineChart>
        <grouping val="standard"/>
        <ser>
          <idx val="0"/>
          <order val="0"/>
          <tx>
            <strRef>
              <f>'推移データ'!B131</f>
            </strRef>
          </tx>
          <spPr>
            <a:ln xmlns:a="http://schemas.openxmlformats.org/drawingml/2006/main" w="22000">
              <a:solidFill>
                <a:srgbClr val="2563EB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2563EB"/>
              </a:solidFill>
              <a:ln xmlns:a="http://schemas.openxmlformats.org/drawingml/2006/main">
                <a:solidFill>
                  <a:srgbClr val="2563EB"/>
                </a:solidFill>
                <a:prstDash val="solid"/>
              </a:ln>
            </spPr>
          </marker>
          <cat>
            <numRef>
              <f>'推移データ'!$A$132:$A$144</f>
            </numRef>
          </cat>
          <val>
            <numRef>
              <f>'推移データ'!$B$132:$B$144</f>
            </numRef>
          </val>
          <smooth val="0"/>
        </ser>
        <ser>
          <idx val="1"/>
          <order val="1"/>
          <tx>
            <strRef>
              <f>'推移データ'!C131</f>
            </strRef>
          </tx>
          <spPr>
            <a:ln xmlns:a="http://schemas.openxmlformats.org/drawingml/2006/main" w="22000">
              <a:solidFill>
                <a:srgbClr val="DC262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DC2626"/>
              </a:solidFill>
              <a:ln xmlns:a="http://schemas.openxmlformats.org/drawingml/2006/main">
                <a:solidFill>
                  <a:srgbClr val="DC2626"/>
                </a:solidFill>
                <a:prstDash val="solid"/>
              </a:ln>
            </spPr>
          </marker>
          <cat>
            <numRef>
              <f>'推移データ'!$A$132:$A$144</f>
            </numRef>
          </cat>
          <val>
            <numRef>
              <f>'推移データ'!$C$132:$C$144</f>
            </numRef>
          </val>
          <smooth val="0"/>
        </ser>
        <ser>
          <idx val="2"/>
          <order val="2"/>
          <tx>
            <strRef>
              <f>'推移データ'!D131</f>
            </strRef>
          </tx>
          <spPr>
            <a:ln xmlns:a="http://schemas.openxmlformats.org/drawingml/2006/main" w="22000">
              <a:solidFill>
                <a:srgbClr val="16A34A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6A34A"/>
              </a:solidFill>
              <a:ln xmlns:a="http://schemas.openxmlformats.org/drawingml/2006/main">
                <a:solidFill>
                  <a:srgbClr val="16A34A"/>
                </a:solidFill>
                <a:prstDash val="solid"/>
              </a:ln>
            </spPr>
          </marker>
          <cat>
            <numRef>
              <f>'推移データ'!$A$132:$A$144</f>
            </numRef>
          </cat>
          <val>
            <numRef>
              <f>'推移データ'!$D$132:$D$144</f>
            </numRef>
          </val>
          <smooth val="0"/>
        </ser>
        <ser>
          <idx val="3"/>
          <order val="3"/>
          <tx>
            <strRef>
              <f>'推移データ'!E131</f>
            </strRef>
          </tx>
          <spPr>
            <a:ln xmlns:a="http://schemas.openxmlformats.org/drawingml/2006/main" w="22000">
              <a:solidFill>
                <a:srgbClr val="9333EA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9333EA"/>
              </a:solidFill>
              <a:ln xmlns:a="http://schemas.openxmlformats.org/drawingml/2006/main">
                <a:solidFill>
                  <a:srgbClr val="9333EA"/>
                </a:solidFill>
                <a:prstDash val="solid"/>
              </a:ln>
            </spPr>
          </marker>
          <cat>
            <numRef>
              <f>'推移データ'!$A$132:$A$144</f>
            </numRef>
          </cat>
          <val>
            <numRef>
              <f>'推移データ'!$E$132:$E$144</f>
            </numRef>
          </val>
          <smooth val="0"/>
        </ser>
        <ser>
          <idx val="4"/>
          <order val="4"/>
          <tx>
            <strRef>
              <f>'推移データ'!F131</f>
            </strRef>
          </tx>
          <spPr>
            <a:ln xmlns:a="http://schemas.openxmlformats.org/drawingml/2006/main" w="22000">
              <a:solidFill>
                <a:srgbClr val="0891B2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0891B2"/>
              </a:solidFill>
              <a:ln xmlns:a="http://schemas.openxmlformats.org/drawingml/2006/main">
                <a:solidFill>
                  <a:srgbClr val="0891B2"/>
                </a:solidFill>
                <a:prstDash val="solid"/>
              </a:ln>
            </spPr>
          </marker>
          <cat>
            <numRef>
              <f>'推移データ'!$A$132:$A$144</f>
            </numRef>
          </cat>
          <val>
            <numRef>
              <f>'推移データ'!$F$132:$F$144</f>
            </numRef>
          </val>
          <smooth val="0"/>
        </ser>
        <ser>
          <idx val="5"/>
          <order val="5"/>
          <tx>
            <strRef>
              <f>'推移データ'!G131</f>
            </strRef>
          </tx>
          <spPr>
            <a:ln xmlns:a="http://schemas.openxmlformats.org/drawingml/2006/main" w="22000">
              <a:solidFill>
                <a:srgbClr val="F59E0B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F59E0B"/>
              </a:solidFill>
              <a:ln xmlns:a="http://schemas.openxmlformats.org/drawingml/2006/main">
                <a:solidFill>
                  <a:srgbClr val="F59E0B"/>
                </a:solidFill>
                <a:prstDash val="solid"/>
              </a:ln>
            </spPr>
          </marker>
          <cat>
            <numRef>
              <f>'推移データ'!$A$132:$A$144</f>
            </numRef>
          </cat>
          <val>
            <numRef>
              <f>'推移データ'!$G$132:$G$144</f>
            </numRef>
          </val>
          <smooth val="0"/>
        </ser>
        <ser>
          <idx val="6"/>
          <order val="6"/>
          <tx>
            <strRef>
              <f>'推移データ'!H131</f>
            </strRef>
          </tx>
          <spPr>
            <a:ln xmlns:a="http://schemas.openxmlformats.org/drawingml/2006/main" w="22000">
              <a:solidFill>
                <a:srgbClr val="64748B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64748B"/>
              </a:solidFill>
              <a:ln xmlns:a="http://schemas.openxmlformats.org/drawingml/2006/main">
                <a:solidFill>
                  <a:srgbClr val="64748B"/>
                </a:solidFill>
                <a:prstDash val="solid"/>
              </a:ln>
            </spPr>
          </marker>
          <cat>
            <numRef>
              <f>'推移データ'!$A$132:$A$144</f>
            </numRef>
          </cat>
          <val>
            <numRef>
              <f>'推移データ'!$H$132:$H$144</f>
            </numRef>
          </val>
          <smooth val="0"/>
        </ser>
        <ser>
          <idx val="7"/>
          <order val="7"/>
          <tx>
            <strRef>
              <f>'推移データ'!I131</f>
            </strRef>
          </tx>
          <spPr>
            <a:ln xmlns:a="http://schemas.openxmlformats.org/drawingml/2006/main" w="22000">
              <a:solidFill>
                <a:srgbClr val="DB2777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DB2777"/>
              </a:solidFill>
              <a:ln xmlns:a="http://schemas.openxmlformats.org/drawingml/2006/main">
                <a:solidFill>
                  <a:srgbClr val="DB2777"/>
                </a:solidFill>
                <a:prstDash val="solid"/>
              </a:ln>
            </spPr>
          </marker>
          <cat>
            <numRef>
              <f>'推移データ'!$A$132:$A$144</f>
            </numRef>
          </cat>
          <val>
            <numRef>
              <f>'推移データ'!$I$132:$I$144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週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成約</a:t>
            </a:r>
          </a:p>
        </rich>
      </tx>
    </title>
    <plotArea>
      <lineChart>
        <grouping val="standard"/>
        <ser>
          <idx val="0"/>
          <order val="0"/>
          <tx>
            <strRef>
              <f>'推移データ'!B147</f>
            </strRef>
          </tx>
          <spPr>
            <a:ln xmlns:a="http://schemas.openxmlformats.org/drawingml/2006/main" w="22000">
              <a:solidFill>
                <a:srgbClr val="2563EB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2563EB"/>
              </a:solidFill>
              <a:ln xmlns:a="http://schemas.openxmlformats.org/drawingml/2006/main">
                <a:solidFill>
                  <a:srgbClr val="2563EB"/>
                </a:solidFill>
                <a:prstDash val="solid"/>
              </a:ln>
            </spPr>
          </marker>
          <cat>
            <numRef>
              <f>'推移データ'!$A$148:$A$160</f>
            </numRef>
          </cat>
          <val>
            <numRef>
              <f>'推移データ'!$B$148:$B$160</f>
            </numRef>
          </val>
          <smooth val="0"/>
        </ser>
        <ser>
          <idx val="1"/>
          <order val="1"/>
          <tx>
            <strRef>
              <f>'推移データ'!C147</f>
            </strRef>
          </tx>
          <spPr>
            <a:ln xmlns:a="http://schemas.openxmlformats.org/drawingml/2006/main" w="22000">
              <a:solidFill>
                <a:srgbClr val="DC262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DC2626"/>
              </a:solidFill>
              <a:ln xmlns:a="http://schemas.openxmlformats.org/drawingml/2006/main">
                <a:solidFill>
                  <a:srgbClr val="DC2626"/>
                </a:solidFill>
                <a:prstDash val="solid"/>
              </a:ln>
            </spPr>
          </marker>
          <cat>
            <numRef>
              <f>'推移データ'!$A$148:$A$160</f>
            </numRef>
          </cat>
          <val>
            <numRef>
              <f>'推移データ'!$C$148:$C$160</f>
            </numRef>
          </val>
          <smooth val="0"/>
        </ser>
        <ser>
          <idx val="2"/>
          <order val="2"/>
          <tx>
            <strRef>
              <f>'推移データ'!D147</f>
            </strRef>
          </tx>
          <spPr>
            <a:ln xmlns:a="http://schemas.openxmlformats.org/drawingml/2006/main" w="22000">
              <a:solidFill>
                <a:srgbClr val="16A34A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6A34A"/>
              </a:solidFill>
              <a:ln xmlns:a="http://schemas.openxmlformats.org/drawingml/2006/main">
                <a:solidFill>
                  <a:srgbClr val="16A34A"/>
                </a:solidFill>
                <a:prstDash val="solid"/>
              </a:ln>
            </spPr>
          </marker>
          <cat>
            <numRef>
              <f>'推移データ'!$A$148:$A$160</f>
            </numRef>
          </cat>
          <val>
            <numRef>
              <f>'推移データ'!$D$148:$D$160</f>
            </numRef>
          </val>
          <smooth val="0"/>
        </ser>
        <ser>
          <idx val="3"/>
          <order val="3"/>
          <tx>
            <strRef>
              <f>'推移データ'!E147</f>
            </strRef>
          </tx>
          <spPr>
            <a:ln xmlns:a="http://schemas.openxmlformats.org/drawingml/2006/main" w="22000">
              <a:solidFill>
                <a:srgbClr val="9333EA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9333EA"/>
              </a:solidFill>
              <a:ln xmlns:a="http://schemas.openxmlformats.org/drawingml/2006/main">
                <a:solidFill>
                  <a:srgbClr val="9333EA"/>
                </a:solidFill>
                <a:prstDash val="solid"/>
              </a:ln>
            </spPr>
          </marker>
          <cat>
            <numRef>
              <f>'推移データ'!$A$148:$A$160</f>
            </numRef>
          </cat>
          <val>
            <numRef>
              <f>'推移データ'!$E$148:$E$160</f>
            </numRef>
          </val>
          <smooth val="0"/>
        </ser>
        <ser>
          <idx val="4"/>
          <order val="4"/>
          <tx>
            <strRef>
              <f>'推移データ'!F147</f>
            </strRef>
          </tx>
          <spPr>
            <a:ln xmlns:a="http://schemas.openxmlformats.org/drawingml/2006/main" w="22000">
              <a:solidFill>
                <a:srgbClr val="0891B2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0891B2"/>
              </a:solidFill>
              <a:ln xmlns:a="http://schemas.openxmlformats.org/drawingml/2006/main">
                <a:solidFill>
                  <a:srgbClr val="0891B2"/>
                </a:solidFill>
                <a:prstDash val="solid"/>
              </a:ln>
            </spPr>
          </marker>
          <cat>
            <numRef>
              <f>'推移データ'!$A$148:$A$160</f>
            </numRef>
          </cat>
          <val>
            <numRef>
              <f>'推移データ'!$F$148:$F$160</f>
            </numRef>
          </val>
          <smooth val="0"/>
        </ser>
        <ser>
          <idx val="5"/>
          <order val="5"/>
          <tx>
            <strRef>
              <f>'推移データ'!G147</f>
            </strRef>
          </tx>
          <spPr>
            <a:ln xmlns:a="http://schemas.openxmlformats.org/drawingml/2006/main" w="22000">
              <a:solidFill>
                <a:srgbClr val="F59E0B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F59E0B"/>
              </a:solidFill>
              <a:ln xmlns:a="http://schemas.openxmlformats.org/drawingml/2006/main">
                <a:solidFill>
                  <a:srgbClr val="F59E0B"/>
                </a:solidFill>
                <a:prstDash val="solid"/>
              </a:ln>
            </spPr>
          </marker>
          <cat>
            <numRef>
              <f>'推移データ'!$A$148:$A$160</f>
            </numRef>
          </cat>
          <val>
            <numRef>
              <f>'推移データ'!$G$148:$G$160</f>
            </numRef>
          </val>
          <smooth val="0"/>
        </ser>
        <ser>
          <idx val="6"/>
          <order val="6"/>
          <tx>
            <strRef>
              <f>'推移データ'!H147</f>
            </strRef>
          </tx>
          <spPr>
            <a:ln xmlns:a="http://schemas.openxmlformats.org/drawingml/2006/main" w="22000">
              <a:solidFill>
                <a:srgbClr val="64748B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64748B"/>
              </a:solidFill>
              <a:ln xmlns:a="http://schemas.openxmlformats.org/drawingml/2006/main">
                <a:solidFill>
                  <a:srgbClr val="64748B"/>
                </a:solidFill>
                <a:prstDash val="solid"/>
              </a:ln>
            </spPr>
          </marker>
          <cat>
            <numRef>
              <f>'推移データ'!$A$148:$A$160</f>
            </numRef>
          </cat>
          <val>
            <numRef>
              <f>'推移データ'!$H$148:$H$160</f>
            </numRef>
          </val>
          <smooth val="0"/>
        </ser>
        <ser>
          <idx val="7"/>
          <order val="7"/>
          <tx>
            <strRef>
              <f>'推移データ'!I147</f>
            </strRef>
          </tx>
          <spPr>
            <a:ln xmlns:a="http://schemas.openxmlformats.org/drawingml/2006/main" w="22000">
              <a:solidFill>
                <a:srgbClr val="DB2777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DB2777"/>
              </a:solidFill>
              <a:ln xmlns:a="http://schemas.openxmlformats.org/drawingml/2006/main">
                <a:solidFill>
                  <a:srgbClr val="DB2777"/>
                </a:solidFill>
                <a:prstDash val="solid"/>
              </a:ln>
            </spPr>
          </marker>
          <cat>
            <numRef>
              <f>'推移データ'!$A$148:$A$160</f>
            </numRef>
          </cat>
          <val>
            <numRef>
              <f>'推移データ'!$I$148:$I$160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週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成約率</a:t>
            </a:r>
          </a:p>
        </rich>
      </tx>
    </title>
    <plotArea>
      <lineChart>
        <grouping val="standard"/>
        <ser>
          <idx val="0"/>
          <order val="0"/>
          <tx>
            <strRef>
              <f>'推移データ'!B163</f>
            </strRef>
          </tx>
          <spPr>
            <a:ln xmlns:a="http://schemas.openxmlformats.org/drawingml/2006/main" w="22000">
              <a:solidFill>
                <a:srgbClr val="2563EB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2563EB"/>
              </a:solidFill>
              <a:ln xmlns:a="http://schemas.openxmlformats.org/drawingml/2006/main">
                <a:solidFill>
                  <a:srgbClr val="2563EB"/>
                </a:solidFill>
                <a:prstDash val="solid"/>
              </a:ln>
            </spPr>
          </marker>
          <cat>
            <numRef>
              <f>'推移データ'!$A$164:$A$176</f>
            </numRef>
          </cat>
          <val>
            <numRef>
              <f>'推移データ'!$B$164:$B$176</f>
            </numRef>
          </val>
          <smooth val="0"/>
        </ser>
        <ser>
          <idx val="1"/>
          <order val="1"/>
          <tx>
            <strRef>
              <f>'推移データ'!C163</f>
            </strRef>
          </tx>
          <spPr>
            <a:ln xmlns:a="http://schemas.openxmlformats.org/drawingml/2006/main" w="22000">
              <a:solidFill>
                <a:srgbClr val="DC262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DC2626"/>
              </a:solidFill>
              <a:ln xmlns:a="http://schemas.openxmlformats.org/drawingml/2006/main">
                <a:solidFill>
                  <a:srgbClr val="DC2626"/>
                </a:solidFill>
                <a:prstDash val="solid"/>
              </a:ln>
            </spPr>
          </marker>
          <cat>
            <numRef>
              <f>'推移データ'!$A$164:$A$176</f>
            </numRef>
          </cat>
          <val>
            <numRef>
              <f>'推移データ'!$C$164:$C$176</f>
            </numRef>
          </val>
          <smooth val="0"/>
        </ser>
        <ser>
          <idx val="2"/>
          <order val="2"/>
          <tx>
            <strRef>
              <f>'推移データ'!D163</f>
            </strRef>
          </tx>
          <spPr>
            <a:ln xmlns:a="http://schemas.openxmlformats.org/drawingml/2006/main" w="22000">
              <a:solidFill>
                <a:srgbClr val="16A34A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6A34A"/>
              </a:solidFill>
              <a:ln xmlns:a="http://schemas.openxmlformats.org/drawingml/2006/main">
                <a:solidFill>
                  <a:srgbClr val="16A34A"/>
                </a:solidFill>
                <a:prstDash val="solid"/>
              </a:ln>
            </spPr>
          </marker>
          <cat>
            <numRef>
              <f>'推移データ'!$A$164:$A$176</f>
            </numRef>
          </cat>
          <val>
            <numRef>
              <f>'推移データ'!$D$164:$D$176</f>
            </numRef>
          </val>
          <smooth val="0"/>
        </ser>
        <ser>
          <idx val="3"/>
          <order val="3"/>
          <tx>
            <strRef>
              <f>'推移データ'!E163</f>
            </strRef>
          </tx>
          <spPr>
            <a:ln xmlns:a="http://schemas.openxmlformats.org/drawingml/2006/main" w="22000">
              <a:solidFill>
                <a:srgbClr val="9333EA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9333EA"/>
              </a:solidFill>
              <a:ln xmlns:a="http://schemas.openxmlformats.org/drawingml/2006/main">
                <a:solidFill>
                  <a:srgbClr val="9333EA"/>
                </a:solidFill>
                <a:prstDash val="solid"/>
              </a:ln>
            </spPr>
          </marker>
          <cat>
            <numRef>
              <f>'推移データ'!$A$164:$A$176</f>
            </numRef>
          </cat>
          <val>
            <numRef>
              <f>'推移データ'!$E$164:$E$176</f>
            </numRef>
          </val>
          <smooth val="0"/>
        </ser>
        <ser>
          <idx val="4"/>
          <order val="4"/>
          <tx>
            <strRef>
              <f>'推移データ'!F163</f>
            </strRef>
          </tx>
          <spPr>
            <a:ln xmlns:a="http://schemas.openxmlformats.org/drawingml/2006/main" w="22000">
              <a:solidFill>
                <a:srgbClr val="0891B2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0891B2"/>
              </a:solidFill>
              <a:ln xmlns:a="http://schemas.openxmlformats.org/drawingml/2006/main">
                <a:solidFill>
                  <a:srgbClr val="0891B2"/>
                </a:solidFill>
                <a:prstDash val="solid"/>
              </a:ln>
            </spPr>
          </marker>
          <cat>
            <numRef>
              <f>'推移データ'!$A$164:$A$176</f>
            </numRef>
          </cat>
          <val>
            <numRef>
              <f>'推移データ'!$F$164:$F$176</f>
            </numRef>
          </val>
          <smooth val="0"/>
        </ser>
        <ser>
          <idx val="5"/>
          <order val="5"/>
          <tx>
            <strRef>
              <f>'推移データ'!G163</f>
            </strRef>
          </tx>
          <spPr>
            <a:ln xmlns:a="http://schemas.openxmlformats.org/drawingml/2006/main" w="22000">
              <a:solidFill>
                <a:srgbClr val="F59E0B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F59E0B"/>
              </a:solidFill>
              <a:ln xmlns:a="http://schemas.openxmlformats.org/drawingml/2006/main">
                <a:solidFill>
                  <a:srgbClr val="F59E0B"/>
                </a:solidFill>
                <a:prstDash val="solid"/>
              </a:ln>
            </spPr>
          </marker>
          <cat>
            <numRef>
              <f>'推移データ'!$A$164:$A$176</f>
            </numRef>
          </cat>
          <val>
            <numRef>
              <f>'推移データ'!$G$164:$G$176</f>
            </numRef>
          </val>
          <smooth val="0"/>
        </ser>
        <ser>
          <idx val="6"/>
          <order val="6"/>
          <tx>
            <strRef>
              <f>'推移データ'!H163</f>
            </strRef>
          </tx>
          <spPr>
            <a:ln xmlns:a="http://schemas.openxmlformats.org/drawingml/2006/main" w="22000">
              <a:solidFill>
                <a:srgbClr val="64748B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64748B"/>
              </a:solidFill>
              <a:ln xmlns:a="http://schemas.openxmlformats.org/drawingml/2006/main">
                <a:solidFill>
                  <a:srgbClr val="64748B"/>
                </a:solidFill>
                <a:prstDash val="solid"/>
              </a:ln>
            </spPr>
          </marker>
          <cat>
            <numRef>
              <f>'推移データ'!$A$164:$A$176</f>
            </numRef>
          </cat>
          <val>
            <numRef>
              <f>'推移データ'!$H$164:$H$176</f>
            </numRef>
          </val>
          <smooth val="0"/>
        </ser>
        <ser>
          <idx val="7"/>
          <order val="7"/>
          <tx>
            <strRef>
              <f>'推移データ'!I163</f>
            </strRef>
          </tx>
          <spPr>
            <a:ln xmlns:a="http://schemas.openxmlformats.org/drawingml/2006/main" w="22000">
              <a:solidFill>
                <a:srgbClr val="DB2777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DB2777"/>
              </a:solidFill>
              <a:ln xmlns:a="http://schemas.openxmlformats.org/drawingml/2006/main">
                <a:solidFill>
                  <a:srgbClr val="DB2777"/>
                </a:solidFill>
                <a:prstDash val="solid"/>
              </a:ln>
            </spPr>
          </marker>
          <cat>
            <numRef>
              <f>'推移データ'!$A$164:$A$176</f>
            </numRef>
          </cat>
          <val>
            <numRef>
              <f>'推移データ'!$I$164:$I$176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週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余裕倍率</a:t>
            </a:r>
          </a:p>
        </rich>
      </tx>
    </title>
    <plotArea>
      <lineChart>
        <grouping val="standard"/>
        <ser>
          <idx val="0"/>
          <order val="0"/>
          <tx>
            <strRef>
              <f>'推移データ'!B179</f>
            </strRef>
          </tx>
          <spPr>
            <a:ln xmlns:a="http://schemas.openxmlformats.org/drawingml/2006/main" w="22000">
              <a:solidFill>
                <a:srgbClr val="2563EB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2563EB"/>
              </a:solidFill>
              <a:ln xmlns:a="http://schemas.openxmlformats.org/drawingml/2006/main">
                <a:solidFill>
                  <a:srgbClr val="2563EB"/>
                </a:solidFill>
                <a:prstDash val="solid"/>
              </a:ln>
            </spPr>
          </marker>
          <cat>
            <numRef>
              <f>'推移データ'!$A$180:$A$192</f>
            </numRef>
          </cat>
          <val>
            <numRef>
              <f>'推移データ'!$B$180:$B$192</f>
            </numRef>
          </val>
          <smooth val="0"/>
        </ser>
        <ser>
          <idx val="1"/>
          <order val="1"/>
          <tx>
            <strRef>
              <f>'推移データ'!C179</f>
            </strRef>
          </tx>
          <spPr>
            <a:ln xmlns:a="http://schemas.openxmlformats.org/drawingml/2006/main" w="22000">
              <a:solidFill>
                <a:srgbClr val="DC262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DC2626"/>
              </a:solidFill>
              <a:ln xmlns:a="http://schemas.openxmlformats.org/drawingml/2006/main">
                <a:solidFill>
                  <a:srgbClr val="DC2626"/>
                </a:solidFill>
                <a:prstDash val="solid"/>
              </a:ln>
            </spPr>
          </marker>
          <cat>
            <numRef>
              <f>'推移データ'!$A$180:$A$192</f>
            </numRef>
          </cat>
          <val>
            <numRef>
              <f>'推移データ'!$C$180:$C$192</f>
            </numRef>
          </val>
          <smooth val="0"/>
        </ser>
        <ser>
          <idx val="2"/>
          <order val="2"/>
          <tx>
            <strRef>
              <f>'推移データ'!D179</f>
            </strRef>
          </tx>
          <spPr>
            <a:ln xmlns:a="http://schemas.openxmlformats.org/drawingml/2006/main" w="22000">
              <a:solidFill>
                <a:srgbClr val="16A34A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6A34A"/>
              </a:solidFill>
              <a:ln xmlns:a="http://schemas.openxmlformats.org/drawingml/2006/main">
                <a:solidFill>
                  <a:srgbClr val="16A34A"/>
                </a:solidFill>
                <a:prstDash val="solid"/>
              </a:ln>
            </spPr>
          </marker>
          <cat>
            <numRef>
              <f>'推移データ'!$A$180:$A$192</f>
            </numRef>
          </cat>
          <val>
            <numRef>
              <f>'推移データ'!$D$180:$D$192</f>
            </numRef>
          </val>
          <smooth val="0"/>
        </ser>
        <ser>
          <idx val="3"/>
          <order val="3"/>
          <tx>
            <strRef>
              <f>'推移データ'!E179</f>
            </strRef>
          </tx>
          <spPr>
            <a:ln xmlns:a="http://schemas.openxmlformats.org/drawingml/2006/main" w="22000">
              <a:solidFill>
                <a:srgbClr val="9333EA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9333EA"/>
              </a:solidFill>
              <a:ln xmlns:a="http://schemas.openxmlformats.org/drawingml/2006/main">
                <a:solidFill>
                  <a:srgbClr val="9333EA"/>
                </a:solidFill>
                <a:prstDash val="solid"/>
              </a:ln>
            </spPr>
          </marker>
          <cat>
            <numRef>
              <f>'推移データ'!$A$180:$A$192</f>
            </numRef>
          </cat>
          <val>
            <numRef>
              <f>'推移データ'!$E$180:$E$192</f>
            </numRef>
          </val>
          <smooth val="0"/>
        </ser>
        <ser>
          <idx val="4"/>
          <order val="4"/>
          <tx>
            <strRef>
              <f>'推移データ'!F179</f>
            </strRef>
          </tx>
          <spPr>
            <a:ln xmlns:a="http://schemas.openxmlformats.org/drawingml/2006/main" w="22000">
              <a:solidFill>
                <a:srgbClr val="0891B2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0891B2"/>
              </a:solidFill>
              <a:ln xmlns:a="http://schemas.openxmlformats.org/drawingml/2006/main">
                <a:solidFill>
                  <a:srgbClr val="0891B2"/>
                </a:solidFill>
                <a:prstDash val="solid"/>
              </a:ln>
            </spPr>
          </marker>
          <cat>
            <numRef>
              <f>'推移データ'!$A$180:$A$192</f>
            </numRef>
          </cat>
          <val>
            <numRef>
              <f>'推移データ'!$F$180:$F$192</f>
            </numRef>
          </val>
          <smooth val="0"/>
        </ser>
        <ser>
          <idx val="5"/>
          <order val="5"/>
          <tx>
            <strRef>
              <f>'推移データ'!G179</f>
            </strRef>
          </tx>
          <spPr>
            <a:ln xmlns:a="http://schemas.openxmlformats.org/drawingml/2006/main" w="22000">
              <a:solidFill>
                <a:srgbClr val="F59E0B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F59E0B"/>
              </a:solidFill>
              <a:ln xmlns:a="http://schemas.openxmlformats.org/drawingml/2006/main">
                <a:solidFill>
                  <a:srgbClr val="F59E0B"/>
                </a:solidFill>
                <a:prstDash val="solid"/>
              </a:ln>
            </spPr>
          </marker>
          <cat>
            <numRef>
              <f>'推移データ'!$A$180:$A$192</f>
            </numRef>
          </cat>
          <val>
            <numRef>
              <f>'推移データ'!$G$180:$G$192</f>
            </numRef>
          </val>
          <smooth val="0"/>
        </ser>
        <ser>
          <idx val="6"/>
          <order val="6"/>
          <tx>
            <strRef>
              <f>'推移データ'!H179</f>
            </strRef>
          </tx>
          <spPr>
            <a:ln xmlns:a="http://schemas.openxmlformats.org/drawingml/2006/main" w="22000">
              <a:solidFill>
                <a:srgbClr val="64748B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64748B"/>
              </a:solidFill>
              <a:ln xmlns:a="http://schemas.openxmlformats.org/drawingml/2006/main">
                <a:solidFill>
                  <a:srgbClr val="64748B"/>
                </a:solidFill>
                <a:prstDash val="solid"/>
              </a:ln>
            </spPr>
          </marker>
          <cat>
            <numRef>
              <f>'推移データ'!$A$180:$A$192</f>
            </numRef>
          </cat>
          <val>
            <numRef>
              <f>'推移データ'!$H$180:$H$192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週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.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/Relationships>
</file>

<file path=xl/drawings/drawing1.xml><?xml version="1.0" encoding="utf-8"?>
<wsDr xmlns="http://schemas.openxmlformats.org/drawingml/2006/spreadsheetDrawing">
  <oneCellAnchor>
    <from>
      <col>0</col>
      <colOff>0</colOff>
      <row>2</row>
      <rowOff>0</rowOff>
    </from>
    <ext cx="55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2</row>
      <rowOff>0</rowOff>
    </from>
    <ext cx="55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19</row>
      <rowOff>0</rowOff>
    </from>
    <ext cx="558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19</row>
      <rowOff>0</rowOff>
    </from>
    <ext cx="558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36</row>
      <rowOff>0</rowOff>
    </from>
    <ext cx="558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36</row>
      <rowOff>0</rowOff>
    </from>
    <ext cx="558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53</row>
      <rowOff>0</rowOff>
    </from>
    <ext cx="5580000" cy="288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11</col>
      <colOff>0</colOff>
      <row>53</row>
      <rowOff>0</rowOff>
    </from>
    <ext cx="5580000" cy="288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70</row>
      <rowOff>0</rowOff>
    </from>
    <ext cx="5580000" cy="288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11</col>
      <colOff>0</colOff>
      <row>70</row>
      <rowOff>0</rowOff>
    </from>
    <ext cx="5580000" cy="288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87</row>
      <rowOff>0</rowOff>
    </from>
    <ext cx="5580000" cy="288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11</col>
      <colOff>0</colOff>
      <row>87</row>
      <rowOff>0</rowOff>
    </from>
    <ext cx="5580000" cy="288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5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6" customWidth="1" style="67" min="1" max="1"/>
    <col width="16" customWidth="1" style="67" min="2" max="4"/>
  </cols>
  <sheetData>
    <row r="1" ht="25.5" customHeight="1" s="68">
      <c r="A1" s="69" t="inlineStr">
        <is>
          <t>介護校 マーケティング　週次分析ダッシュボード</t>
        </is>
      </c>
      <c r="B1" s="70" t="n"/>
      <c r="C1" s="70" t="n"/>
      <c r="D1" s="70" t="n"/>
    </row>
    <row r="2" ht="15" customHeight="1" s="68">
      <c r="A2" s="71" t="inlineStr">
        <is>
          <t>実測ベース立て直し版　／　数値の出どこ：スプレッドシート管理（手入力）　／　毎週「週次データ」タブに貼って更新</t>
        </is>
      </c>
      <c r="B2" s="70" t="n"/>
      <c r="C2" s="70" t="n"/>
      <c r="D2" s="70" t="n"/>
    </row>
    <row r="4" ht="15" customHeight="1" s="68">
      <c r="A4" s="72" t="inlineStr">
        <is>
          <t>① 目標設定（ここを編集／黄色セルが前提）</t>
        </is>
      </c>
      <c r="B4" s="70" t="n"/>
      <c r="C4" s="70" t="n"/>
      <c r="D4" s="70" t="n"/>
    </row>
    <row r="5" ht="15" customHeight="1" s="68">
      <c r="A5" s="73" t="inlineStr">
        <is>
          <t>契約単価（FC取り分・円）</t>
        </is>
      </c>
      <c r="B5" s="74" t="n">
        <v>800000</v>
      </c>
      <c r="C5" s="75" t="inlineStr">
        <is>
          <t>←　1契約あたりの介護校売上</t>
        </is>
      </c>
      <c r="D5" s="70" t="n"/>
    </row>
    <row r="6" ht="15" customHeight="1" s="68">
      <c r="A6" s="73" t="inlineStr">
        <is>
          <t>許容CPA上限（円）</t>
        </is>
      </c>
      <c r="B6" s="74" t="n">
        <v>307000</v>
      </c>
      <c r="C6" s="75" t="inlineStr">
        <is>
          <t>←　1成約あたり広告費の上限ライン</t>
        </is>
      </c>
      <c r="D6" s="70" t="n"/>
    </row>
    <row r="7" ht="15" customHeight="1" s="68">
      <c r="A7" s="73" t="inlineStr">
        <is>
          <t>目標CPL（円）</t>
        </is>
      </c>
      <c r="B7" s="74" t="n">
        <v>3000</v>
      </c>
      <c r="C7" s="75" t="n"/>
      <c r="D7" s="70" t="n"/>
    </row>
    <row r="8" ht="15" customHeight="1" s="68">
      <c r="A8" s="73" t="inlineStr">
        <is>
          <t>目標 商談化率</t>
        </is>
      </c>
      <c r="B8" s="76" t="n">
        <v>0.08</v>
      </c>
      <c r="C8" s="75" t="inlineStr">
        <is>
          <t>←　第1段の目標（現状4%の2倍）</t>
        </is>
      </c>
      <c r="D8" s="70" t="n"/>
    </row>
    <row r="9" ht="15" customHeight="1" s="68">
      <c r="A9" s="73" t="inlineStr">
        <is>
          <t>目標 成約率</t>
        </is>
      </c>
      <c r="B9" s="76" t="n">
        <v>0.2</v>
      </c>
      <c r="C9" s="75" t="inlineStr">
        <is>
          <t>←　第1段の目標（現状12%→）</t>
        </is>
      </c>
      <c r="D9" s="70" t="n"/>
    </row>
    <row r="10" ht="15" customHeight="1" s="68">
      <c r="A10" s="73" t="inlineStr">
        <is>
          <t>目標 月予算（円）</t>
        </is>
      </c>
      <c r="B10" s="74" t="n">
        <v>1050000</v>
      </c>
      <c r="C10" s="75" t="inlineStr">
        <is>
          <t>←　現状75万から微増で運用</t>
        </is>
      </c>
      <c r="D10" s="70" t="n"/>
    </row>
    <row r="12" ht="15" customHeight="1" s="68">
      <c r="A12" s="72" t="inlineStr">
        <is>
          <t>② 現状（実測） vs 目標（第1段）</t>
        </is>
      </c>
      <c r="B12" s="70" t="n"/>
      <c r="C12" s="70" t="n"/>
      <c r="D12" s="70" t="n"/>
    </row>
    <row r="13" ht="19.5" customHeight="1" s="68">
      <c r="A13" s="77" t="inlineStr">
        <is>
          <t>指標</t>
        </is>
      </c>
      <c r="B13" s="77" t="inlineStr">
        <is>
          <t>現状（実測・月換算）</t>
        </is>
      </c>
      <c r="C13" s="77" t="inlineStr">
        <is>
          <t>目標（第1段）</t>
        </is>
      </c>
      <c r="D13" s="77" t="inlineStr">
        <is>
          <t>判定</t>
        </is>
      </c>
    </row>
    <row r="14" ht="15" customHeight="1" s="68">
      <c r="A14" s="73" t="inlineStr">
        <is>
          <t>広告費 / 月（円）</t>
        </is>
      </c>
      <c r="B14" s="78" t="n">
        <v>755563</v>
      </c>
      <c r="C14" s="79">
        <f>$B$10</f>
        <v/>
      </c>
    </row>
    <row r="15" ht="15" customHeight="1" s="68">
      <c r="A15" s="80" t="inlineStr">
        <is>
          <t>CV（リード）/ 月（件）</t>
        </is>
      </c>
      <c r="B15" s="81" t="n">
        <v>276</v>
      </c>
      <c r="C15" s="82">
        <f>$B$10/$B$7</f>
        <v/>
      </c>
    </row>
    <row r="16" ht="15" customHeight="1" s="68">
      <c r="A16" s="73" t="inlineStr">
        <is>
          <t>歩留まり（商談化率）</t>
        </is>
      </c>
      <c r="B16" s="83" t="n">
        <v>0.04</v>
      </c>
      <c r="C16" s="84">
        <f>$B$8</f>
        <v/>
      </c>
      <c r="D16" s="85">
        <f>IF(B16&gt;=C16,"◎ 達成",IF(B16&gt;=C16*0.75,"△ あと一歩","✗ 未達"))</f>
        <v/>
      </c>
    </row>
    <row r="17" ht="15" customHeight="1" s="68">
      <c r="A17" s="73" t="inlineStr">
        <is>
          <t>商談 / 月（件）</t>
        </is>
      </c>
      <c r="B17" s="86">
        <f>B15*B16</f>
        <v/>
      </c>
      <c r="C17" s="86">
        <f>C15*C16</f>
        <v/>
      </c>
    </row>
    <row r="18" ht="15" customHeight="1" s="68">
      <c r="A18" s="73" t="inlineStr">
        <is>
          <t>成約率</t>
        </is>
      </c>
      <c r="B18" s="83" t="n">
        <v>0.12</v>
      </c>
      <c r="C18" s="84">
        <f>$B$9</f>
        <v/>
      </c>
      <c r="D18" s="85">
        <f>IF(B18&gt;=C18,"◎ 達成",IF(B18&gt;=C18*0.75,"△ あと一歩","✗ 未達"))</f>
        <v/>
      </c>
    </row>
    <row r="19" ht="15" customHeight="1" s="68">
      <c r="A19" s="73" t="inlineStr">
        <is>
          <t>成約 / 月（件）</t>
        </is>
      </c>
      <c r="B19" s="87">
        <f>B17*B18</f>
        <v/>
      </c>
      <c r="C19" s="87">
        <f>C17*C18</f>
        <v/>
      </c>
      <c r="D19" s="85">
        <f>IF(B19&gt;=C19,"◎ 達成",IF(B19&gt;=C19*0.75,"△ あと一歩","✗ 未達"))</f>
        <v/>
      </c>
    </row>
    <row r="20" ht="15" customHeight="1" s="68">
      <c r="A20" s="88" t="inlineStr">
        <is>
          <t>CPL（円）</t>
        </is>
      </c>
      <c r="B20" s="79">
        <f>B14/B15</f>
        <v/>
      </c>
      <c r="C20" s="79">
        <f>$B$7</f>
        <v/>
      </c>
    </row>
    <row r="21" ht="15" customHeight="1" s="68">
      <c r="A21" s="88" t="inlineStr">
        <is>
          <t>1成約あたり広告費（円）</t>
        </is>
      </c>
      <c r="B21" s="79">
        <f>IFERROR(B14/B19,0)</f>
        <v/>
      </c>
      <c r="C21" s="79">
        <f>IFERROR(C14/C19,0)</f>
        <v/>
      </c>
      <c r="D21" s="89">
        <f>IF(B21&lt;=C21,"◎ 達成",IF(B21&lt;=C21*1.3,"△ あと一歩","✗ 未達"))</f>
        <v/>
      </c>
    </row>
    <row r="22" ht="15" customHeight="1" s="68">
      <c r="A22" s="88" t="inlineStr">
        <is>
          <t>FC売上 / 月（円）</t>
        </is>
      </c>
      <c r="B22" s="79">
        <f>B19*$B$5</f>
        <v/>
      </c>
      <c r="C22" s="79">
        <f>C19*$B$5</f>
        <v/>
      </c>
    </row>
    <row r="23" ht="15" customHeight="1" s="68">
      <c r="A23" s="73" t="inlineStr">
        <is>
          <t>年FC売上（円）</t>
        </is>
      </c>
      <c r="B23" s="79">
        <f>B22*12</f>
        <v/>
      </c>
      <c r="C23" s="79">
        <f>C22*12</f>
        <v/>
      </c>
      <c r="D23" s="85">
        <f>IF(B23&gt;=C23,"◎ 達成",IF(B23&gt;=C23*0.75,"△ あと一歩","✗ 未達"))</f>
        <v/>
      </c>
    </row>
    <row r="25" ht="43.5" customHeight="1" s="68">
      <c r="A25" s="90" t="inlineStr">
        <is>
          <t>※「現状」列の青字（広告費・リード・商談化率・成約率）は実測値。ここを毎月の実数に更新すると全体が再計算されます。判定は ◎達成／△あと一歩(目標の75%以上)／✗未達。1成約あたり広告費は許容CPA基準で判定。</t>
        </is>
      </c>
      <c r="B25" s="70" t="n"/>
      <c r="C25" s="70" t="n"/>
      <c r="D25" s="70" t="n"/>
    </row>
  </sheetData>
  <mergeCells count="11">
    <mergeCell ref="A1:D1"/>
    <mergeCell ref="C6:D6"/>
    <mergeCell ref="C10:D10"/>
    <mergeCell ref="C7:D7"/>
    <mergeCell ref="A12:D12"/>
    <mergeCell ref="A4:D4"/>
    <mergeCell ref="C5:D5"/>
    <mergeCell ref="A25:D25"/>
    <mergeCell ref="A2:D2"/>
    <mergeCell ref="C9:D9"/>
    <mergeCell ref="C8:D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style="68" min="1" max="1"/>
    <col width="10" customWidth="1" style="68" min="2" max="2"/>
    <col width="16" customWidth="1" style="68" min="3" max="3"/>
    <col width="11" customWidth="1" style="68" min="4" max="4"/>
    <col width="9" customWidth="1" style="68" min="5" max="5"/>
    <col width="9" customWidth="1" style="68" min="6" max="6"/>
    <col width="7" customWidth="1" style="68" min="7" max="7"/>
    <col width="7" customWidth="1" style="68" min="8" max="8"/>
    <col width="7" customWidth="1" style="68" min="9" max="9"/>
  </cols>
  <sheetData>
    <row r="1">
      <c r="A1" s="385" t="inlineStr">
        <is>
          <t>日次入力（毎日1行ずつ入力）</t>
        </is>
      </c>
      <c r="B1" s="162" t="n"/>
      <c r="C1" s="162" t="n"/>
      <c r="D1" s="162" t="n"/>
      <c r="E1" s="162" t="n"/>
      <c r="F1" s="162" t="n"/>
      <c r="G1" s="162" t="n"/>
      <c r="H1" s="162" t="n"/>
      <c r="I1" s="163" t="n"/>
    </row>
    <row r="2">
      <c r="A2" s="386" t="inlineStr">
        <is>
          <t>日付・媒体・キャンペーンを選び、その日の数字を入力。媒体別CPのW10以降に自動集計。商談・成約は実施日で記録。</t>
        </is>
      </c>
      <c r="B2" s="162" t="n"/>
      <c r="C2" s="162" t="n"/>
      <c r="D2" s="162" t="n"/>
      <c r="E2" s="162" t="n"/>
      <c r="F2" s="162" t="n"/>
      <c r="G2" s="162" t="n"/>
      <c r="H2" s="162" t="n"/>
      <c r="I2" s="163" t="n"/>
    </row>
    <row r="3" ht="22" customHeight="1" s="68">
      <c r="A3" s="387" t="inlineStr">
        <is>
          <t>日付</t>
        </is>
      </c>
      <c r="B3" s="387" t="inlineStr">
        <is>
          <t>媒体</t>
        </is>
      </c>
      <c r="C3" s="387" t="inlineStr">
        <is>
          <t>キャンペーン</t>
        </is>
      </c>
      <c r="D3" s="387" t="inlineStr">
        <is>
          <t>消費金額</t>
        </is>
      </c>
      <c r="E3" s="387" t="inlineStr">
        <is>
          <t>IMP</t>
        </is>
      </c>
      <c r="F3" s="387" t="inlineStr">
        <is>
          <t>クリック</t>
        </is>
      </c>
      <c r="G3" s="387" t="inlineStr">
        <is>
          <t>CV</t>
        </is>
      </c>
      <c r="H3" s="387" t="inlineStr">
        <is>
          <t>商談</t>
        </is>
      </c>
      <c r="I3" s="387" t="inlineStr">
        <is>
          <t>成約</t>
        </is>
      </c>
    </row>
    <row r="4">
      <c r="A4" s="244" t="n"/>
      <c r="B4" s="245" t="n"/>
      <c r="C4" s="245" t="n"/>
      <c r="D4" s="246" t="n"/>
      <c r="E4" s="247" t="n"/>
      <c r="F4" s="247" t="n"/>
      <c r="G4" s="247" t="n"/>
      <c r="H4" s="247" t="n"/>
      <c r="I4" s="247" t="n"/>
    </row>
    <row r="5">
      <c r="A5" s="244" t="n"/>
      <c r="B5" s="245" t="n"/>
      <c r="C5" s="245" t="n"/>
      <c r="D5" s="246" t="n"/>
      <c r="E5" s="247" t="n"/>
      <c r="F5" s="247" t="n"/>
      <c r="G5" s="247" t="n"/>
      <c r="H5" s="247" t="n"/>
      <c r="I5" s="247" t="n"/>
    </row>
    <row r="6">
      <c r="A6" s="244" t="n"/>
      <c r="B6" s="245" t="n"/>
      <c r="C6" s="245" t="n"/>
      <c r="D6" s="246" t="n"/>
      <c r="E6" s="247" t="n"/>
      <c r="F6" s="247" t="n"/>
      <c r="G6" s="247" t="n"/>
      <c r="H6" s="247" t="n"/>
      <c r="I6" s="247" t="n"/>
    </row>
    <row r="7">
      <c r="A7" s="244" t="n"/>
      <c r="B7" s="245" t="n"/>
      <c r="C7" s="245" t="n"/>
      <c r="D7" s="246" t="n"/>
      <c r="E7" s="247" t="n"/>
      <c r="F7" s="247" t="n"/>
      <c r="G7" s="247" t="n"/>
      <c r="H7" s="247" t="n"/>
      <c r="I7" s="247" t="n"/>
    </row>
    <row r="8">
      <c r="A8" s="244" t="n"/>
      <c r="B8" s="245" t="n"/>
      <c r="C8" s="245" t="n"/>
      <c r="D8" s="246" t="n"/>
      <c r="E8" s="247" t="n"/>
      <c r="F8" s="247" t="n"/>
      <c r="G8" s="247" t="n"/>
      <c r="H8" s="247" t="n"/>
      <c r="I8" s="247" t="n"/>
    </row>
    <row r="9">
      <c r="A9" s="244" t="n"/>
      <c r="B9" s="245" t="n"/>
      <c r="C9" s="245" t="n"/>
      <c r="D9" s="246" t="n"/>
      <c r="E9" s="247" t="n"/>
      <c r="F9" s="247" t="n"/>
      <c r="G9" s="247" t="n"/>
      <c r="H9" s="247" t="n"/>
      <c r="I9" s="247" t="n"/>
    </row>
    <row r="10">
      <c r="A10" s="244" t="n"/>
      <c r="B10" s="245" t="n"/>
      <c r="C10" s="245" t="n"/>
      <c r="D10" s="246" t="n"/>
      <c r="E10" s="247" t="n"/>
      <c r="F10" s="247" t="n"/>
      <c r="G10" s="247" t="n"/>
      <c r="H10" s="247" t="n"/>
      <c r="I10" s="247" t="n"/>
    </row>
    <row r="11">
      <c r="A11" s="244" t="n"/>
      <c r="B11" s="245" t="n"/>
      <c r="C11" s="245" t="n"/>
      <c r="D11" s="246" t="n"/>
      <c r="E11" s="247" t="n"/>
      <c r="F11" s="247" t="n"/>
      <c r="G11" s="247" t="n"/>
      <c r="H11" s="247" t="n"/>
      <c r="I11" s="247" t="n"/>
    </row>
    <row r="12">
      <c r="A12" s="244" t="n"/>
      <c r="B12" s="245" t="n"/>
      <c r="C12" s="245" t="n"/>
      <c r="D12" s="246" t="n"/>
      <c r="E12" s="247" t="n"/>
      <c r="F12" s="247" t="n"/>
      <c r="G12" s="247" t="n"/>
      <c r="H12" s="247" t="n"/>
      <c r="I12" s="247" t="n"/>
    </row>
    <row r="13">
      <c r="A13" s="244" t="n"/>
      <c r="B13" s="245" t="n"/>
      <c r="C13" s="245" t="n"/>
      <c r="D13" s="246" t="n"/>
      <c r="E13" s="247" t="n"/>
      <c r="F13" s="247" t="n"/>
      <c r="G13" s="247" t="n"/>
      <c r="H13" s="247" t="n"/>
      <c r="I13" s="247" t="n"/>
    </row>
    <row r="14">
      <c r="A14" s="244" t="n"/>
      <c r="B14" s="245" t="n"/>
      <c r="C14" s="245" t="n"/>
      <c r="D14" s="246" t="n"/>
      <c r="E14" s="247" t="n"/>
      <c r="F14" s="247" t="n"/>
      <c r="G14" s="247" t="n"/>
      <c r="H14" s="247" t="n"/>
      <c r="I14" s="247" t="n"/>
    </row>
    <row r="15">
      <c r="A15" s="244" t="n"/>
      <c r="B15" s="245" t="n"/>
      <c r="C15" s="245" t="n"/>
      <c r="D15" s="246" t="n"/>
      <c r="E15" s="247" t="n"/>
      <c r="F15" s="247" t="n"/>
      <c r="G15" s="247" t="n"/>
      <c r="H15" s="247" t="n"/>
      <c r="I15" s="247" t="n"/>
    </row>
    <row r="16">
      <c r="A16" s="244" t="n"/>
      <c r="B16" s="245" t="n"/>
      <c r="C16" s="245" t="n"/>
      <c r="D16" s="246" t="n"/>
      <c r="E16" s="247" t="n"/>
      <c r="F16" s="247" t="n"/>
      <c r="G16" s="247" t="n"/>
      <c r="H16" s="247" t="n"/>
      <c r="I16" s="247" t="n"/>
    </row>
    <row r="17">
      <c r="A17" s="244" t="n"/>
      <c r="B17" s="245" t="n"/>
      <c r="C17" s="245" t="n"/>
      <c r="D17" s="246" t="n"/>
      <c r="E17" s="247" t="n"/>
      <c r="F17" s="247" t="n"/>
      <c r="G17" s="247" t="n"/>
      <c r="H17" s="247" t="n"/>
      <c r="I17" s="247" t="n"/>
    </row>
    <row r="18">
      <c r="A18" s="244" t="n"/>
      <c r="B18" s="245" t="n"/>
      <c r="C18" s="245" t="n"/>
      <c r="D18" s="246" t="n"/>
      <c r="E18" s="247" t="n"/>
      <c r="F18" s="247" t="n"/>
      <c r="G18" s="247" t="n"/>
      <c r="H18" s="247" t="n"/>
      <c r="I18" s="247" t="n"/>
    </row>
    <row r="19">
      <c r="A19" s="244" t="n"/>
      <c r="B19" s="245" t="n"/>
      <c r="C19" s="245" t="n"/>
      <c r="D19" s="246" t="n"/>
      <c r="E19" s="247" t="n"/>
      <c r="F19" s="247" t="n"/>
      <c r="G19" s="247" t="n"/>
      <c r="H19" s="247" t="n"/>
      <c r="I19" s="247" t="n"/>
    </row>
    <row r="20">
      <c r="A20" s="244" t="n"/>
      <c r="B20" s="245" t="n"/>
      <c r="C20" s="245" t="n"/>
      <c r="D20" s="246" t="n"/>
      <c r="E20" s="247" t="n"/>
      <c r="F20" s="247" t="n"/>
      <c r="G20" s="247" t="n"/>
      <c r="H20" s="247" t="n"/>
      <c r="I20" s="247" t="n"/>
    </row>
    <row r="21">
      <c r="A21" s="244" t="n"/>
      <c r="B21" s="245" t="n"/>
      <c r="C21" s="245" t="n"/>
      <c r="D21" s="246" t="n"/>
      <c r="E21" s="247" t="n"/>
      <c r="F21" s="247" t="n"/>
      <c r="G21" s="247" t="n"/>
      <c r="H21" s="247" t="n"/>
      <c r="I21" s="247" t="n"/>
    </row>
    <row r="22">
      <c r="A22" s="244" t="n"/>
      <c r="B22" s="245" t="n"/>
      <c r="C22" s="245" t="n"/>
      <c r="D22" s="246" t="n"/>
      <c r="E22" s="247" t="n"/>
      <c r="F22" s="247" t="n"/>
      <c r="G22" s="247" t="n"/>
      <c r="H22" s="247" t="n"/>
      <c r="I22" s="247" t="n"/>
    </row>
    <row r="23">
      <c r="A23" s="244" t="n"/>
      <c r="B23" s="245" t="n"/>
      <c r="C23" s="245" t="n"/>
      <c r="D23" s="246" t="n"/>
      <c r="E23" s="247" t="n"/>
      <c r="F23" s="247" t="n"/>
      <c r="G23" s="247" t="n"/>
      <c r="H23" s="247" t="n"/>
      <c r="I23" s="247" t="n"/>
    </row>
    <row r="24">
      <c r="A24" s="244" t="n"/>
      <c r="B24" s="245" t="n"/>
      <c r="C24" s="245" t="n"/>
      <c r="D24" s="246" t="n"/>
      <c r="E24" s="247" t="n"/>
      <c r="F24" s="247" t="n"/>
      <c r="G24" s="247" t="n"/>
      <c r="H24" s="247" t="n"/>
      <c r="I24" s="247" t="n"/>
    </row>
    <row r="25">
      <c r="A25" s="244" t="n"/>
      <c r="B25" s="245" t="n"/>
      <c r="C25" s="245" t="n"/>
      <c r="D25" s="246" t="n"/>
      <c r="E25" s="247" t="n"/>
      <c r="F25" s="247" t="n"/>
      <c r="G25" s="247" t="n"/>
      <c r="H25" s="247" t="n"/>
      <c r="I25" s="247" t="n"/>
    </row>
    <row r="26">
      <c r="A26" s="244" t="n"/>
      <c r="B26" s="245" t="n"/>
      <c r="C26" s="245" t="n"/>
      <c r="D26" s="246" t="n"/>
      <c r="E26" s="247" t="n"/>
      <c r="F26" s="247" t="n"/>
      <c r="G26" s="247" t="n"/>
      <c r="H26" s="247" t="n"/>
      <c r="I26" s="247" t="n"/>
    </row>
    <row r="27">
      <c r="A27" s="244" t="n"/>
      <c r="B27" s="245" t="n"/>
      <c r="C27" s="245" t="n"/>
      <c r="D27" s="246" t="n"/>
      <c r="E27" s="247" t="n"/>
      <c r="F27" s="247" t="n"/>
      <c r="G27" s="247" t="n"/>
      <c r="H27" s="247" t="n"/>
      <c r="I27" s="247" t="n"/>
    </row>
    <row r="28">
      <c r="A28" s="244" t="n"/>
      <c r="B28" s="245" t="n"/>
      <c r="C28" s="245" t="n"/>
      <c r="D28" s="246" t="n"/>
      <c r="E28" s="247" t="n"/>
      <c r="F28" s="247" t="n"/>
      <c r="G28" s="247" t="n"/>
      <c r="H28" s="247" t="n"/>
      <c r="I28" s="247" t="n"/>
    </row>
    <row r="29">
      <c r="A29" s="244" t="n"/>
      <c r="B29" s="245" t="n"/>
      <c r="C29" s="245" t="n"/>
      <c r="D29" s="246" t="n"/>
      <c r="E29" s="247" t="n"/>
      <c r="F29" s="247" t="n"/>
      <c r="G29" s="247" t="n"/>
      <c r="H29" s="247" t="n"/>
      <c r="I29" s="247" t="n"/>
    </row>
    <row r="30">
      <c r="A30" s="244" t="n"/>
      <c r="B30" s="245" t="n"/>
      <c r="C30" s="245" t="n"/>
      <c r="D30" s="246" t="n"/>
      <c r="E30" s="247" t="n"/>
      <c r="F30" s="247" t="n"/>
      <c r="G30" s="247" t="n"/>
      <c r="H30" s="247" t="n"/>
      <c r="I30" s="247" t="n"/>
    </row>
    <row r="31">
      <c r="A31" s="244" t="n"/>
      <c r="B31" s="245" t="n"/>
      <c r="C31" s="245" t="n"/>
      <c r="D31" s="246" t="n"/>
      <c r="E31" s="247" t="n"/>
      <c r="F31" s="247" t="n"/>
      <c r="G31" s="247" t="n"/>
      <c r="H31" s="247" t="n"/>
      <c r="I31" s="247" t="n"/>
    </row>
    <row r="32">
      <c r="A32" s="244" t="n"/>
      <c r="B32" s="245" t="n"/>
      <c r="C32" s="245" t="n"/>
      <c r="D32" s="246" t="n"/>
      <c r="E32" s="247" t="n"/>
      <c r="F32" s="247" t="n"/>
      <c r="G32" s="247" t="n"/>
      <c r="H32" s="247" t="n"/>
      <c r="I32" s="247" t="n"/>
    </row>
    <row r="33">
      <c r="A33" s="244" t="n"/>
      <c r="B33" s="245" t="n"/>
      <c r="C33" s="245" t="n"/>
      <c r="D33" s="246" t="n"/>
      <c r="E33" s="247" t="n"/>
      <c r="F33" s="247" t="n"/>
      <c r="G33" s="247" t="n"/>
      <c r="H33" s="247" t="n"/>
      <c r="I33" s="247" t="n"/>
    </row>
    <row r="34">
      <c r="A34" s="244" t="n"/>
      <c r="B34" s="245" t="n"/>
      <c r="C34" s="245" t="n"/>
      <c r="D34" s="246" t="n"/>
      <c r="E34" s="247" t="n"/>
      <c r="F34" s="247" t="n"/>
      <c r="G34" s="247" t="n"/>
      <c r="H34" s="247" t="n"/>
      <c r="I34" s="247" t="n"/>
    </row>
    <row r="35">
      <c r="A35" s="244" t="n"/>
      <c r="B35" s="245" t="n"/>
      <c r="C35" s="245" t="n"/>
      <c r="D35" s="246" t="n"/>
      <c r="E35" s="247" t="n"/>
      <c r="F35" s="247" t="n"/>
      <c r="G35" s="247" t="n"/>
      <c r="H35" s="247" t="n"/>
      <c r="I35" s="247" t="n"/>
    </row>
    <row r="36">
      <c r="A36" s="244" t="n"/>
      <c r="B36" s="245" t="n"/>
      <c r="C36" s="245" t="n"/>
      <c r="D36" s="246" t="n"/>
      <c r="E36" s="247" t="n"/>
      <c r="F36" s="247" t="n"/>
      <c r="G36" s="247" t="n"/>
      <c r="H36" s="247" t="n"/>
      <c r="I36" s="247" t="n"/>
    </row>
    <row r="37">
      <c r="A37" s="244" t="n"/>
      <c r="B37" s="245" t="n"/>
      <c r="C37" s="245" t="n"/>
      <c r="D37" s="246" t="n"/>
      <c r="E37" s="247" t="n"/>
      <c r="F37" s="247" t="n"/>
      <c r="G37" s="247" t="n"/>
      <c r="H37" s="247" t="n"/>
      <c r="I37" s="247" t="n"/>
    </row>
    <row r="38">
      <c r="A38" s="244" t="n"/>
      <c r="B38" s="245" t="n"/>
      <c r="C38" s="245" t="n"/>
      <c r="D38" s="246" t="n"/>
      <c r="E38" s="247" t="n"/>
      <c r="F38" s="247" t="n"/>
      <c r="G38" s="247" t="n"/>
      <c r="H38" s="247" t="n"/>
      <c r="I38" s="247" t="n"/>
    </row>
    <row r="39">
      <c r="A39" s="244" t="n"/>
      <c r="B39" s="245" t="n"/>
      <c r="C39" s="245" t="n"/>
      <c r="D39" s="246" t="n"/>
      <c r="E39" s="247" t="n"/>
      <c r="F39" s="247" t="n"/>
      <c r="G39" s="247" t="n"/>
      <c r="H39" s="247" t="n"/>
      <c r="I39" s="247" t="n"/>
    </row>
    <row r="40">
      <c r="A40" s="244" t="n"/>
      <c r="B40" s="245" t="n"/>
      <c r="C40" s="245" t="n"/>
      <c r="D40" s="246" t="n"/>
      <c r="E40" s="247" t="n"/>
      <c r="F40" s="247" t="n"/>
      <c r="G40" s="247" t="n"/>
      <c r="H40" s="247" t="n"/>
      <c r="I40" s="247" t="n"/>
    </row>
    <row r="41">
      <c r="A41" s="244" t="n"/>
      <c r="B41" s="245" t="n"/>
      <c r="C41" s="245" t="n"/>
      <c r="D41" s="246" t="n"/>
      <c r="E41" s="247" t="n"/>
      <c r="F41" s="247" t="n"/>
      <c r="G41" s="247" t="n"/>
      <c r="H41" s="247" t="n"/>
      <c r="I41" s="247" t="n"/>
    </row>
    <row r="42">
      <c r="A42" s="244" t="n"/>
      <c r="B42" s="245" t="n"/>
      <c r="C42" s="245" t="n"/>
      <c r="D42" s="246" t="n"/>
      <c r="E42" s="247" t="n"/>
      <c r="F42" s="247" t="n"/>
      <c r="G42" s="247" t="n"/>
      <c r="H42" s="247" t="n"/>
      <c r="I42" s="247" t="n"/>
    </row>
    <row r="43">
      <c r="A43" s="244" t="n"/>
      <c r="B43" s="245" t="n"/>
      <c r="C43" s="245" t="n"/>
      <c r="D43" s="246" t="n"/>
      <c r="E43" s="247" t="n"/>
      <c r="F43" s="247" t="n"/>
      <c r="G43" s="247" t="n"/>
      <c r="H43" s="247" t="n"/>
      <c r="I43" s="247" t="n"/>
    </row>
    <row r="44">
      <c r="A44" s="244" t="n"/>
      <c r="B44" s="245" t="n"/>
      <c r="C44" s="245" t="n"/>
      <c r="D44" s="246" t="n"/>
      <c r="E44" s="247" t="n"/>
      <c r="F44" s="247" t="n"/>
      <c r="G44" s="247" t="n"/>
      <c r="H44" s="247" t="n"/>
      <c r="I44" s="247" t="n"/>
    </row>
    <row r="45">
      <c r="A45" s="244" t="n"/>
      <c r="B45" s="245" t="n"/>
      <c r="C45" s="245" t="n"/>
      <c r="D45" s="246" t="n"/>
      <c r="E45" s="247" t="n"/>
      <c r="F45" s="247" t="n"/>
      <c r="G45" s="247" t="n"/>
      <c r="H45" s="247" t="n"/>
      <c r="I45" s="247" t="n"/>
    </row>
    <row r="46">
      <c r="A46" s="244" t="n"/>
      <c r="B46" s="245" t="n"/>
      <c r="C46" s="245" t="n"/>
      <c r="D46" s="246" t="n"/>
      <c r="E46" s="247" t="n"/>
      <c r="F46" s="247" t="n"/>
      <c r="G46" s="247" t="n"/>
      <c r="H46" s="247" t="n"/>
      <c r="I46" s="247" t="n"/>
    </row>
    <row r="47">
      <c r="A47" s="244" t="n"/>
      <c r="B47" s="245" t="n"/>
      <c r="C47" s="245" t="n"/>
      <c r="D47" s="246" t="n"/>
      <c r="E47" s="247" t="n"/>
      <c r="F47" s="247" t="n"/>
      <c r="G47" s="247" t="n"/>
      <c r="H47" s="247" t="n"/>
      <c r="I47" s="247" t="n"/>
    </row>
    <row r="48">
      <c r="A48" s="244" t="n"/>
      <c r="B48" s="245" t="n"/>
      <c r="C48" s="245" t="n"/>
      <c r="D48" s="246" t="n"/>
      <c r="E48" s="247" t="n"/>
      <c r="F48" s="247" t="n"/>
      <c r="G48" s="247" t="n"/>
      <c r="H48" s="247" t="n"/>
      <c r="I48" s="247" t="n"/>
    </row>
    <row r="49">
      <c r="A49" s="244" t="n"/>
      <c r="B49" s="245" t="n"/>
      <c r="C49" s="245" t="n"/>
      <c r="D49" s="246" t="n"/>
      <c r="E49" s="247" t="n"/>
      <c r="F49" s="247" t="n"/>
      <c r="G49" s="247" t="n"/>
      <c r="H49" s="247" t="n"/>
      <c r="I49" s="247" t="n"/>
    </row>
    <row r="50">
      <c r="A50" s="244" t="n"/>
      <c r="B50" s="245" t="n"/>
      <c r="C50" s="245" t="n"/>
      <c r="D50" s="246" t="n"/>
      <c r="E50" s="247" t="n"/>
      <c r="F50" s="247" t="n"/>
      <c r="G50" s="247" t="n"/>
      <c r="H50" s="247" t="n"/>
      <c r="I50" s="247" t="n"/>
    </row>
    <row r="51">
      <c r="A51" s="244" t="n"/>
      <c r="B51" s="245" t="n"/>
      <c r="C51" s="245" t="n"/>
      <c r="D51" s="246" t="n"/>
      <c r="E51" s="247" t="n"/>
      <c r="F51" s="247" t="n"/>
      <c r="G51" s="247" t="n"/>
      <c r="H51" s="247" t="n"/>
      <c r="I51" s="247" t="n"/>
    </row>
    <row r="52">
      <c r="A52" s="244" t="n"/>
      <c r="B52" s="245" t="n"/>
      <c r="C52" s="245" t="n"/>
      <c r="D52" s="246" t="n"/>
      <c r="E52" s="247" t="n"/>
      <c r="F52" s="247" t="n"/>
      <c r="G52" s="247" t="n"/>
      <c r="H52" s="247" t="n"/>
      <c r="I52" s="247" t="n"/>
    </row>
    <row r="53">
      <c r="A53" s="244" t="n"/>
      <c r="B53" s="245" t="n"/>
      <c r="C53" s="245" t="n"/>
      <c r="D53" s="246" t="n"/>
      <c r="E53" s="247" t="n"/>
      <c r="F53" s="247" t="n"/>
      <c r="G53" s="247" t="n"/>
      <c r="H53" s="247" t="n"/>
      <c r="I53" s="247" t="n"/>
    </row>
    <row r="54">
      <c r="A54" s="244" t="n"/>
      <c r="B54" s="245" t="n"/>
      <c r="C54" s="245" t="n"/>
      <c r="D54" s="246" t="n"/>
      <c r="E54" s="247" t="n"/>
      <c r="F54" s="247" t="n"/>
      <c r="G54" s="247" t="n"/>
      <c r="H54" s="247" t="n"/>
      <c r="I54" s="247" t="n"/>
    </row>
    <row r="55">
      <c r="A55" s="244" t="n"/>
      <c r="B55" s="245" t="n"/>
      <c r="C55" s="245" t="n"/>
      <c r="D55" s="246" t="n"/>
      <c r="E55" s="247" t="n"/>
      <c r="F55" s="247" t="n"/>
      <c r="G55" s="247" t="n"/>
      <c r="H55" s="247" t="n"/>
      <c r="I55" s="247" t="n"/>
    </row>
    <row r="56">
      <c r="A56" s="244" t="n"/>
      <c r="B56" s="245" t="n"/>
      <c r="C56" s="245" t="n"/>
      <c r="D56" s="246" t="n"/>
      <c r="E56" s="247" t="n"/>
      <c r="F56" s="247" t="n"/>
      <c r="G56" s="247" t="n"/>
      <c r="H56" s="247" t="n"/>
      <c r="I56" s="247" t="n"/>
    </row>
    <row r="57">
      <c r="A57" s="244" t="n"/>
      <c r="B57" s="245" t="n"/>
      <c r="C57" s="245" t="n"/>
      <c r="D57" s="246" t="n"/>
      <c r="E57" s="247" t="n"/>
      <c r="F57" s="247" t="n"/>
      <c r="G57" s="247" t="n"/>
      <c r="H57" s="247" t="n"/>
      <c r="I57" s="247" t="n"/>
    </row>
    <row r="58">
      <c r="A58" s="244" t="n"/>
      <c r="B58" s="245" t="n"/>
      <c r="C58" s="245" t="n"/>
      <c r="D58" s="246" t="n"/>
      <c r="E58" s="247" t="n"/>
      <c r="F58" s="247" t="n"/>
      <c r="G58" s="247" t="n"/>
      <c r="H58" s="247" t="n"/>
      <c r="I58" s="247" t="n"/>
    </row>
    <row r="59">
      <c r="A59" s="244" t="n"/>
      <c r="B59" s="245" t="n"/>
      <c r="C59" s="245" t="n"/>
      <c r="D59" s="246" t="n"/>
      <c r="E59" s="247" t="n"/>
      <c r="F59" s="247" t="n"/>
      <c r="G59" s="247" t="n"/>
      <c r="H59" s="247" t="n"/>
      <c r="I59" s="247" t="n"/>
    </row>
    <row r="60">
      <c r="A60" s="244" t="n"/>
      <c r="B60" s="245" t="n"/>
      <c r="C60" s="245" t="n"/>
      <c r="D60" s="246" t="n"/>
      <c r="E60" s="247" t="n"/>
      <c r="F60" s="247" t="n"/>
      <c r="G60" s="247" t="n"/>
      <c r="H60" s="247" t="n"/>
      <c r="I60" s="247" t="n"/>
    </row>
    <row r="61">
      <c r="A61" s="244" t="n"/>
      <c r="B61" s="245" t="n"/>
      <c r="C61" s="245" t="n"/>
      <c r="D61" s="246" t="n"/>
      <c r="E61" s="247" t="n"/>
      <c r="F61" s="247" t="n"/>
      <c r="G61" s="247" t="n"/>
      <c r="H61" s="247" t="n"/>
      <c r="I61" s="247" t="n"/>
    </row>
    <row r="62">
      <c r="A62" s="244" t="n"/>
      <c r="B62" s="245" t="n"/>
      <c r="C62" s="245" t="n"/>
      <c r="D62" s="246" t="n"/>
      <c r="E62" s="247" t="n"/>
      <c r="F62" s="247" t="n"/>
      <c r="G62" s="247" t="n"/>
      <c r="H62" s="247" t="n"/>
      <c r="I62" s="247" t="n"/>
    </row>
    <row r="63">
      <c r="A63" s="244" t="n"/>
      <c r="B63" s="245" t="n"/>
      <c r="C63" s="245" t="n"/>
      <c r="D63" s="246" t="n"/>
      <c r="E63" s="247" t="n"/>
      <c r="F63" s="247" t="n"/>
      <c r="G63" s="247" t="n"/>
      <c r="H63" s="247" t="n"/>
      <c r="I63" s="247" t="n"/>
    </row>
    <row r="64">
      <c r="A64" s="244" t="n"/>
      <c r="B64" s="245" t="n"/>
      <c r="C64" s="245" t="n"/>
      <c r="D64" s="246" t="n"/>
      <c r="E64" s="247" t="n"/>
      <c r="F64" s="247" t="n"/>
      <c r="G64" s="247" t="n"/>
      <c r="H64" s="247" t="n"/>
      <c r="I64" s="247" t="n"/>
    </row>
    <row r="65">
      <c r="A65" s="244" t="n"/>
      <c r="B65" s="245" t="n"/>
      <c r="C65" s="245" t="n"/>
      <c r="D65" s="246" t="n"/>
      <c r="E65" s="247" t="n"/>
      <c r="F65" s="247" t="n"/>
      <c r="G65" s="247" t="n"/>
      <c r="H65" s="247" t="n"/>
      <c r="I65" s="247" t="n"/>
    </row>
    <row r="66">
      <c r="A66" s="244" t="n"/>
      <c r="B66" s="245" t="n"/>
      <c r="C66" s="245" t="n"/>
      <c r="D66" s="246" t="n"/>
      <c r="E66" s="247" t="n"/>
      <c r="F66" s="247" t="n"/>
      <c r="G66" s="247" t="n"/>
      <c r="H66" s="247" t="n"/>
      <c r="I66" s="247" t="n"/>
    </row>
    <row r="67">
      <c r="A67" s="244" t="n"/>
      <c r="B67" s="245" t="n"/>
      <c r="C67" s="245" t="n"/>
      <c r="D67" s="246" t="n"/>
      <c r="E67" s="247" t="n"/>
      <c r="F67" s="247" t="n"/>
      <c r="G67" s="247" t="n"/>
      <c r="H67" s="247" t="n"/>
      <c r="I67" s="247" t="n"/>
    </row>
    <row r="68">
      <c r="A68" s="244" t="n"/>
      <c r="B68" s="245" t="n"/>
      <c r="C68" s="245" t="n"/>
      <c r="D68" s="246" t="n"/>
      <c r="E68" s="247" t="n"/>
      <c r="F68" s="247" t="n"/>
      <c r="G68" s="247" t="n"/>
      <c r="H68" s="247" t="n"/>
      <c r="I68" s="247" t="n"/>
    </row>
    <row r="69">
      <c r="A69" s="244" t="n"/>
      <c r="B69" s="245" t="n"/>
      <c r="C69" s="245" t="n"/>
      <c r="D69" s="246" t="n"/>
      <c r="E69" s="247" t="n"/>
      <c r="F69" s="247" t="n"/>
      <c r="G69" s="247" t="n"/>
      <c r="H69" s="247" t="n"/>
      <c r="I69" s="247" t="n"/>
    </row>
    <row r="70">
      <c r="A70" s="244" t="n"/>
      <c r="B70" s="245" t="n"/>
      <c r="C70" s="245" t="n"/>
      <c r="D70" s="246" t="n"/>
      <c r="E70" s="247" t="n"/>
      <c r="F70" s="247" t="n"/>
      <c r="G70" s="247" t="n"/>
      <c r="H70" s="247" t="n"/>
      <c r="I70" s="247" t="n"/>
    </row>
    <row r="71">
      <c r="A71" s="244" t="n"/>
      <c r="B71" s="245" t="n"/>
      <c r="C71" s="245" t="n"/>
      <c r="D71" s="246" t="n"/>
      <c r="E71" s="247" t="n"/>
      <c r="F71" s="247" t="n"/>
      <c r="G71" s="247" t="n"/>
      <c r="H71" s="247" t="n"/>
      <c r="I71" s="247" t="n"/>
    </row>
    <row r="72">
      <c r="A72" s="244" t="n"/>
      <c r="B72" s="245" t="n"/>
      <c r="C72" s="245" t="n"/>
      <c r="D72" s="246" t="n"/>
      <c r="E72" s="247" t="n"/>
      <c r="F72" s="247" t="n"/>
      <c r="G72" s="247" t="n"/>
      <c r="H72" s="247" t="n"/>
      <c r="I72" s="247" t="n"/>
    </row>
    <row r="73">
      <c r="A73" s="244" t="n"/>
      <c r="B73" s="245" t="n"/>
      <c r="C73" s="245" t="n"/>
      <c r="D73" s="246" t="n"/>
      <c r="E73" s="247" t="n"/>
      <c r="F73" s="247" t="n"/>
      <c r="G73" s="247" t="n"/>
      <c r="H73" s="247" t="n"/>
      <c r="I73" s="247" t="n"/>
    </row>
    <row r="74">
      <c r="A74" s="244" t="n"/>
      <c r="B74" s="245" t="n"/>
      <c r="C74" s="245" t="n"/>
      <c r="D74" s="246" t="n"/>
      <c r="E74" s="247" t="n"/>
      <c r="F74" s="247" t="n"/>
      <c r="G74" s="247" t="n"/>
      <c r="H74" s="247" t="n"/>
      <c r="I74" s="247" t="n"/>
    </row>
    <row r="75">
      <c r="A75" s="244" t="n"/>
      <c r="B75" s="245" t="n"/>
      <c r="C75" s="245" t="n"/>
      <c r="D75" s="246" t="n"/>
      <c r="E75" s="247" t="n"/>
      <c r="F75" s="247" t="n"/>
      <c r="G75" s="247" t="n"/>
      <c r="H75" s="247" t="n"/>
      <c r="I75" s="247" t="n"/>
    </row>
    <row r="76">
      <c r="A76" s="244" t="n"/>
      <c r="B76" s="245" t="n"/>
      <c r="C76" s="245" t="n"/>
      <c r="D76" s="246" t="n"/>
      <c r="E76" s="247" t="n"/>
      <c r="F76" s="247" t="n"/>
      <c r="G76" s="247" t="n"/>
      <c r="H76" s="247" t="n"/>
      <c r="I76" s="247" t="n"/>
    </row>
    <row r="77">
      <c r="A77" s="244" t="n"/>
      <c r="B77" s="245" t="n"/>
      <c r="C77" s="245" t="n"/>
      <c r="D77" s="246" t="n"/>
      <c r="E77" s="247" t="n"/>
      <c r="F77" s="247" t="n"/>
      <c r="G77" s="247" t="n"/>
      <c r="H77" s="247" t="n"/>
      <c r="I77" s="247" t="n"/>
    </row>
    <row r="78">
      <c r="A78" s="244" t="n"/>
      <c r="B78" s="245" t="n"/>
      <c r="C78" s="245" t="n"/>
      <c r="D78" s="246" t="n"/>
      <c r="E78" s="247" t="n"/>
      <c r="F78" s="247" t="n"/>
      <c r="G78" s="247" t="n"/>
      <c r="H78" s="247" t="n"/>
      <c r="I78" s="247" t="n"/>
    </row>
    <row r="79">
      <c r="A79" s="244" t="n"/>
      <c r="B79" s="245" t="n"/>
      <c r="C79" s="245" t="n"/>
      <c r="D79" s="246" t="n"/>
      <c r="E79" s="247" t="n"/>
      <c r="F79" s="247" t="n"/>
      <c r="G79" s="247" t="n"/>
      <c r="H79" s="247" t="n"/>
      <c r="I79" s="247" t="n"/>
    </row>
    <row r="80">
      <c r="A80" s="244" t="n"/>
      <c r="B80" s="245" t="n"/>
      <c r="C80" s="245" t="n"/>
      <c r="D80" s="246" t="n"/>
      <c r="E80" s="247" t="n"/>
      <c r="F80" s="247" t="n"/>
      <c r="G80" s="247" t="n"/>
      <c r="H80" s="247" t="n"/>
      <c r="I80" s="247" t="n"/>
    </row>
    <row r="81">
      <c r="A81" s="244" t="n"/>
      <c r="B81" s="245" t="n"/>
      <c r="C81" s="245" t="n"/>
      <c r="D81" s="246" t="n"/>
      <c r="E81" s="247" t="n"/>
      <c r="F81" s="247" t="n"/>
      <c r="G81" s="247" t="n"/>
      <c r="H81" s="247" t="n"/>
      <c r="I81" s="247" t="n"/>
    </row>
    <row r="82">
      <c r="A82" s="244" t="n"/>
      <c r="B82" s="245" t="n"/>
      <c r="C82" s="245" t="n"/>
      <c r="D82" s="246" t="n"/>
      <c r="E82" s="247" t="n"/>
      <c r="F82" s="247" t="n"/>
      <c r="G82" s="247" t="n"/>
      <c r="H82" s="247" t="n"/>
      <c r="I82" s="247" t="n"/>
    </row>
    <row r="83">
      <c r="A83" s="244" t="n"/>
      <c r="B83" s="245" t="n"/>
      <c r="C83" s="245" t="n"/>
      <c r="D83" s="246" t="n"/>
      <c r="E83" s="247" t="n"/>
      <c r="F83" s="247" t="n"/>
      <c r="G83" s="247" t="n"/>
      <c r="H83" s="247" t="n"/>
      <c r="I83" s="247" t="n"/>
    </row>
    <row r="84">
      <c r="A84" s="244" t="n"/>
      <c r="B84" s="245" t="n"/>
      <c r="C84" s="245" t="n"/>
      <c r="D84" s="246" t="n"/>
      <c r="E84" s="247" t="n"/>
      <c r="F84" s="247" t="n"/>
      <c r="G84" s="247" t="n"/>
      <c r="H84" s="247" t="n"/>
      <c r="I84" s="247" t="n"/>
    </row>
    <row r="85">
      <c r="A85" s="244" t="n"/>
      <c r="B85" s="245" t="n"/>
      <c r="C85" s="245" t="n"/>
      <c r="D85" s="246" t="n"/>
      <c r="E85" s="247" t="n"/>
      <c r="F85" s="247" t="n"/>
      <c r="G85" s="247" t="n"/>
      <c r="H85" s="247" t="n"/>
      <c r="I85" s="247" t="n"/>
    </row>
    <row r="86">
      <c r="A86" s="244" t="n"/>
      <c r="B86" s="245" t="n"/>
      <c r="C86" s="245" t="n"/>
      <c r="D86" s="246" t="n"/>
      <c r="E86" s="247" t="n"/>
      <c r="F86" s="247" t="n"/>
      <c r="G86" s="247" t="n"/>
      <c r="H86" s="247" t="n"/>
      <c r="I86" s="247" t="n"/>
    </row>
    <row r="87">
      <c r="A87" s="244" t="n"/>
      <c r="B87" s="245" t="n"/>
      <c r="C87" s="245" t="n"/>
      <c r="D87" s="246" t="n"/>
      <c r="E87" s="247" t="n"/>
      <c r="F87" s="247" t="n"/>
      <c r="G87" s="247" t="n"/>
      <c r="H87" s="247" t="n"/>
      <c r="I87" s="247" t="n"/>
    </row>
    <row r="88">
      <c r="A88" s="244" t="n"/>
      <c r="B88" s="245" t="n"/>
      <c r="C88" s="245" t="n"/>
      <c r="D88" s="246" t="n"/>
      <c r="E88" s="247" t="n"/>
      <c r="F88" s="247" t="n"/>
      <c r="G88" s="247" t="n"/>
      <c r="H88" s="247" t="n"/>
      <c r="I88" s="247" t="n"/>
    </row>
    <row r="89">
      <c r="A89" s="244" t="n"/>
      <c r="B89" s="245" t="n"/>
      <c r="C89" s="245" t="n"/>
      <c r="D89" s="246" t="n"/>
      <c r="E89" s="247" t="n"/>
      <c r="F89" s="247" t="n"/>
      <c r="G89" s="247" t="n"/>
      <c r="H89" s="247" t="n"/>
      <c r="I89" s="247" t="n"/>
    </row>
    <row r="90">
      <c r="A90" s="244" t="n"/>
      <c r="B90" s="245" t="n"/>
      <c r="C90" s="245" t="n"/>
      <c r="D90" s="246" t="n"/>
      <c r="E90" s="247" t="n"/>
      <c r="F90" s="247" t="n"/>
      <c r="G90" s="247" t="n"/>
      <c r="H90" s="247" t="n"/>
      <c r="I90" s="247" t="n"/>
    </row>
    <row r="91">
      <c r="A91" s="244" t="n"/>
      <c r="B91" s="245" t="n"/>
      <c r="C91" s="245" t="n"/>
      <c r="D91" s="246" t="n"/>
      <c r="E91" s="247" t="n"/>
      <c r="F91" s="247" t="n"/>
      <c r="G91" s="247" t="n"/>
      <c r="H91" s="247" t="n"/>
      <c r="I91" s="247" t="n"/>
    </row>
    <row r="92">
      <c r="A92" s="244" t="n"/>
      <c r="B92" s="245" t="n"/>
      <c r="C92" s="245" t="n"/>
      <c r="D92" s="246" t="n"/>
      <c r="E92" s="247" t="n"/>
      <c r="F92" s="247" t="n"/>
      <c r="G92" s="247" t="n"/>
      <c r="H92" s="247" t="n"/>
      <c r="I92" s="247" t="n"/>
    </row>
    <row r="93">
      <c r="A93" s="244" t="n"/>
      <c r="B93" s="245" t="n"/>
      <c r="C93" s="245" t="n"/>
      <c r="D93" s="246" t="n"/>
      <c r="E93" s="247" t="n"/>
      <c r="F93" s="247" t="n"/>
      <c r="G93" s="247" t="n"/>
      <c r="H93" s="247" t="n"/>
      <c r="I93" s="247" t="n"/>
    </row>
    <row r="94">
      <c r="A94" s="244" t="n"/>
      <c r="B94" s="245" t="n"/>
      <c r="C94" s="245" t="n"/>
      <c r="D94" s="246" t="n"/>
      <c r="E94" s="247" t="n"/>
      <c r="F94" s="247" t="n"/>
      <c r="G94" s="247" t="n"/>
      <c r="H94" s="247" t="n"/>
      <c r="I94" s="247" t="n"/>
    </row>
    <row r="95">
      <c r="A95" s="244" t="n"/>
      <c r="B95" s="245" t="n"/>
      <c r="C95" s="245" t="n"/>
      <c r="D95" s="246" t="n"/>
      <c r="E95" s="247" t="n"/>
      <c r="F95" s="247" t="n"/>
      <c r="G95" s="247" t="n"/>
      <c r="H95" s="247" t="n"/>
      <c r="I95" s="247" t="n"/>
    </row>
    <row r="96">
      <c r="A96" s="244" t="n"/>
      <c r="B96" s="245" t="n"/>
      <c r="C96" s="245" t="n"/>
      <c r="D96" s="246" t="n"/>
      <c r="E96" s="247" t="n"/>
      <c r="F96" s="247" t="n"/>
      <c r="G96" s="247" t="n"/>
      <c r="H96" s="247" t="n"/>
      <c r="I96" s="247" t="n"/>
    </row>
    <row r="97">
      <c r="A97" s="244" t="n"/>
      <c r="B97" s="245" t="n"/>
      <c r="C97" s="245" t="n"/>
      <c r="D97" s="246" t="n"/>
      <c r="E97" s="247" t="n"/>
      <c r="F97" s="247" t="n"/>
      <c r="G97" s="247" t="n"/>
      <c r="H97" s="247" t="n"/>
      <c r="I97" s="247" t="n"/>
    </row>
    <row r="98">
      <c r="A98" s="244" t="n"/>
      <c r="B98" s="245" t="n"/>
      <c r="C98" s="245" t="n"/>
      <c r="D98" s="246" t="n"/>
      <c r="E98" s="247" t="n"/>
      <c r="F98" s="247" t="n"/>
      <c r="G98" s="247" t="n"/>
      <c r="H98" s="247" t="n"/>
      <c r="I98" s="247" t="n"/>
    </row>
    <row r="99">
      <c r="A99" s="244" t="n"/>
      <c r="B99" s="245" t="n"/>
      <c r="C99" s="245" t="n"/>
      <c r="D99" s="246" t="n"/>
      <c r="E99" s="247" t="n"/>
      <c r="F99" s="247" t="n"/>
      <c r="G99" s="247" t="n"/>
      <c r="H99" s="247" t="n"/>
      <c r="I99" s="247" t="n"/>
    </row>
    <row r="100">
      <c r="A100" s="244" t="n"/>
      <c r="B100" s="245" t="n"/>
      <c r="C100" s="245" t="n"/>
      <c r="D100" s="246" t="n"/>
      <c r="E100" s="247" t="n"/>
      <c r="F100" s="247" t="n"/>
      <c r="G100" s="247" t="n"/>
      <c r="H100" s="247" t="n"/>
      <c r="I100" s="247" t="n"/>
    </row>
    <row r="101">
      <c r="A101" s="244" t="n"/>
      <c r="B101" s="245" t="n"/>
      <c r="C101" s="245" t="n"/>
      <c r="D101" s="246" t="n"/>
      <c r="E101" s="247" t="n"/>
      <c r="F101" s="247" t="n"/>
      <c r="G101" s="247" t="n"/>
      <c r="H101" s="247" t="n"/>
      <c r="I101" s="247" t="n"/>
    </row>
    <row r="102">
      <c r="A102" s="244" t="n"/>
      <c r="B102" s="245" t="n"/>
      <c r="C102" s="245" t="n"/>
      <c r="D102" s="246" t="n"/>
      <c r="E102" s="247" t="n"/>
      <c r="F102" s="247" t="n"/>
      <c r="G102" s="247" t="n"/>
      <c r="H102" s="247" t="n"/>
      <c r="I102" s="247" t="n"/>
    </row>
    <row r="103">
      <c r="A103" s="244" t="n"/>
      <c r="B103" s="245" t="n"/>
      <c r="C103" s="245" t="n"/>
      <c r="D103" s="246" t="n"/>
      <c r="E103" s="247" t="n"/>
      <c r="F103" s="247" t="n"/>
      <c r="G103" s="247" t="n"/>
      <c r="H103" s="247" t="n"/>
      <c r="I103" s="247" t="n"/>
    </row>
    <row r="104">
      <c r="A104" s="244" t="n"/>
      <c r="B104" s="245" t="n"/>
      <c r="C104" s="245" t="n"/>
      <c r="D104" s="246" t="n"/>
      <c r="E104" s="247" t="n"/>
      <c r="F104" s="247" t="n"/>
      <c r="G104" s="247" t="n"/>
      <c r="H104" s="247" t="n"/>
      <c r="I104" s="247" t="n"/>
    </row>
    <row r="105">
      <c r="A105" s="244" t="n"/>
      <c r="B105" s="245" t="n"/>
      <c r="C105" s="245" t="n"/>
      <c r="D105" s="246" t="n"/>
      <c r="E105" s="247" t="n"/>
      <c r="F105" s="247" t="n"/>
      <c r="G105" s="247" t="n"/>
      <c r="H105" s="247" t="n"/>
      <c r="I105" s="247" t="n"/>
    </row>
    <row r="106">
      <c r="A106" s="244" t="n"/>
      <c r="B106" s="245" t="n"/>
      <c r="C106" s="245" t="n"/>
      <c r="D106" s="246" t="n"/>
      <c r="E106" s="247" t="n"/>
      <c r="F106" s="247" t="n"/>
      <c r="G106" s="247" t="n"/>
      <c r="H106" s="247" t="n"/>
      <c r="I106" s="247" t="n"/>
    </row>
    <row r="107">
      <c r="A107" s="244" t="n"/>
      <c r="B107" s="245" t="n"/>
      <c r="C107" s="245" t="n"/>
      <c r="D107" s="246" t="n"/>
      <c r="E107" s="247" t="n"/>
      <c r="F107" s="247" t="n"/>
      <c r="G107" s="247" t="n"/>
      <c r="H107" s="247" t="n"/>
      <c r="I107" s="247" t="n"/>
    </row>
    <row r="108">
      <c r="A108" s="244" t="n"/>
      <c r="B108" s="245" t="n"/>
      <c r="C108" s="245" t="n"/>
      <c r="D108" s="246" t="n"/>
      <c r="E108" s="247" t="n"/>
      <c r="F108" s="247" t="n"/>
      <c r="G108" s="247" t="n"/>
      <c r="H108" s="247" t="n"/>
      <c r="I108" s="247" t="n"/>
    </row>
    <row r="109">
      <c r="A109" s="244" t="n"/>
      <c r="B109" s="245" t="n"/>
      <c r="C109" s="245" t="n"/>
      <c r="D109" s="246" t="n"/>
      <c r="E109" s="247" t="n"/>
      <c r="F109" s="247" t="n"/>
      <c r="G109" s="247" t="n"/>
      <c r="H109" s="247" t="n"/>
      <c r="I109" s="247" t="n"/>
    </row>
    <row r="110">
      <c r="A110" s="244" t="n"/>
      <c r="B110" s="245" t="n"/>
      <c r="C110" s="245" t="n"/>
      <c r="D110" s="246" t="n"/>
      <c r="E110" s="247" t="n"/>
      <c r="F110" s="247" t="n"/>
      <c r="G110" s="247" t="n"/>
      <c r="H110" s="247" t="n"/>
      <c r="I110" s="247" t="n"/>
    </row>
    <row r="111">
      <c r="A111" s="244" t="n"/>
      <c r="B111" s="245" t="n"/>
      <c r="C111" s="245" t="n"/>
      <c r="D111" s="246" t="n"/>
      <c r="E111" s="247" t="n"/>
      <c r="F111" s="247" t="n"/>
      <c r="G111" s="247" t="n"/>
      <c r="H111" s="247" t="n"/>
      <c r="I111" s="247" t="n"/>
    </row>
    <row r="112">
      <c r="A112" s="244" t="n"/>
      <c r="B112" s="245" t="n"/>
      <c r="C112" s="245" t="n"/>
      <c r="D112" s="246" t="n"/>
      <c r="E112" s="247" t="n"/>
      <c r="F112" s="247" t="n"/>
      <c r="G112" s="247" t="n"/>
      <c r="H112" s="247" t="n"/>
      <c r="I112" s="247" t="n"/>
    </row>
    <row r="113">
      <c r="A113" s="244" t="n"/>
      <c r="B113" s="245" t="n"/>
      <c r="C113" s="245" t="n"/>
      <c r="D113" s="246" t="n"/>
      <c r="E113" s="247" t="n"/>
      <c r="F113" s="247" t="n"/>
      <c r="G113" s="247" t="n"/>
      <c r="H113" s="247" t="n"/>
      <c r="I113" s="247" t="n"/>
    </row>
    <row r="114">
      <c r="A114" s="244" t="n"/>
      <c r="B114" s="245" t="n"/>
      <c r="C114" s="245" t="n"/>
      <c r="D114" s="246" t="n"/>
      <c r="E114" s="247" t="n"/>
      <c r="F114" s="247" t="n"/>
      <c r="G114" s="247" t="n"/>
      <c r="H114" s="247" t="n"/>
      <c r="I114" s="247" t="n"/>
    </row>
    <row r="115">
      <c r="A115" s="244" t="n"/>
      <c r="B115" s="245" t="n"/>
      <c r="C115" s="245" t="n"/>
      <c r="D115" s="246" t="n"/>
      <c r="E115" s="247" t="n"/>
      <c r="F115" s="247" t="n"/>
      <c r="G115" s="247" t="n"/>
      <c r="H115" s="247" t="n"/>
      <c r="I115" s="247" t="n"/>
    </row>
    <row r="116">
      <c r="A116" s="244" t="n"/>
      <c r="B116" s="245" t="n"/>
      <c r="C116" s="245" t="n"/>
      <c r="D116" s="246" t="n"/>
      <c r="E116" s="247" t="n"/>
      <c r="F116" s="247" t="n"/>
      <c r="G116" s="247" t="n"/>
      <c r="H116" s="247" t="n"/>
      <c r="I116" s="247" t="n"/>
    </row>
    <row r="117">
      <c r="A117" s="244" t="n"/>
      <c r="B117" s="245" t="n"/>
      <c r="C117" s="245" t="n"/>
      <c r="D117" s="246" t="n"/>
      <c r="E117" s="247" t="n"/>
      <c r="F117" s="247" t="n"/>
      <c r="G117" s="247" t="n"/>
      <c r="H117" s="247" t="n"/>
      <c r="I117" s="247" t="n"/>
    </row>
    <row r="118">
      <c r="A118" s="244" t="n"/>
      <c r="B118" s="245" t="n"/>
      <c r="C118" s="245" t="n"/>
      <c r="D118" s="246" t="n"/>
      <c r="E118" s="247" t="n"/>
      <c r="F118" s="247" t="n"/>
      <c r="G118" s="247" t="n"/>
      <c r="H118" s="247" t="n"/>
      <c r="I118" s="247" t="n"/>
    </row>
    <row r="119">
      <c r="A119" s="244" t="n"/>
      <c r="B119" s="245" t="n"/>
      <c r="C119" s="245" t="n"/>
      <c r="D119" s="246" t="n"/>
      <c r="E119" s="247" t="n"/>
      <c r="F119" s="247" t="n"/>
      <c r="G119" s="247" t="n"/>
      <c r="H119" s="247" t="n"/>
      <c r="I119" s="247" t="n"/>
    </row>
    <row r="120">
      <c r="A120" s="244" t="n"/>
      <c r="B120" s="245" t="n"/>
      <c r="C120" s="245" t="n"/>
      <c r="D120" s="246" t="n"/>
      <c r="E120" s="247" t="n"/>
      <c r="F120" s="247" t="n"/>
      <c r="G120" s="247" t="n"/>
      <c r="H120" s="247" t="n"/>
      <c r="I120" s="247" t="n"/>
    </row>
    <row r="121">
      <c r="A121" s="244" t="n"/>
      <c r="B121" s="245" t="n"/>
      <c r="C121" s="245" t="n"/>
      <c r="D121" s="246" t="n"/>
      <c r="E121" s="247" t="n"/>
      <c r="F121" s="247" t="n"/>
      <c r="G121" s="247" t="n"/>
      <c r="H121" s="247" t="n"/>
      <c r="I121" s="247" t="n"/>
    </row>
    <row r="122">
      <c r="A122" s="244" t="n"/>
      <c r="B122" s="245" t="n"/>
      <c r="C122" s="245" t="n"/>
      <c r="D122" s="246" t="n"/>
      <c r="E122" s="247" t="n"/>
      <c r="F122" s="247" t="n"/>
      <c r="G122" s="247" t="n"/>
      <c r="H122" s="247" t="n"/>
      <c r="I122" s="247" t="n"/>
    </row>
    <row r="123">
      <c r="A123" s="244" t="n"/>
      <c r="B123" s="245" t="n"/>
      <c r="C123" s="245" t="n"/>
      <c r="D123" s="246" t="n"/>
      <c r="E123" s="247" t="n"/>
      <c r="F123" s="247" t="n"/>
      <c r="G123" s="247" t="n"/>
      <c r="H123" s="247" t="n"/>
      <c r="I123" s="247" t="n"/>
    </row>
    <row r="124">
      <c r="A124" s="244" t="n"/>
      <c r="B124" s="245" t="n"/>
      <c r="C124" s="245" t="n"/>
      <c r="D124" s="246" t="n"/>
      <c r="E124" s="247" t="n"/>
      <c r="F124" s="247" t="n"/>
      <c r="G124" s="247" t="n"/>
      <c r="H124" s="247" t="n"/>
      <c r="I124" s="247" t="n"/>
    </row>
    <row r="125">
      <c r="A125" s="244" t="n"/>
      <c r="B125" s="245" t="n"/>
      <c r="C125" s="245" t="n"/>
      <c r="D125" s="246" t="n"/>
      <c r="E125" s="247" t="n"/>
      <c r="F125" s="247" t="n"/>
      <c r="G125" s="247" t="n"/>
      <c r="H125" s="247" t="n"/>
      <c r="I125" s="247" t="n"/>
    </row>
    <row r="126">
      <c r="A126" s="244" t="n"/>
      <c r="B126" s="245" t="n"/>
      <c r="C126" s="245" t="n"/>
      <c r="D126" s="246" t="n"/>
      <c r="E126" s="247" t="n"/>
      <c r="F126" s="247" t="n"/>
      <c r="G126" s="247" t="n"/>
      <c r="H126" s="247" t="n"/>
      <c r="I126" s="247" t="n"/>
    </row>
    <row r="127">
      <c r="A127" s="244" t="n"/>
      <c r="B127" s="245" t="n"/>
      <c r="C127" s="245" t="n"/>
      <c r="D127" s="246" t="n"/>
      <c r="E127" s="247" t="n"/>
      <c r="F127" s="247" t="n"/>
      <c r="G127" s="247" t="n"/>
      <c r="H127" s="247" t="n"/>
      <c r="I127" s="247" t="n"/>
    </row>
    <row r="128">
      <c r="A128" s="244" t="n"/>
      <c r="B128" s="245" t="n"/>
      <c r="C128" s="245" t="n"/>
      <c r="D128" s="246" t="n"/>
      <c r="E128" s="247" t="n"/>
      <c r="F128" s="247" t="n"/>
      <c r="G128" s="247" t="n"/>
      <c r="H128" s="247" t="n"/>
      <c r="I128" s="247" t="n"/>
    </row>
    <row r="129">
      <c r="A129" s="244" t="n"/>
      <c r="B129" s="245" t="n"/>
      <c r="C129" s="245" t="n"/>
      <c r="D129" s="246" t="n"/>
      <c r="E129" s="247" t="n"/>
      <c r="F129" s="247" t="n"/>
      <c r="G129" s="247" t="n"/>
      <c r="H129" s="247" t="n"/>
      <c r="I129" s="247" t="n"/>
    </row>
    <row r="130">
      <c r="A130" s="244" t="n"/>
      <c r="B130" s="245" t="n"/>
      <c r="C130" s="245" t="n"/>
      <c r="D130" s="246" t="n"/>
      <c r="E130" s="247" t="n"/>
      <c r="F130" s="247" t="n"/>
      <c r="G130" s="247" t="n"/>
      <c r="H130" s="247" t="n"/>
      <c r="I130" s="247" t="n"/>
    </row>
    <row r="131">
      <c r="A131" s="244" t="n"/>
      <c r="B131" s="245" t="n"/>
      <c r="C131" s="245" t="n"/>
      <c r="D131" s="246" t="n"/>
      <c r="E131" s="247" t="n"/>
      <c r="F131" s="247" t="n"/>
      <c r="G131" s="247" t="n"/>
      <c r="H131" s="247" t="n"/>
      <c r="I131" s="247" t="n"/>
    </row>
    <row r="132">
      <c r="A132" s="244" t="n"/>
      <c r="B132" s="245" t="n"/>
      <c r="C132" s="245" t="n"/>
      <c r="D132" s="246" t="n"/>
      <c r="E132" s="247" t="n"/>
      <c r="F132" s="247" t="n"/>
      <c r="G132" s="247" t="n"/>
      <c r="H132" s="247" t="n"/>
      <c r="I132" s="247" t="n"/>
    </row>
    <row r="133">
      <c r="A133" s="244" t="n"/>
      <c r="B133" s="245" t="n"/>
      <c r="C133" s="245" t="n"/>
      <c r="D133" s="246" t="n"/>
      <c r="E133" s="247" t="n"/>
      <c r="F133" s="247" t="n"/>
      <c r="G133" s="247" t="n"/>
      <c r="H133" s="247" t="n"/>
      <c r="I133" s="247" t="n"/>
    </row>
    <row r="134">
      <c r="A134" s="244" t="n"/>
      <c r="B134" s="245" t="n"/>
      <c r="C134" s="245" t="n"/>
      <c r="D134" s="246" t="n"/>
      <c r="E134" s="247" t="n"/>
      <c r="F134" s="247" t="n"/>
      <c r="G134" s="247" t="n"/>
      <c r="H134" s="247" t="n"/>
      <c r="I134" s="247" t="n"/>
    </row>
    <row r="135">
      <c r="A135" s="244" t="n"/>
      <c r="B135" s="245" t="n"/>
      <c r="C135" s="245" t="n"/>
      <c r="D135" s="246" t="n"/>
      <c r="E135" s="247" t="n"/>
      <c r="F135" s="247" t="n"/>
      <c r="G135" s="247" t="n"/>
      <c r="H135" s="247" t="n"/>
      <c r="I135" s="247" t="n"/>
    </row>
    <row r="136">
      <c r="A136" s="244" t="n"/>
      <c r="B136" s="245" t="n"/>
      <c r="C136" s="245" t="n"/>
      <c r="D136" s="246" t="n"/>
      <c r="E136" s="247" t="n"/>
      <c r="F136" s="247" t="n"/>
      <c r="G136" s="247" t="n"/>
      <c r="H136" s="247" t="n"/>
      <c r="I136" s="247" t="n"/>
    </row>
    <row r="137">
      <c r="A137" s="244" t="n"/>
      <c r="B137" s="245" t="n"/>
      <c r="C137" s="245" t="n"/>
      <c r="D137" s="246" t="n"/>
      <c r="E137" s="247" t="n"/>
      <c r="F137" s="247" t="n"/>
      <c r="G137" s="247" t="n"/>
      <c r="H137" s="247" t="n"/>
      <c r="I137" s="247" t="n"/>
    </row>
    <row r="138">
      <c r="A138" s="244" t="n"/>
      <c r="B138" s="245" t="n"/>
      <c r="C138" s="245" t="n"/>
      <c r="D138" s="246" t="n"/>
      <c r="E138" s="247" t="n"/>
      <c r="F138" s="247" t="n"/>
      <c r="G138" s="247" t="n"/>
      <c r="H138" s="247" t="n"/>
      <c r="I138" s="247" t="n"/>
    </row>
    <row r="139">
      <c r="A139" s="244" t="n"/>
      <c r="B139" s="245" t="n"/>
      <c r="C139" s="245" t="n"/>
      <c r="D139" s="246" t="n"/>
      <c r="E139" s="247" t="n"/>
      <c r="F139" s="247" t="n"/>
      <c r="G139" s="247" t="n"/>
      <c r="H139" s="247" t="n"/>
      <c r="I139" s="247" t="n"/>
    </row>
    <row r="140">
      <c r="A140" s="244" t="n"/>
      <c r="B140" s="245" t="n"/>
      <c r="C140" s="245" t="n"/>
      <c r="D140" s="246" t="n"/>
      <c r="E140" s="247" t="n"/>
      <c r="F140" s="247" t="n"/>
      <c r="G140" s="247" t="n"/>
      <c r="H140" s="247" t="n"/>
      <c r="I140" s="247" t="n"/>
    </row>
    <row r="141">
      <c r="A141" s="244" t="n"/>
      <c r="B141" s="245" t="n"/>
      <c r="C141" s="245" t="n"/>
      <c r="D141" s="246" t="n"/>
      <c r="E141" s="247" t="n"/>
      <c r="F141" s="247" t="n"/>
      <c r="G141" s="247" t="n"/>
      <c r="H141" s="247" t="n"/>
      <c r="I141" s="247" t="n"/>
    </row>
    <row r="142">
      <c r="A142" s="244" t="n"/>
      <c r="B142" s="245" t="n"/>
      <c r="C142" s="245" t="n"/>
      <c r="D142" s="246" t="n"/>
      <c r="E142" s="247" t="n"/>
      <c r="F142" s="247" t="n"/>
      <c r="G142" s="247" t="n"/>
      <c r="H142" s="247" t="n"/>
      <c r="I142" s="247" t="n"/>
    </row>
    <row r="143">
      <c r="A143" s="244" t="n"/>
      <c r="B143" s="245" t="n"/>
      <c r="C143" s="245" t="n"/>
      <c r="D143" s="246" t="n"/>
      <c r="E143" s="247" t="n"/>
      <c r="F143" s="247" t="n"/>
      <c r="G143" s="247" t="n"/>
      <c r="H143" s="247" t="n"/>
      <c r="I143" s="247" t="n"/>
    </row>
    <row r="144">
      <c r="A144" s="244" t="n"/>
      <c r="B144" s="245" t="n"/>
      <c r="C144" s="245" t="n"/>
      <c r="D144" s="246" t="n"/>
      <c r="E144" s="247" t="n"/>
      <c r="F144" s="247" t="n"/>
      <c r="G144" s="247" t="n"/>
      <c r="H144" s="247" t="n"/>
      <c r="I144" s="247" t="n"/>
    </row>
    <row r="145">
      <c r="A145" s="244" t="n"/>
      <c r="B145" s="245" t="n"/>
      <c r="C145" s="245" t="n"/>
      <c r="D145" s="246" t="n"/>
      <c r="E145" s="247" t="n"/>
      <c r="F145" s="247" t="n"/>
      <c r="G145" s="247" t="n"/>
      <c r="H145" s="247" t="n"/>
      <c r="I145" s="247" t="n"/>
    </row>
    <row r="146">
      <c r="A146" s="244" t="n"/>
      <c r="B146" s="245" t="n"/>
      <c r="C146" s="245" t="n"/>
      <c r="D146" s="246" t="n"/>
      <c r="E146" s="247" t="n"/>
      <c r="F146" s="247" t="n"/>
      <c r="G146" s="247" t="n"/>
      <c r="H146" s="247" t="n"/>
      <c r="I146" s="247" t="n"/>
    </row>
    <row r="147">
      <c r="A147" s="244" t="n"/>
      <c r="B147" s="245" t="n"/>
      <c r="C147" s="245" t="n"/>
      <c r="D147" s="246" t="n"/>
      <c r="E147" s="247" t="n"/>
      <c r="F147" s="247" t="n"/>
      <c r="G147" s="247" t="n"/>
      <c r="H147" s="247" t="n"/>
      <c r="I147" s="247" t="n"/>
    </row>
    <row r="148">
      <c r="A148" s="244" t="n"/>
      <c r="B148" s="245" t="n"/>
      <c r="C148" s="245" t="n"/>
      <c r="D148" s="246" t="n"/>
      <c r="E148" s="247" t="n"/>
      <c r="F148" s="247" t="n"/>
      <c r="G148" s="247" t="n"/>
      <c r="H148" s="247" t="n"/>
      <c r="I148" s="247" t="n"/>
    </row>
    <row r="149">
      <c r="A149" s="244" t="n"/>
      <c r="B149" s="245" t="n"/>
      <c r="C149" s="245" t="n"/>
      <c r="D149" s="246" t="n"/>
      <c r="E149" s="247" t="n"/>
      <c r="F149" s="247" t="n"/>
      <c r="G149" s="247" t="n"/>
      <c r="H149" s="247" t="n"/>
      <c r="I149" s="247" t="n"/>
    </row>
    <row r="150">
      <c r="A150" s="244" t="n"/>
      <c r="B150" s="245" t="n"/>
      <c r="C150" s="245" t="n"/>
      <c r="D150" s="246" t="n"/>
      <c r="E150" s="247" t="n"/>
      <c r="F150" s="247" t="n"/>
      <c r="G150" s="247" t="n"/>
      <c r="H150" s="247" t="n"/>
      <c r="I150" s="247" t="n"/>
    </row>
    <row r="151">
      <c r="A151" s="244" t="n"/>
      <c r="B151" s="245" t="n"/>
      <c r="C151" s="245" t="n"/>
      <c r="D151" s="246" t="n"/>
      <c r="E151" s="247" t="n"/>
      <c r="F151" s="247" t="n"/>
      <c r="G151" s="247" t="n"/>
      <c r="H151" s="247" t="n"/>
      <c r="I151" s="247" t="n"/>
    </row>
    <row r="152">
      <c r="A152" s="244" t="n"/>
      <c r="B152" s="245" t="n"/>
      <c r="C152" s="245" t="n"/>
      <c r="D152" s="246" t="n"/>
      <c r="E152" s="247" t="n"/>
      <c r="F152" s="247" t="n"/>
      <c r="G152" s="247" t="n"/>
      <c r="H152" s="247" t="n"/>
      <c r="I152" s="247" t="n"/>
    </row>
    <row r="153">
      <c r="A153" s="244" t="n"/>
      <c r="B153" s="245" t="n"/>
      <c r="C153" s="245" t="n"/>
      <c r="D153" s="246" t="n"/>
      <c r="E153" s="247" t="n"/>
      <c r="F153" s="247" t="n"/>
      <c r="G153" s="247" t="n"/>
      <c r="H153" s="247" t="n"/>
      <c r="I153" s="247" t="n"/>
    </row>
    <row r="154">
      <c r="A154" s="244" t="n"/>
      <c r="B154" s="245" t="n"/>
      <c r="C154" s="245" t="n"/>
      <c r="D154" s="246" t="n"/>
      <c r="E154" s="247" t="n"/>
      <c r="F154" s="247" t="n"/>
      <c r="G154" s="247" t="n"/>
      <c r="H154" s="247" t="n"/>
      <c r="I154" s="247" t="n"/>
    </row>
    <row r="155">
      <c r="A155" s="244" t="n"/>
      <c r="B155" s="245" t="n"/>
      <c r="C155" s="245" t="n"/>
      <c r="D155" s="246" t="n"/>
      <c r="E155" s="247" t="n"/>
      <c r="F155" s="247" t="n"/>
      <c r="G155" s="247" t="n"/>
      <c r="H155" s="247" t="n"/>
      <c r="I155" s="247" t="n"/>
    </row>
    <row r="156">
      <c r="A156" s="244" t="n"/>
      <c r="B156" s="245" t="n"/>
      <c r="C156" s="245" t="n"/>
      <c r="D156" s="246" t="n"/>
      <c r="E156" s="247" t="n"/>
      <c r="F156" s="247" t="n"/>
      <c r="G156" s="247" t="n"/>
      <c r="H156" s="247" t="n"/>
      <c r="I156" s="247" t="n"/>
    </row>
    <row r="157">
      <c r="A157" s="244" t="n"/>
      <c r="B157" s="245" t="n"/>
      <c r="C157" s="245" t="n"/>
      <c r="D157" s="246" t="n"/>
      <c r="E157" s="247" t="n"/>
      <c r="F157" s="247" t="n"/>
      <c r="G157" s="247" t="n"/>
      <c r="H157" s="247" t="n"/>
      <c r="I157" s="247" t="n"/>
    </row>
    <row r="158">
      <c r="A158" s="244" t="n"/>
      <c r="B158" s="245" t="n"/>
      <c r="C158" s="245" t="n"/>
      <c r="D158" s="246" t="n"/>
      <c r="E158" s="247" t="n"/>
      <c r="F158" s="247" t="n"/>
      <c r="G158" s="247" t="n"/>
      <c r="H158" s="247" t="n"/>
      <c r="I158" s="247" t="n"/>
    </row>
    <row r="159">
      <c r="A159" s="244" t="n"/>
      <c r="B159" s="245" t="n"/>
      <c r="C159" s="245" t="n"/>
      <c r="D159" s="246" t="n"/>
      <c r="E159" s="247" t="n"/>
      <c r="F159" s="247" t="n"/>
      <c r="G159" s="247" t="n"/>
      <c r="H159" s="247" t="n"/>
      <c r="I159" s="247" t="n"/>
    </row>
    <row r="160">
      <c r="A160" s="244" t="n"/>
      <c r="B160" s="245" t="n"/>
      <c r="C160" s="245" t="n"/>
      <c r="D160" s="246" t="n"/>
      <c r="E160" s="247" t="n"/>
      <c r="F160" s="247" t="n"/>
      <c r="G160" s="247" t="n"/>
      <c r="H160" s="247" t="n"/>
      <c r="I160" s="247" t="n"/>
    </row>
    <row r="161">
      <c r="A161" s="244" t="n"/>
      <c r="B161" s="245" t="n"/>
      <c r="C161" s="245" t="n"/>
      <c r="D161" s="246" t="n"/>
      <c r="E161" s="247" t="n"/>
      <c r="F161" s="247" t="n"/>
      <c r="G161" s="247" t="n"/>
      <c r="H161" s="247" t="n"/>
      <c r="I161" s="247" t="n"/>
    </row>
    <row r="162">
      <c r="A162" s="244" t="n"/>
      <c r="B162" s="245" t="n"/>
      <c r="C162" s="245" t="n"/>
      <c r="D162" s="246" t="n"/>
      <c r="E162" s="247" t="n"/>
      <c r="F162" s="247" t="n"/>
      <c r="G162" s="247" t="n"/>
      <c r="H162" s="247" t="n"/>
      <c r="I162" s="247" t="n"/>
    </row>
    <row r="163">
      <c r="A163" s="244" t="n"/>
      <c r="B163" s="245" t="n"/>
      <c r="C163" s="245" t="n"/>
      <c r="D163" s="246" t="n"/>
      <c r="E163" s="247" t="n"/>
      <c r="F163" s="247" t="n"/>
      <c r="G163" s="247" t="n"/>
      <c r="H163" s="247" t="n"/>
      <c r="I163" s="247" t="n"/>
    </row>
    <row r="164">
      <c r="A164" s="244" t="n"/>
      <c r="B164" s="245" t="n"/>
      <c r="C164" s="245" t="n"/>
      <c r="D164" s="246" t="n"/>
      <c r="E164" s="247" t="n"/>
      <c r="F164" s="247" t="n"/>
      <c r="G164" s="247" t="n"/>
      <c r="H164" s="247" t="n"/>
      <c r="I164" s="247" t="n"/>
    </row>
    <row r="165">
      <c r="A165" s="244" t="n"/>
      <c r="B165" s="245" t="n"/>
      <c r="C165" s="245" t="n"/>
      <c r="D165" s="246" t="n"/>
      <c r="E165" s="247" t="n"/>
      <c r="F165" s="247" t="n"/>
      <c r="G165" s="247" t="n"/>
      <c r="H165" s="247" t="n"/>
      <c r="I165" s="247" t="n"/>
    </row>
    <row r="166">
      <c r="A166" s="244" t="n"/>
      <c r="B166" s="245" t="n"/>
      <c r="C166" s="245" t="n"/>
      <c r="D166" s="246" t="n"/>
      <c r="E166" s="247" t="n"/>
      <c r="F166" s="247" t="n"/>
      <c r="G166" s="247" t="n"/>
      <c r="H166" s="247" t="n"/>
      <c r="I166" s="247" t="n"/>
    </row>
    <row r="167">
      <c r="A167" s="244" t="n"/>
      <c r="B167" s="245" t="n"/>
      <c r="C167" s="245" t="n"/>
      <c r="D167" s="246" t="n"/>
      <c r="E167" s="247" t="n"/>
      <c r="F167" s="247" t="n"/>
      <c r="G167" s="247" t="n"/>
      <c r="H167" s="247" t="n"/>
      <c r="I167" s="247" t="n"/>
    </row>
    <row r="168">
      <c r="A168" s="244" t="n"/>
      <c r="B168" s="245" t="n"/>
      <c r="C168" s="245" t="n"/>
      <c r="D168" s="246" t="n"/>
      <c r="E168" s="247" t="n"/>
      <c r="F168" s="247" t="n"/>
      <c r="G168" s="247" t="n"/>
      <c r="H168" s="247" t="n"/>
      <c r="I168" s="247" t="n"/>
    </row>
    <row r="169">
      <c r="A169" s="244" t="n"/>
      <c r="B169" s="245" t="n"/>
      <c r="C169" s="245" t="n"/>
      <c r="D169" s="246" t="n"/>
      <c r="E169" s="247" t="n"/>
      <c r="F169" s="247" t="n"/>
      <c r="G169" s="247" t="n"/>
      <c r="H169" s="247" t="n"/>
      <c r="I169" s="247" t="n"/>
    </row>
    <row r="170">
      <c r="A170" s="244" t="n"/>
      <c r="B170" s="245" t="n"/>
      <c r="C170" s="245" t="n"/>
      <c r="D170" s="246" t="n"/>
      <c r="E170" s="247" t="n"/>
      <c r="F170" s="247" t="n"/>
      <c r="G170" s="247" t="n"/>
      <c r="H170" s="247" t="n"/>
      <c r="I170" s="247" t="n"/>
    </row>
    <row r="171">
      <c r="A171" s="244" t="n"/>
      <c r="B171" s="245" t="n"/>
      <c r="C171" s="245" t="n"/>
      <c r="D171" s="246" t="n"/>
      <c r="E171" s="247" t="n"/>
      <c r="F171" s="247" t="n"/>
      <c r="G171" s="247" t="n"/>
      <c r="H171" s="247" t="n"/>
      <c r="I171" s="247" t="n"/>
    </row>
    <row r="172">
      <c r="A172" s="244" t="n"/>
      <c r="B172" s="245" t="n"/>
      <c r="C172" s="245" t="n"/>
      <c r="D172" s="246" t="n"/>
      <c r="E172" s="247" t="n"/>
      <c r="F172" s="247" t="n"/>
      <c r="G172" s="247" t="n"/>
      <c r="H172" s="247" t="n"/>
      <c r="I172" s="247" t="n"/>
    </row>
    <row r="173">
      <c r="A173" s="244" t="n"/>
      <c r="B173" s="245" t="n"/>
      <c r="C173" s="245" t="n"/>
      <c r="D173" s="246" t="n"/>
      <c r="E173" s="247" t="n"/>
      <c r="F173" s="247" t="n"/>
      <c r="G173" s="247" t="n"/>
      <c r="H173" s="247" t="n"/>
      <c r="I173" s="247" t="n"/>
    </row>
    <row r="174">
      <c r="A174" s="244" t="n"/>
      <c r="B174" s="245" t="n"/>
      <c r="C174" s="245" t="n"/>
      <c r="D174" s="246" t="n"/>
      <c r="E174" s="247" t="n"/>
      <c r="F174" s="247" t="n"/>
      <c r="G174" s="247" t="n"/>
      <c r="H174" s="247" t="n"/>
      <c r="I174" s="247" t="n"/>
    </row>
    <row r="175">
      <c r="A175" s="244" t="n"/>
      <c r="B175" s="245" t="n"/>
      <c r="C175" s="245" t="n"/>
      <c r="D175" s="246" t="n"/>
      <c r="E175" s="247" t="n"/>
      <c r="F175" s="247" t="n"/>
      <c r="G175" s="247" t="n"/>
      <c r="H175" s="247" t="n"/>
      <c r="I175" s="247" t="n"/>
    </row>
    <row r="176">
      <c r="A176" s="244" t="n"/>
      <c r="B176" s="245" t="n"/>
      <c r="C176" s="245" t="n"/>
      <c r="D176" s="246" t="n"/>
      <c r="E176" s="247" t="n"/>
      <c r="F176" s="247" t="n"/>
      <c r="G176" s="247" t="n"/>
      <c r="H176" s="247" t="n"/>
      <c r="I176" s="247" t="n"/>
    </row>
    <row r="177">
      <c r="A177" s="244" t="n"/>
      <c r="B177" s="245" t="n"/>
      <c r="C177" s="245" t="n"/>
      <c r="D177" s="246" t="n"/>
      <c r="E177" s="247" t="n"/>
      <c r="F177" s="247" t="n"/>
      <c r="G177" s="247" t="n"/>
      <c r="H177" s="247" t="n"/>
      <c r="I177" s="247" t="n"/>
    </row>
    <row r="178">
      <c r="A178" s="244" t="n"/>
      <c r="B178" s="245" t="n"/>
      <c r="C178" s="245" t="n"/>
      <c r="D178" s="246" t="n"/>
      <c r="E178" s="247" t="n"/>
      <c r="F178" s="247" t="n"/>
      <c r="G178" s="247" t="n"/>
      <c r="H178" s="247" t="n"/>
      <c r="I178" s="247" t="n"/>
    </row>
    <row r="179">
      <c r="A179" s="244" t="n"/>
      <c r="B179" s="245" t="n"/>
      <c r="C179" s="245" t="n"/>
      <c r="D179" s="246" t="n"/>
      <c r="E179" s="247" t="n"/>
      <c r="F179" s="247" t="n"/>
      <c r="G179" s="247" t="n"/>
      <c r="H179" s="247" t="n"/>
      <c r="I179" s="247" t="n"/>
    </row>
    <row r="180">
      <c r="A180" s="244" t="n"/>
      <c r="B180" s="245" t="n"/>
      <c r="C180" s="245" t="n"/>
      <c r="D180" s="246" t="n"/>
      <c r="E180" s="247" t="n"/>
      <c r="F180" s="247" t="n"/>
      <c r="G180" s="247" t="n"/>
      <c r="H180" s="247" t="n"/>
      <c r="I180" s="247" t="n"/>
    </row>
    <row r="181">
      <c r="A181" s="244" t="n"/>
      <c r="B181" s="245" t="n"/>
      <c r="C181" s="245" t="n"/>
      <c r="D181" s="246" t="n"/>
      <c r="E181" s="247" t="n"/>
      <c r="F181" s="247" t="n"/>
      <c r="G181" s="247" t="n"/>
      <c r="H181" s="247" t="n"/>
      <c r="I181" s="247" t="n"/>
    </row>
    <row r="182">
      <c r="A182" s="244" t="n"/>
      <c r="B182" s="245" t="n"/>
      <c r="C182" s="245" t="n"/>
      <c r="D182" s="246" t="n"/>
      <c r="E182" s="247" t="n"/>
      <c r="F182" s="247" t="n"/>
      <c r="G182" s="247" t="n"/>
      <c r="H182" s="247" t="n"/>
      <c r="I182" s="247" t="n"/>
    </row>
    <row r="183">
      <c r="A183" s="244" t="n"/>
      <c r="B183" s="245" t="n"/>
      <c r="C183" s="245" t="n"/>
      <c r="D183" s="246" t="n"/>
      <c r="E183" s="247" t="n"/>
      <c r="F183" s="247" t="n"/>
      <c r="G183" s="247" t="n"/>
      <c r="H183" s="247" t="n"/>
      <c r="I183" s="247" t="n"/>
    </row>
    <row r="184">
      <c r="A184" s="244" t="n"/>
      <c r="B184" s="245" t="n"/>
      <c r="C184" s="245" t="n"/>
      <c r="D184" s="246" t="n"/>
      <c r="E184" s="247" t="n"/>
      <c r="F184" s="247" t="n"/>
      <c r="G184" s="247" t="n"/>
      <c r="H184" s="247" t="n"/>
      <c r="I184" s="247" t="n"/>
    </row>
    <row r="185">
      <c r="A185" s="244" t="n"/>
      <c r="B185" s="245" t="n"/>
      <c r="C185" s="245" t="n"/>
      <c r="D185" s="246" t="n"/>
      <c r="E185" s="247" t="n"/>
      <c r="F185" s="247" t="n"/>
      <c r="G185" s="247" t="n"/>
      <c r="H185" s="247" t="n"/>
      <c r="I185" s="247" t="n"/>
    </row>
    <row r="186">
      <c r="A186" s="244" t="n"/>
      <c r="B186" s="245" t="n"/>
      <c r="C186" s="245" t="n"/>
      <c r="D186" s="246" t="n"/>
      <c r="E186" s="247" t="n"/>
      <c r="F186" s="247" t="n"/>
      <c r="G186" s="247" t="n"/>
      <c r="H186" s="247" t="n"/>
      <c r="I186" s="247" t="n"/>
    </row>
    <row r="187">
      <c r="A187" s="244" t="n"/>
      <c r="B187" s="245" t="n"/>
      <c r="C187" s="245" t="n"/>
      <c r="D187" s="246" t="n"/>
      <c r="E187" s="247" t="n"/>
      <c r="F187" s="247" t="n"/>
      <c r="G187" s="247" t="n"/>
      <c r="H187" s="247" t="n"/>
      <c r="I187" s="247" t="n"/>
    </row>
    <row r="188">
      <c r="A188" s="244" t="n"/>
      <c r="B188" s="245" t="n"/>
      <c r="C188" s="245" t="n"/>
      <c r="D188" s="246" t="n"/>
      <c r="E188" s="247" t="n"/>
      <c r="F188" s="247" t="n"/>
      <c r="G188" s="247" t="n"/>
      <c r="H188" s="247" t="n"/>
      <c r="I188" s="247" t="n"/>
    </row>
    <row r="189">
      <c r="A189" s="244" t="n"/>
      <c r="B189" s="245" t="n"/>
      <c r="C189" s="245" t="n"/>
      <c r="D189" s="246" t="n"/>
      <c r="E189" s="247" t="n"/>
      <c r="F189" s="247" t="n"/>
      <c r="G189" s="247" t="n"/>
      <c r="H189" s="247" t="n"/>
      <c r="I189" s="247" t="n"/>
    </row>
    <row r="190">
      <c r="A190" s="244" t="n"/>
      <c r="B190" s="245" t="n"/>
      <c r="C190" s="245" t="n"/>
      <c r="D190" s="246" t="n"/>
      <c r="E190" s="247" t="n"/>
      <c r="F190" s="247" t="n"/>
      <c r="G190" s="247" t="n"/>
      <c r="H190" s="247" t="n"/>
      <c r="I190" s="247" t="n"/>
    </row>
    <row r="191">
      <c r="A191" s="244" t="n"/>
      <c r="B191" s="245" t="n"/>
      <c r="C191" s="245" t="n"/>
      <c r="D191" s="246" t="n"/>
      <c r="E191" s="247" t="n"/>
      <c r="F191" s="247" t="n"/>
      <c r="G191" s="247" t="n"/>
      <c r="H191" s="247" t="n"/>
      <c r="I191" s="247" t="n"/>
    </row>
    <row r="192">
      <c r="A192" s="244" t="n"/>
      <c r="B192" s="245" t="n"/>
      <c r="C192" s="245" t="n"/>
      <c r="D192" s="246" t="n"/>
      <c r="E192" s="247" t="n"/>
      <c r="F192" s="247" t="n"/>
      <c r="G192" s="247" t="n"/>
      <c r="H192" s="247" t="n"/>
      <c r="I192" s="247" t="n"/>
    </row>
    <row r="193">
      <c r="A193" s="244" t="n"/>
      <c r="B193" s="245" t="n"/>
      <c r="C193" s="245" t="n"/>
      <c r="D193" s="246" t="n"/>
      <c r="E193" s="247" t="n"/>
      <c r="F193" s="247" t="n"/>
      <c r="G193" s="247" t="n"/>
      <c r="H193" s="247" t="n"/>
      <c r="I193" s="247" t="n"/>
    </row>
    <row r="194">
      <c r="A194" s="244" t="n"/>
      <c r="B194" s="245" t="n"/>
      <c r="C194" s="245" t="n"/>
      <c r="D194" s="246" t="n"/>
      <c r="E194" s="247" t="n"/>
      <c r="F194" s="247" t="n"/>
      <c r="G194" s="247" t="n"/>
      <c r="H194" s="247" t="n"/>
      <c r="I194" s="247" t="n"/>
    </row>
    <row r="195">
      <c r="A195" s="244" t="n"/>
      <c r="B195" s="245" t="n"/>
      <c r="C195" s="245" t="n"/>
      <c r="D195" s="246" t="n"/>
      <c r="E195" s="247" t="n"/>
      <c r="F195" s="247" t="n"/>
      <c r="G195" s="247" t="n"/>
      <c r="H195" s="247" t="n"/>
      <c r="I195" s="247" t="n"/>
    </row>
    <row r="196">
      <c r="A196" s="244" t="n"/>
      <c r="B196" s="245" t="n"/>
      <c r="C196" s="245" t="n"/>
      <c r="D196" s="246" t="n"/>
      <c r="E196" s="247" t="n"/>
      <c r="F196" s="247" t="n"/>
      <c r="G196" s="247" t="n"/>
      <c r="H196" s="247" t="n"/>
      <c r="I196" s="247" t="n"/>
    </row>
    <row r="197">
      <c r="A197" s="244" t="n"/>
      <c r="B197" s="245" t="n"/>
      <c r="C197" s="245" t="n"/>
      <c r="D197" s="246" t="n"/>
      <c r="E197" s="247" t="n"/>
      <c r="F197" s="247" t="n"/>
      <c r="G197" s="247" t="n"/>
      <c r="H197" s="247" t="n"/>
      <c r="I197" s="247" t="n"/>
    </row>
    <row r="198">
      <c r="A198" s="244" t="n"/>
      <c r="B198" s="245" t="n"/>
      <c r="C198" s="245" t="n"/>
      <c r="D198" s="246" t="n"/>
      <c r="E198" s="247" t="n"/>
      <c r="F198" s="247" t="n"/>
      <c r="G198" s="247" t="n"/>
      <c r="H198" s="247" t="n"/>
      <c r="I198" s="247" t="n"/>
    </row>
    <row r="199">
      <c r="A199" s="244" t="n"/>
      <c r="B199" s="245" t="n"/>
      <c r="C199" s="245" t="n"/>
      <c r="D199" s="246" t="n"/>
      <c r="E199" s="247" t="n"/>
      <c r="F199" s="247" t="n"/>
      <c r="G199" s="247" t="n"/>
      <c r="H199" s="247" t="n"/>
      <c r="I199" s="247" t="n"/>
    </row>
    <row r="200">
      <c r="A200" s="244" t="n"/>
      <c r="B200" s="245" t="n"/>
      <c r="C200" s="245" t="n"/>
      <c r="D200" s="246" t="n"/>
      <c r="E200" s="247" t="n"/>
      <c r="F200" s="247" t="n"/>
      <c r="G200" s="247" t="n"/>
      <c r="H200" s="247" t="n"/>
      <c r="I200" s="247" t="n"/>
    </row>
    <row r="201">
      <c r="A201" s="244" t="n"/>
      <c r="B201" s="245" t="n"/>
      <c r="C201" s="245" t="n"/>
      <c r="D201" s="246" t="n"/>
      <c r="E201" s="247" t="n"/>
      <c r="F201" s="247" t="n"/>
      <c r="G201" s="247" t="n"/>
      <c r="H201" s="247" t="n"/>
      <c r="I201" s="247" t="n"/>
    </row>
    <row r="202">
      <c r="A202" s="244" t="n"/>
      <c r="B202" s="245" t="n"/>
      <c r="C202" s="245" t="n"/>
      <c r="D202" s="246" t="n"/>
      <c r="E202" s="247" t="n"/>
      <c r="F202" s="247" t="n"/>
      <c r="G202" s="247" t="n"/>
      <c r="H202" s="247" t="n"/>
      <c r="I202" s="247" t="n"/>
    </row>
    <row r="203">
      <c r="A203" s="244" t="n"/>
      <c r="B203" s="245" t="n"/>
      <c r="C203" s="245" t="n"/>
      <c r="D203" s="246" t="n"/>
      <c r="E203" s="247" t="n"/>
      <c r="F203" s="247" t="n"/>
      <c r="G203" s="247" t="n"/>
      <c r="H203" s="247" t="n"/>
      <c r="I203" s="247" t="n"/>
    </row>
    <row r="204">
      <c r="A204" s="244" t="n"/>
      <c r="B204" s="245" t="n"/>
      <c r="C204" s="245" t="n"/>
      <c r="D204" s="246" t="n"/>
      <c r="E204" s="247" t="n"/>
      <c r="F204" s="247" t="n"/>
      <c r="G204" s="247" t="n"/>
      <c r="H204" s="247" t="n"/>
      <c r="I204" s="247" t="n"/>
    </row>
    <row r="205">
      <c r="A205" s="244" t="n"/>
      <c r="B205" s="245" t="n"/>
      <c r="C205" s="245" t="n"/>
      <c r="D205" s="246" t="n"/>
      <c r="E205" s="247" t="n"/>
      <c r="F205" s="247" t="n"/>
      <c r="G205" s="247" t="n"/>
      <c r="H205" s="247" t="n"/>
      <c r="I205" s="247" t="n"/>
    </row>
    <row r="206">
      <c r="A206" s="244" t="n"/>
      <c r="B206" s="245" t="n"/>
      <c r="C206" s="245" t="n"/>
      <c r="D206" s="246" t="n"/>
      <c r="E206" s="247" t="n"/>
      <c r="F206" s="247" t="n"/>
      <c r="G206" s="247" t="n"/>
      <c r="H206" s="247" t="n"/>
      <c r="I206" s="247" t="n"/>
    </row>
    <row r="207">
      <c r="A207" s="244" t="n"/>
      <c r="B207" s="245" t="n"/>
      <c r="C207" s="245" t="n"/>
      <c r="D207" s="246" t="n"/>
      <c r="E207" s="247" t="n"/>
      <c r="F207" s="247" t="n"/>
      <c r="G207" s="247" t="n"/>
      <c r="H207" s="247" t="n"/>
      <c r="I207" s="247" t="n"/>
    </row>
    <row r="208">
      <c r="A208" s="244" t="n"/>
      <c r="B208" s="245" t="n"/>
      <c r="C208" s="245" t="n"/>
      <c r="D208" s="246" t="n"/>
      <c r="E208" s="247" t="n"/>
      <c r="F208" s="247" t="n"/>
      <c r="G208" s="247" t="n"/>
      <c r="H208" s="247" t="n"/>
      <c r="I208" s="247" t="n"/>
    </row>
    <row r="209">
      <c r="A209" s="244" t="n"/>
      <c r="B209" s="245" t="n"/>
      <c r="C209" s="245" t="n"/>
      <c r="D209" s="246" t="n"/>
      <c r="E209" s="247" t="n"/>
      <c r="F209" s="247" t="n"/>
      <c r="G209" s="247" t="n"/>
      <c r="H209" s="247" t="n"/>
      <c r="I209" s="247" t="n"/>
    </row>
    <row r="210">
      <c r="A210" s="244" t="n"/>
      <c r="B210" s="245" t="n"/>
      <c r="C210" s="245" t="n"/>
      <c r="D210" s="246" t="n"/>
      <c r="E210" s="247" t="n"/>
      <c r="F210" s="247" t="n"/>
      <c r="G210" s="247" t="n"/>
      <c r="H210" s="247" t="n"/>
      <c r="I210" s="247" t="n"/>
    </row>
    <row r="211">
      <c r="A211" s="244" t="n"/>
      <c r="B211" s="245" t="n"/>
      <c r="C211" s="245" t="n"/>
      <c r="D211" s="246" t="n"/>
      <c r="E211" s="247" t="n"/>
      <c r="F211" s="247" t="n"/>
      <c r="G211" s="247" t="n"/>
      <c r="H211" s="247" t="n"/>
      <c r="I211" s="247" t="n"/>
    </row>
    <row r="212">
      <c r="A212" s="244" t="n"/>
      <c r="B212" s="245" t="n"/>
      <c r="C212" s="245" t="n"/>
      <c r="D212" s="246" t="n"/>
      <c r="E212" s="247" t="n"/>
      <c r="F212" s="247" t="n"/>
      <c r="G212" s="247" t="n"/>
      <c r="H212" s="247" t="n"/>
      <c r="I212" s="247" t="n"/>
    </row>
    <row r="213">
      <c r="A213" s="244" t="n"/>
      <c r="B213" s="245" t="n"/>
      <c r="C213" s="245" t="n"/>
      <c r="D213" s="246" t="n"/>
      <c r="E213" s="247" t="n"/>
      <c r="F213" s="247" t="n"/>
      <c r="G213" s="247" t="n"/>
      <c r="H213" s="247" t="n"/>
      <c r="I213" s="247" t="n"/>
    </row>
    <row r="214">
      <c r="A214" s="244" t="n"/>
      <c r="B214" s="245" t="n"/>
      <c r="C214" s="245" t="n"/>
      <c r="D214" s="246" t="n"/>
      <c r="E214" s="247" t="n"/>
      <c r="F214" s="247" t="n"/>
      <c r="G214" s="247" t="n"/>
      <c r="H214" s="247" t="n"/>
      <c r="I214" s="247" t="n"/>
    </row>
    <row r="215">
      <c r="A215" s="244" t="n"/>
      <c r="B215" s="245" t="n"/>
      <c r="C215" s="245" t="n"/>
      <c r="D215" s="246" t="n"/>
      <c r="E215" s="247" t="n"/>
      <c r="F215" s="247" t="n"/>
      <c r="G215" s="247" t="n"/>
      <c r="H215" s="247" t="n"/>
      <c r="I215" s="247" t="n"/>
    </row>
    <row r="216">
      <c r="A216" s="244" t="n"/>
      <c r="B216" s="245" t="n"/>
      <c r="C216" s="245" t="n"/>
      <c r="D216" s="246" t="n"/>
      <c r="E216" s="247" t="n"/>
      <c r="F216" s="247" t="n"/>
      <c r="G216" s="247" t="n"/>
      <c r="H216" s="247" t="n"/>
      <c r="I216" s="247" t="n"/>
    </row>
    <row r="217">
      <c r="A217" s="244" t="n"/>
      <c r="B217" s="245" t="n"/>
      <c r="C217" s="245" t="n"/>
      <c r="D217" s="246" t="n"/>
      <c r="E217" s="247" t="n"/>
      <c r="F217" s="247" t="n"/>
      <c r="G217" s="247" t="n"/>
      <c r="H217" s="247" t="n"/>
      <c r="I217" s="247" t="n"/>
    </row>
    <row r="218">
      <c r="A218" s="244" t="n"/>
      <c r="B218" s="245" t="n"/>
      <c r="C218" s="245" t="n"/>
      <c r="D218" s="246" t="n"/>
      <c r="E218" s="247" t="n"/>
      <c r="F218" s="247" t="n"/>
      <c r="G218" s="247" t="n"/>
      <c r="H218" s="247" t="n"/>
      <c r="I218" s="247" t="n"/>
    </row>
    <row r="219">
      <c r="A219" s="244" t="n"/>
      <c r="B219" s="245" t="n"/>
      <c r="C219" s="245" t="n"/>
      <c r="D219" s="246" t="n"/>
      <c r="E219" s="247" t="n"/>
      <c r="F219" s="247" t="n"/>
      <c r="G219" s="247" t="n"/>
      <c r="H219" s="247" t="n"/>
      <c r="I219" s="247" t="n"/>
    </row>
    <row r="220">
      <c r="A220" s="244" t="n"/>
      <c r="B220" s="245" t="n"/>
      <c r="C220" s="245" t="n"/>
      <c r="D220" s="246" t="n"/>
      <c r="E220" s="247" t="n"/>
      <c r="F220" s="247" t="n"/>
      <c r="G220" s="247" t="n"/>
      <c r="H220" s="247" t="n"/>
      <c r="I220" s="247" t="n"/>
    </row>
    <row r="221">
      <c r="A221" s="244" t="n"/>
      <c r="B221" s="245" t="n"/>
      <c r="C221" s="245" t="n"/>
      <c r="D221" s="246" t="n"/>
      <c r="E221" s="247" t="n"/>
      <c r="F221" s="247" t="n"/>
      <c r="G221" s="247" t="n"/>
      <c r="H221" s="247" t="n"/>
      <c r="I221" s="247" t="n"/>
    </row>
    <row r="222">
      <c r="A222" s="244" t="n"/>
      <c r="B222" s="245" t="n"/>
      <c r="C222" s="245" t="n"/>
      <c r="D222" s="246" t="n"/>
      <c r="E222" s="247" t="n"/>
      <c r="F222" s="247" t="n"/>
      <c r="G222" s="247" t="n"/>
      <c r="H222" s="247" t="n"/>
      <c r="I222" s="247" t="n"/>
    </row>
    <row r="223">
      <c r="A223" s="244" t="n"/>
      <c r="B223" s="245" t="n"/>
      <c r="C223" s="245" t="n"/>
      <c r="D223" s="246" t="n"/>
      <c r="E223" s="247" t="n"/>
      <c r="F223" s="247" t="n"/>
      <c r="G223" s="247" t="n"/>
      <c r="H223" s="247" t="n"/>
      <c r="I223" s="247" t="n"/>
    </row>
    <row r="224">
      <c r="A224" s="244" t="n"/>
      <c r="B224" s="245" t="n"/>
      <c r="C224" s="245" t="n"/>
      <c r="D224" s="246" t="n"/>
      <c r="E224" s="247" t="n"/>
      <c r="F224" s="247" t="n"/>
      <c r="G224" s="247" t="n"/>
      <c r="H224" s="247" t="n"/>
      <c r="I224" s="247" t="n"/>
    </row>
    <row r="225">
      <c r="A225" s="244" t="n"/>
      <c r="B225" s="245" t="n"/>
      <c r="C225" s="245" t="n"/>
      <c r="D225" s="246" t="n"/>
      <c r="E225" s="247" t="n"/>
      <c r="F225" s="247" t="n"/>
      <c r="G225" s="247" t="n"/>
      <c r="H225" s="247" t="n"/>
      <c r="I225" s="247" t="n"/>
    </row>
    <row r="226">
      <c r="A226" s="244" t="n"/>
      <c r="B226" s="245" t="n"/>
      <c r="C226" s="245" t="n"/>
      <c r="D226" s="246" t="n"/>
      <c r="E226" s="247" t="n"/>
      <c r="F226" s="247" t="n"/>
      <c r="G226" s="247" t="n"/>
      <c r="H226" s="247" t="n"/>
      <c r="I226" s="247" t="n"/>
    </row>
    <row r="227">
      <c r="A227" s="244" t="n"/>
      <c r="B227" s="245" t="n"/>
      <c r="C227" s="245" t="n"/>
      <c r="D227" s="246" t="n"/>
      <c r="E227" s="247" t="n"/>
      <c r="F227" s="247" t="n"/>
      <c r="G227" s="247" t="n"/>
      <c r="H227" s="247" t="n"/>
      <c r="I227" s="247" t="n"/>
    </row>
    <row r="228">
      <c r="A228" s="244" t="n"/>
      <c r="B228" s="245" t="n"/>
      <c r="C228" s="245" t="n"/>
      <c r="D228" s="246" t="n"/>
      <c r="E228" s="247" t="n"/>
      <c r="F228" s="247" t="n"/>
      <c r="G228" s="247" t="n"/>
      <c r="H228" s="247" t="n"/>
      <c r="I228" s="247" t="n"/>
    </row>
    <row r="229">
      <c r="A229" s="244" t="n"/>
      <c r="B229" s="245" t="n"/>
      <c r="C229" s="245" t="n"/>
      <c r="D229" s="246" t="n"/>
      <c r="E229" s="247" t="n"/>
      <c r="F229" s="247" t="n"/>
      <c r="G229" s="247" t="n"/>
      <c r="H229" s="247" t="n"/>
      <c r="I229" s="247" t="n"/>
    </row>
    <row r="230">
      <c r="A230" s="244" t="n"/>
      <c r="B230" s="245" t="n"/>
      <c r="C230" s="245" t="n"/>
      <c r="D230" s="246" t="n"/>
      <c r="E230" s="247" t="n"/>
      <c r="F230" s="247" t="n"/>
      <c r="G230" s="247" t="n"/>
      <c r="H230" s="247" t="n"/>
      <c r="I230" s="247" t="n"/>
    </row>
    <row r="231">
      <c r="A231" s="244" t="n"/>
      <c r="B231" s="245" t="n"/>
      <c r="C231" s="245" t="n"/>
      <c r="D231" s="246" t="n"/>
      <c r="E231" s="247" t="n"/>
      <c r="F231" s="247" t="n"/>
      <c r="G231" s="247" t="n"/>
      <c r="H231" s="247" t="n"/>
      <c r="I231" s="247" t="n"/>
    </row>
    <row r="232">
      <c r="A232" s="244" t="n"/>
      <c r="B232" s="245" t="n"/>
      <c r="C232" s="245" t="n"/>
      <c r="D232" s="246" t="n"/>
      <c r="E232" s="247" t="n"/>
      <c r="F232" s="247" t="n"/>
      <c r="G232" s="247" t="n"/>
      <c r="H232" s="247" t="n"/>
      <c r="I232" s="247" t="n"/>
    </row>
    <row r="233">
      <c r="A233" s="244" t="n"/>
      <c r="B233" s="245" t="n"/>
      <c r="C233" s="245" t="n"/>
      <c r="D233" s="246" t="n"/>
      <c r="E233" s="247" t="n"/>
      <c r="F233" s="247" t="n"/>
      <c r="G233" s="247" t="n"/>
      <c r="H233" s="247" t="n"/>
      <c r="I233" s="247" t="n"/>
    </row>
    <row r="234">
      <c r="A234" s="244" t="n"/>
      <c r="B234" s="245" t="n"/>
      <c r="C234" s="245" t="n"/>
      <c r="D234" s="246" t="n"/>
      <c r="E234" s="247" t="n"/>
      <c r="F234" s="247" t="n"/>
      <c r="G234" s="247" t="n"/>
      <c r="H234" s="247" t="n"/>
      <c r="I234" s="247" t="n"/>
    </row>
    <row r="235">
      <c r="A235" s="244" t="n"/>
      <c r="B235" s="245" t="n"/>
      <c r="C235" s="245" t="n"/>
      <c r="D235" s="246" t="n"/>
      <c r="E235" s="247" t="n"/>
      <c r="F235" s="247" t="n"/>
      <c r="G235" s="247" t="n"/>
      <c r="H235" s="247" t="n"/>
      <c r="I235" s="247" t="n"/>
    </row>
    <row r="236">
      <c r="A236" s="244" t="n"/>
      <c r="B236" s="245" t="n"/>
      <c r="C236" s="245" t="n"/>
      <c r="D236" s="246" t="n"/>
      <c r="E236" s="247" t="n"/>
      <c r="F236" s="247" t="n"/>
      <c r="G236" s="247" t="n"/>
      <c r="H236" s="247" t="n"/>
      <c r="I236" s="247" t="n"/>
    </row>
    <row r="237">
      <c r="A237" s="244" t="n"/>
      <c r="B237" s="245" t="n"/>
      <c r="C237" s="245" t="n"/>
      <c r="D237" s="246" t="n"/>
      <c r="E237" s="247" t="n"/>
      <c r="F237" s="247" t="n"/>
      <c r="G237" s="247" t="n"/>
      <c r="H237" s="247" t="n"/>
      <c r="I237" s="247" t="n"/>
    </row>
    <row r="238">
      <c r="A238" s="244" t="n"/>
      <c r="B238" s="245" t="n"/>
      <c r="C238" s="245" t="n"/>
      <c r="D238" s="246" t="n"/>
      <c r="E238" s="247" t="n"/>
      <c r="F238" s="247" t="n"/>
      <c r="G238" s="247" t="n"/>
      <c r="H238" s="247" t="n"/>
      <c r="I238" s="247" t="n"/>
    </row>
    <row r="239">
      <c r="A239" s="244" t="n"/>
      <c r="B239" s="245" t="n"/>
      <c r="C239" s="245" t="n"/>
      <c r="D239" s="246" t="n"/>
      <c r="E239" s="247" t="n"/>
      <c r="F239" s="247" t="n"/>
      <c r="G239" s="247" t="n"/>
      <c r="H239" s="247" t="n"/>
      <c r="I239" s="247" t="n"/>
    </row>
    <row r="240">
      <c r="A240" s="244" t="n"/>
      <c r="B240" s="245" t="n"/>
      <c r="C240" s="245" t="n"/>
      <c r="D240" s="246" t="n"/>
      <c r="E240" s="247" t="n"/>
      <c r="F240" s="247" t="n"/>
      <c r="G240" s="247" t="n"/>
      <c r="H240" s="247" t="n"/>
      <c r="I240" s="247" t="n"/>
    </row>
    <row r="241">
      <c r="A241" s="244" t="n"/>
      <c r="B241" s="245" t="n"/>
      <c r="C241" s="245" t="n"/>
      <c r="D241" s="246" t="n"/>
      <c r="E241" s="247" t="n"/>
      <c r="F241" s="247" t="n"/>
      <c r="G241" s="247" t="n"/>
      <c r="H241" s="247" t="n"/>
      <c r="I241" s="247" t="n"/>
    </row>
    <row r="242">
      <c r="A242" s="244" t="n"/>
      <c r="B242" s="245" t="n"/>
      <c r="C242" s="245" t="n"/>
      <c r="D242" s="246" t="n"/>
      <c r="E242" s="247" t="n"/>
      <c r="F242" s="247" t="n"/>
      <c r="G242" s="247" t="n"/>
      <c r="H242" s="247" t="n"/>
      <c r="I242" s="247" t="n"/>
    </row>
    <row r="243">
      <c r="A243" s="244" t="n"/>
      <c r="B243" s="245" t="n"/>
      <c r="C243" s="245" t="n"/>
      <c r="D243" s="246" t="n"/>
      <c r="E243" s="247" t="n"/>
      <c r="F243" s="247" t="n"/>
      <c r="G243" s="247" t="n"/>
      <c r="H243" s="247" t="n"/>
      <c r="I243" s="247" t="n"/>
    </row>
    <row r="244">
      <c r="A244" s="244" t="n"/>
      <c r="B244" s="245" t="n"/>
      <c r="C244" s="245" t="n"/>
      <c r="D244" s="246" t="n"/>
      <c r="E244" s="247" t="n"/>
      <c r="F244" s="247" t="n"/>
      <c r="G244" s="247" t="n"/>
      <c r="H244" s="247" t="n"/>
      <c r="I244" s="247" t="n"/>
    </row>
    <row r="245">
      <c r="A245" s="244" t="n"/>
      <c r="B245" s="245" t="n"/>
      <c r="C245" s="245" t="n"/>
      <c r="D245" s="246" t="n"/>
      <c r="E245" s="247" t="n"/>
      <c r="F245" s="247" t="n"/>
      <c r="G245" s="247" t="n"/>
      <c r="H245" s="247" t="n"/>
      <c r="I245" s="247" t="n"/>
    </row>
    <row r="246">
      <c r="A246" s="244" t="n"/>
      <c r="B246" s="245" t="n"/>
      <c r="C246" s="245" t="n"/>
      <c r="D246" s="246" t="n"/>
      <c r="E246" s="247" t="n"/>
      <c r="F246" s="247" t="n"/>
      <c r="G246" s="247" t="n"/>
      <c r="H246" s="247" t="n"/>
      <c r="I246" s="247" t="n"/>
    </row>
    <row r="247">
      <c r="A247" s="244" t="n"/>
      <c r="B247" s="245" t="n"/>
      <c r="C247" s="245" t="n"/>
      <c r="D247" s="246" t="n"/>
      <c r="E247" s="247" t="n"/>
      <c r="F247" s="247" t="n"/>
      <c r="G247" s="247" t="n"/>
      <c r="H247" s="247" t="n"/>
      <c r="I247" s="247" t="n"/>
    </row>
    <row r="248">
      <c r="A248" s="244" t="n"/>
      <c r="B248" s="245" t="n"/>
      <c r="C248" s="245" t="n"/>
      <c r="D248" s="246" t="n"/>
      <c r="E248" s="247" t="n"/>
      <c r="F248" s="247" t="n"/>
      <c r="G248" s="247" t="n"/>
      <c r="H248" s="247" t="n"/>
      <c r="I248" s="247" t="n"/>
    </row>
    <row r="249">
      <c r="A249" s="244" t="n"/>
      <c r="B249" s="245" t="n"/>
      <c r="C249" s="245" t="n"/>
      <c r="D249" s="246" t="n"/>
      <c r="E249" s="247" t="n"/>
      <c r="F249" s="247" t="n"/>
      <c r="G249" s="247" t="n"/>
      <c r="H249" s="247" t="n"/>
      <c r="I249" s="247" t="n"/>
    </row>
    <row r="250">
      <c r="A250" s="244" t="n"/>
      <c r="B250" s="245" t="n"/>
      <c r="C250" s="245" t="n"/>
      <c r="D250" s="246" t="n"/>
      <c r="E250" s="247" t="n"/>
      <c r="F250" s="247" t="n"/>
      <c r="G250" s="247" t="n"/>
      <c r="H250" s="247" t="n"/>
      <c r="I250" s="247" t="n"/>
    </row>
    <row r="251">
      <c r="A251" s="244" t="n"/>
      <c r="B251" s="245" t="n"/>
      <c r="C251" s="245" t="n"/>
      <c r="D251" s="246" t="n"/>
      <c r="E251" s="247" t="n"/>
      <c r="F251" s="247" t="n"/>
      <c r="G251" s="247" t="n"/>
      <c r="H251" s="247" t="n"/>
      <c r="I251" s="247" t="n"/>
    </row>
    <row r="252">
      <c r="A252" s="244" t="n"/>
      <c r="B252" s="245" t="n"/>
      <c r="C252" s="245" t="n"/>
      <c r="D252" s="246" t="n"/>
      <c r="E252" s="247" t="n"/>
      <c r="F252" s="247" t="n"/>
      <c r="G252" s="247" t="n"/>
      <c r="H252" s="247" t="n"/>
      <c r="I252" s="247" t="n"/>
    </row>
    <row r="253">
      <c r="A253" s="244" t="n"/>
      <c r="B253" s="245" t="n"/>
      <c r="C253" s="245" t="n"/>
      <c r="D253" s="246" t="n"/>
      <c r="E253" s="247" t="n"/>
      <c r="F253" s="247" t="n"/>
      <c r="G253" s="247" t="n"/>
      <c r="H253" s="247" t="n"/>
      <c r="I253" s="247" t="n"/>
    </row>
    <row r="254">
      <c r="A254" s="244" t="n"/>
      <c r="B254" s="245" t="n"/>
      <c r="C254" s="245" t="n"/>
      <c r="D254" s="246" t="n"/>
      <c r="E254" s="247" t="n"/>
      <c r="F254" s="247" t="n"/>
      <c r="G254" s="247" t="n"/>
      <c r="H254" s="247" t="n"/>
      <c r="I254" s="247" t="n"/>
    </row>
    <row r="255">
      <c r="A255" s="244" t="n"/>
      <c r="B255" s="245" t="n"/>
      <c r="C255" s="245" t="n"/>
      <c r="D255" s="246" t="n"/>
      <c r="E255" s="247" t="n"/>
      <c r="F255" s="247" t="n"/>
      <c r="G255" s="247" t="n"/>
      <c r="H255" s="247" t="n"/>
      <c r="I255" s="247" t="n"/>
    </row>
    <row r="256">
      <c r="A256" s="244" t="n"/>
      <c r="B256" s="245" t="n"/>
      <c r="C256" s="245" t="n"/>
      <c r="D256" s="246" t="n"/>
      <c r="E256" s="247" t="n"/>
      <c r="F256" s="247" t="n"/>
      <c r="G256" s="247" t="n"/>
      <c r="H256" s="247" t="n"/>
      <c r="I256" s="247" t="n"/>
    </row>
    <row r="257">
      <c r="A257" s="244" t="n"/>
      <c r="B257" s="245" t="n"/>
      <c r="C257" s="245" t="n"/>
      <c r="D257" s="246" t="n"/>
      <c r="E257" s="247" t="n"/>
      <c r="F257" s="247" t="n"/>
      <c r="G257" s="247" t="n"/>
      <c r="H257" s="247" t="n"/>
      <c r="I257" s="247" t="n"/>
    </row>
    <row r="258">
      <c r="A258" s="244" t="n"/>
      <c r="B258" s="245" t="n"/>
      <c r="C258" s="245" t="n"/>
      <c r="D258" s="246" t="n"/>
      <c r="E258" s="247" t="n"/>
      <c r="F258" s="247" t="n"/>
      <c r="G258" s="247" t="n"/>
      <c r="H258" s="247" t="n"/>
      <c r="I258" s="247" t="n"/>
    </row>
    <row r="259">
      <c r="A259" s="244" t="n"/>
      <c r="B259" s="245" t="n"/>
      <c r="C259" s="245" t="n"/>
      <c r="D259" s="246" t="n"/>
      <c r="E259" s="247" t="n"/>
      <c r="F259" s="247" t="n"/>
      <c r="G259" s="247" t="n"/>
      <c r="H259" s="247" t="n"/>
      <c r="I259" s="247" t="n"/>
    </row>
    <row r="260">
      <c r="A260" s="244" t="n"/>
      <c r="B260" s="245" t="n"/>
      <c r="C260" s="245" t="n"/>
      <c r="D260" s="246" t="n"/>
      <c r="E260" s="247" t="n"/>
      <c r="F260" s="247" t="n"/>
      <c r="G260" s="247" t="n"/>
      <c r="H260" s="247" t="n"/>
      <c r="I260" s="247" t="n"/>
    </row>
    <row r="261">
      <c r="A261" s="244" t="n"/>
      <c r="B261" s="245" t="n"/>
      <c r="C261" s="245" t="n"/>
      <c r="D261" s="246" t="n"/>
      <c r="E261" s="247" t="n"/>
      <c r="F261" s="247" t="n"/>
      <c r="G261" s="247" t="n"/>
      <c r="H261" s="247" t="n"/>
      <c r="I261" s="247" t="n"/>
    </row>
    <row r="262">
      <c r="A262" s="244" t="n"/>
      <c r="B262" s="245" t="n"/>
      <c r="C262" s="245" t="n"/>
      <c r="D262" s="246" t="n"/>
      <c r="E262" s="247" t="n"/>
      <c r="F262" s="247" t="n"/>
      <c r="G262" s="247" t="n"/>
      <c r="H262" s="247" t="n"/>
      <c r="I262" s="247" t="n"/>
    </row>
    <row r="263">
      <c r="A263" s="244" t="n"/>
      <c r="B263" s="245" t="n"/>
      <c r="C263" s="245" t="n"/>
      <c r="D263" s="246" t="n"/>
      <c r="E263" s="247" t="n"/>
      <c r="F263" s="247" t="n"/>
      <c r="G263" s="247" t="n"/>
      <c r="H263" s="247" t="n"/>
      <c r="I263" s="247" t="n"/>
    </row>
    <row r="264">
      <c r="A264" s="244" t="n"/>
      <c r="B264" s="245" t="n"/>
      <c r="C264" s="245" t="n"/>
      <c r="D264" s="246" t="n"/>
      <c r="E264" s="247" t="n"/>
      <c r="F264" s="247" t="n"/>
      <c r="G264" s="247" t="n"/>
      <c r="H264" s="247" t="n"/>
      <c r="I264" s="247" t="n"/>
    </row>
    <row r="265">
      <c r="A265" s="244" t="n"/>
      <c r="B265" s="245" t="n"/>
      <c r="C265" s="245" t="n"/>
      <c r="D265" s="246" t="n"/>
      <c r="E265" s="247" t="n"/>
      <c r="F265" s="247" t="n"/>
      <c r="G265" s="247" t="n"/>
      <c r="H265" s="247" t="n"/>
      <c r="I265" s="247" t="n"/>
    </row>
    <row r="266">
      <c r="A266" s="244" t="n"/>
      <c r="B266" s="245" t="n"/>
      <c r="C266" s="245" t="n"/>
      <c r="D266" s="246" t="n"/>
      <c r="E266" s="247" t="n"/>
      <c r="F266" s="247" t="n"/>
      <c r="G266" s="247" t="n"/>
      <c r="H266" s="247" t="n"/>
      <c r="I266" s="247" t="n"/>
    </row>
    <row r="267">
      <c r="A267" s="244" t="n"/>
      <c r="B267" s="245" t="n"/>
      <c r="C267" s="245" t="n"/>
      <c r="D267" s="246" t="n"/>
      <c r="E267" s="247" t="n"/>
      <c r="F267" s="247" t="n"/>
      <c r="G267" s="247" t="n"/>
      <c r="H267" s="247" t="n"/>
      <c r="I267" s="247" t="n"/>
    </row>
    <row r="268">
      <c r="A268" s="244" t="n"/>
      <c r="B268" s="245" t="n"/>
      <c r="C268" s="245" t="n"/>
      <c r="D268" s="246" t="n"/>
      <c r="E268" s="247" t="n"/>
      <c r="F268" s="247" t="n"/>
      <c r="G268" s="247" t="n"/>
      <c r="H268" s="247" t="n"/>
      <c r="I268" s="247" t="n"/>
    </row>
    <row r="269">
      <c r="A269" s="244" t="n"/>
      <c r="B269" s="245" t="n"/>
      <c r="C269" s="245" t="n"/>
      <c r="D269" s="246" t="n"/>
      <c r="E269" s="247" t="n"/>
      <c r="F269" s="247" t="n"/>
      <c r="G269" s="247" t="n"/>
      <c r="H269" s="247" t="n"/>
      <c r="I269" s="247" t="n"/>
    </row>
    <row r="270">
      <c r="A270" s="244" t="n"/>
      <c r="B270" s="245" t="n"/>
      <c r="C270" s="245" t="n"/>
      <c r="D270" s="246" t="n"/>
      <c r="E270" s="247" t="n"/>
      <c r="F270" s="247" t="n"/>
      <c r="G270" s="247" t="n"/>
      <c r="H270" s="247" t="n"/>
      <c r="I270" s="247" t="n"/>
    </row>
    <row r="271">
      <c r="A271" s="244" t="n"/>
      <c r="B271" s="245" t="n"/>
      <c r="C271" s="245" t="n"/>
      <c r="D271" s="246" t="n"/>
      <c r="E271" s="247" t="n"/>
      <c r="F271" s="247" t="n"/>
      <c r="G271" s="247" t="n"/>
      <c r="H271" s="247" t="n"/>
      <c r="I271" s="247" t="n"/>
    </row>
    <row r="272">
      <c r="A272" s="244" t="n"/>
      <c r="B272" s="245" t="n"/>
      <c r="C272" s="245" t="n"/>
      <c r="D272" s="246" t="n"/>
      <c r="E272" s="247" t="n"/>
      <c r="F272" s="247" t="n"/>
      <c r="G272" s="247" t="n"/>
      <c r="H272" s="247" t="n"/>
      <c r="I272" s="247" t="n"/>
    </row>
    <row r="273">
      <c r="A273" s="244" t="n"/>
      <c r="B273" s="245" t="n"/>
      <c r="C273" s="245" t="n"/>
      <c r="D273" s="246" t="n"/>
      <c r="E273" s="247" t="n"/>
      <c r="F273" s="247" t="n"/>
      <c r="G273" s="247" t="n"/>
      <c r="H273" s="247" t="n"/>
      <c r="I273" s="247" t="n"/>
    </row>
    <row r="274">
      <c r="A274" s="244" t="n"/>
      <c r="B274" s="245" t="n"/>
      <c r="C274" s="245" t="n"/>
      <c r="D274" s="246" t="n"/>
      <c r="E274" s="247" t="n"/>
      <c r="F274" s="247" t="n"/>
      <c r="G274" s="247" t="n"/>
      <c r="H274" s="247" t="n"/>
      <c r="I274" s="247" t="n"/>
    </row>
    <row r="275">
      <c r="A275" s="244" t="n"/>
      <c r="B275" s="245" t="n"/>
      <c r="C275" s="245" t="n"/>
      <c r="D275" s="246" t="n"/>
      <c r="E275" s="247" t="n"/>
      <c r="F275" s="247" t="n"/>
      <c r="G275" s="247" t="n"/>
      <c r="H275" s="247" t="n"/>
      <c r="I275" s="247" t="n"/>
    </row>
    <row r="276">
      <c r="A276" s="244" t="n"/>
      <c r="B276" s="245" t="n"/>
      <c r="C276" s="245" t="n"/>
      <c r="D276" s="246" t="n"/>
      <c r="E276" s="247" t="n"/>
      <c r="F276" s="247" t="n"/>
      <c r="G276" s="247" t="n"/>
      <c r="H276" s="247" t="n"/>
      <c r="I276" s="247" t="n"/>
    </row>
    <row r="277">
      <c r="A277" s="244" t="n"/>
      <c r="B277" s="245" t="n"/>
      <c r="C277" s="245" t="n"/>
      <c r="D277" s="246" t="n"/>
      <c r="E277" s="247" t="n"/>
      <c r="F277" s="247" t="n"/>
      <c r="G277" s="247" t="n"/>
      <c r="H277" s="247" t="n"/>
      <c r="I277" s="247" t="n"/>
    </row>
    <row r="278">
      <c r="A278" s="244" t="n"/>
      <c r="B278" s="245" t="n"/>
      <c r="C278" s="245" t="n"/>
      <c r="D278" s="246" t="n"/>
      <c r="E278" s="247" t="n"/>
      <c r="F278" s="247" t="n"/>
      <c r="G278" s="247" t="n"/>
      <c r="H278" s="247" t="n"/>
      <c r="I278" s="247" t="n"/>
    </row>
    <row r="279">
      <c r="A279" s="244" t="n"/>
      <c r="B279" s="245" t="n"/>
      <c r="C279" s="245" t="n"/>
      <c r="D279" s="246" t="n"/>
      <c r="E279" s="247" t="n"/>
      <c r="F279" s="247" t="n"/>
      <c r="G279" s="247" t="n"/>
      <c r="H279" s="247" t="n"/>
      <c r="I279" s="247" t="n"/>
    </row>
    <row r="280">
      <c r="A280" s="244" t="n"/>
      <c r="B280" s="245" t="n"/>
      <c r="C280" s="245" t="n"/>
      <c r="D280" s="246" t="n"/>
      <c r="E280" s="247" t="n"/>
      <c r="F280" s="247" t="n"/>
      <c r="G280" s="247" t="n"/>
      <c r="H280" s="247" t="n"/>
      <c r="I280" s="247" t="n"/>
    </row>
    <row r="281">
      <c r="A281" s="244" t="n"/>
      <c r="B281" s="245" t="n"/>
      <c r="C281" s="245" t="n"/>
      <c r="D281" s="246" t="n"/>
      <c r="E281" s="247" t="n"/>
      <c r="F281" s="247" t="n"/>
      <c r="G281" s="247" t="n"/>
      <c r="H281" s="247" t="n"/>
      <c r="I281" s="247" t="n"/>
    </row>
    <row r="282">
      <c r="A282" s="244" t="n"/>
      <c r="B282" s="245" t="n"/>
      <c r="C282" s="245" t="n"/>
      <c r="D282" s="246" t="n"/>
      <c r="E282" s="247" t="n"/>
      <c r="F282" s="247" t="n"/>
      <c r="G282" s="247" t="n"/>
      <c r="H282" s="247" t="n"/>
      <c r="I282" s="247" t="n"/>
    </row>
    <row r="283">
      <c r="A283" s="244" t="n"/>
      <c r="B283" s="245" t="n"/>
      <c r="C283" s="245" t="n"/>
      <c r="D283" s="246" t="n"/>
      <c r="E283" s="247" t="n"/>
      <c r="F283" s="247" t="n"/>
      <c r="G283" s="247" t="n"/>
      <c r="H283" s="247" t="n"/>
      <c r="I283" s="247" t="n"/>
    </row>
    <row r="284">
      <c r="A284" s="244" t="n"/>
      <c r="B284" s="245" t="n"/>
      <c r="C284" s="245" t="n"/>
      <c r="D284" s="246" t="n"/>
      <c r="E284" s="247" t="n"/>
      <c r="F284" s="247" t="n"/>
      <c r="G284" s="247" t="n"/>
      <c r="H284" s="247" t="n"/>
      <c r="I284" s="247" t="n"/>
    </row>
    <row r="285">
      <c r="A285" s="244" t="n"/>
      <c r="B285" s="245" t="n"/>
      <c r="C285" s="245" t="n"/>
      <c r="D285" s="246" t="n"/>
      <c r="E285" s="247" t="n"/>
      <c r="F285" s="247" t="n"/>
      <c r="G285" s="247" t="n"/>
      <c r="H285" s="247" t="n"/>
      <c r="I285" s="247" t="n"/>
    </row>
    <row r="286">
      <c r="A286" s="244" t="n"/>
      <c r="B286" s="245" t="n"/>
      <c r="C286" s="245" t="n"/>
      <c r="D286" s="246" t="n"/>
      <c r="E286" s="247" t="n"/>
      <c r="F286" s="247" t="n"/>
      <c r="G286" s="247" t="n"/>
      <c r="H286" s="247" t="n"/>
      <c r="I286" s="247" t="n"/>
    </row>
    <row r="287">
      <c r="A287" s="244" t="n"/>
      <c r="B287" s="245" t="n"/>
      <c r="C287" s="245" t="n"/>
      <c r="D287" s="246" t="n"/>
      <c r="E287" s="247" t="n"/>
      <c r="F287" s="247" t="n"/>
      <c r="G287" s="247" t="n"/>
      <c r="H287" s="247" t="n"/>
      <c r="I287" s="247" t="n"/>
    </row>
    <row r="288">
      <c r="A288" s="244" t="n"/>
      <c r="B288" s="245" t="n"/>
      <c r="C288" s="245" t="n"/>
      <c r="D288" s="246" t="n"/>
      <c r="E288" s="247" t="n"/>
      <c r="F288" s="247" t="n"/>
      <c r="G288" s="247" t="n"/>
      <c r="H288" s="247" t="n"/>
      <c r="I288" s="247" t="n"/>
    </row>
    <row r="289">
      <c r="A289" s="244" t="n"/>
      <c r="B289" s="245" t="n"/>
      <c r="C289" s="245" t="n"/>
      <c r="D289" s="246" t="n"/>
      <c r="E289" s="247" t="n"/>
      <c r="F289" s="247" t="n"/>
      <c r="G289" s="247" t="n"/>
      <c r="H289" s="247" t="n"/>
      <c r="I289" s="247" t="n"/>
    </row>
    <row r="290">
      <c r="A290" s="244" t="n"/>
      <c r="B290" s="245" t="n"/>
      <c r="C290" s="245" t="n"/>
      <c r="D290" s="246" t="n"/>
      <c r="E290" s="247" t="n"/>
      <c r="F290" s="247" t="n"/>
      <c r="G290" s="247" t="n"/>
      <c r="H290" s="247" t="n"/>
      <c r="I290" s="247" t="n"/>
    </row>
    <row r="291">
      <c r="A291" s="244" t="n"/>
      <c r="B291" s="245" t="n"/>
      <c r="C291" s="245" t="n"/>
      <c r="D291" s="246" t="n"/>
      <c r="E291" s="247" t="n"/>
      <c r="F291" s="247" t="n"/>
      <c r="G291" s="247" t="n"/>
      <c r="H291" s="247" t="n"/>
      <c r="I291" s="247" t="n"/>
    </row>
    <row r="292">
      <c r="A292" s="244" t="n"/>
      <c r="B292" s="245" t="n"/>
      <c r="C292" s="245" t="n"/>
      <c r="D292" s="246" t="n"/>
      <c r="E292" s="247" t="n"/>
      <c r="F292" s="247" t="n"/>
      <c r="G292" s="247" t="n"/>
      <c r="H292" s="247" t="n"/>
      <c r="I292" s="247" t="n"/>
    </row>
    <row r="293">
      <c r="A293" s="244" t="n"/>
      <c r="B293" s="245" t="n"/>
      <c r="C293" s="245" t="n"/>
      <c r="D293" s="246" t="n"/>
      <c r="E293" s="247" t="n"/>
      <c r="F293" s="247" t="n"/>
      <c r="G293" s="247" t="n"/>
      <c r="H293" s="247" t="n"/>
      <c r="I293" s="247" t="n"/>
    </row>
    <row r="294">
      <c r="A294" s="244" t="n"/>
      <c r="B294" s="245" t="n"/>
      <c r="C294" s="245" t="n"/>
      <c r="D294" s="246" t="n"/>
      <c r="E294" s="247" t="n"/>
      <c r="F294" s="247" t="n"/>
      <c r="G294" s="247" t="n"/>
      <c r="H294" s="247" t="n"/>
      <c r="I294" s="247" t="n"/>
    </row>
    <row r="295">
      <c r="A295" s="244" t="n"/>
      <c r="B295" s="245" t="n"/>
      <c r="C295" s="245" t="n"/>
      <c r="D295" s="246" t="n"/>
      <c r="E295" s="247" t="n"/>
      <c r="F295" s="247" t="n"/>
      <c r="G295" s="247" t="n"/>
      <c r="H295" s="247" t="n"/>
      <c r="I295" s="247" t="n"/>
    </row>
    <row r="296">
      <c r="A296" s="244" t="n"/>
      <c r="B296" s="245" t="n"/>
      <c r="C296" s="245" t="n"/>
      <c r="D296" s="246" t="n"/>
      <c r="E296" s="247" t="n"/>
      <c r="F296" s="247" t="n"/>
      <c r="G296" s="247" t="n"/>
      <c r="H296" s="247" t="n"/>
      <c r="I296" s="247" t="n"/>
    </row>
    <row r="297">
      <c r="A297" s="244" t="n"/>
      <c r="B297" s="245" t="n"/>
      <c r="C297" s="245" t="n"/>
      <c r="D297" s="246" t="n"/>
      <c r="E297" s="247" t="n"/>
      <c r="F297" s="247" t="n"/>
      <c r="G297" s="247" t="n"/>
      <c r="H297" s="247" t="n"/>
      <c r="I297" s="247" t="n"/>
    </row>
    <row r="298">
      <c r="A298" s="244" t="n"/>
      <c r="B298" s="245" t="n"/>
      <c r="C298" s="245" t="n"/>
      <c r="D298" s="246" t="n"/>
      <c r="E298" s="247" t="n"/>
      <c r="F298" s="247" t="n"/>
      <c r="G298" s="247" t="n"/>
      <c r="H298" s="247" t="n"/>
      <c r="I298" s="247" t="n"/>
    </row>
    <row r="299">
      <c r="A299" s="244" t="n"/>
      <c r="B299" s="245" t="n"/>
      <c r="C299" s="245" t="n"/>
      <c r="D299" s="246" t="n"/>
      <c r="E299" s="247" t="n"/>
      <c r="F299" s="247" t="n"/>
      <c r="G299" s="247" t="n"/>
      <c r="H299" s="247" t="n"/>
      <c r="I299" s="247" t="n"/>
    </row>
    <row r="300">
      <c r="A300" s="244" t="n"/>
      <c r="B300" s="245" t="n"/>
      <c r="C300" s="245" t="n"/>
      <c r="D300" s="246" t="n"/>
      <c r="E300" s="247" t="n"/>
      <c r="F300" s="247" t="n"/>
      <c r="G300" s="247" t="n"/>
      <c r="H300" s="247" t="n"/>
      <c r="I300" s="247" t="n"/>
    </row>
    <row r="301">
      <c r="A301" s="244" t="n"/>
      <c r="B301" s="245" t="n"/>
      <c r="C301" s="245" t="n"/>
      <c r="D301" s="246" t="n"/>
      <c r="E301" s="247" t="n"/>
      <c r="F301" s="247" t="n"/>
      <c r="G301" s="247" t="n"/>
      <c r="H301" s="247" t="n"/>
      <c r="I301" s="247" t="n"/>
    </row>
    <row r="302">
      <c r="A302" s="244" t="n"/>
      <c r="B302" s="245" t="n"/>
      <c r="C302" s="245" t="n"/>
      <c r="D302" s="246" t="n"/>
      <c r="E302" s="247" t="n"/>
      <c r="F302" s="247" t="n"/>
      <c r="G302" s="247" t="n"/>
      <c r="H302" s="247" t="n"/>
      <c r="I302" s="247" t="n"/>
    </row>
    <row r="303">
      <c r="A303" s="244" t="n"/>
      <c r="B303" s="245" t="n"/>
      <c r="C303" s="245" t="n"/>
      <c r="D303" s="246" t="n"/>
      <c r="E303" s="247" t="n"/>
      <c r="F303" s="247" t="n"/>
      <c r="G303" s="247" t="n"/>
      <c r="H303" s="247" t="n"/>
      <c r="I303" s="247" t="n"/>
    </row>
  </sheetData>
  <mergeCells count="2">
    <mergeCell ref="A1:I1"/>
    <mergeCell ref="A2:I2"/>
  </mergeCells>
  <dataValidations count="2">
    <dataValidation sqref="C4:C303" showDropDown="0" showInputMessage="0" showErrorMessage="0" allowBlank="1" type="list">
      <formula1>"Metaウェビナー,Meta介護校,MetaClaude,Googleウェビナー,Google常設,LINEウェビナー,LINE常設,広告外"</formula1>
    </dataValidation>
    <dataValidation sqref="B4:B303" showDropDown="0" showInputMessage="0" showErrorMessage="0" allowBlank="1" type="list">
      <formula1>"Meta,Google,LINE,広告外"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39"/>
  <sheetViews>
    <sheetView showGridLines="0"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style="68" min="1" max="1"/>
    <col width="12" customWidth="1" style="68" min="2" max="2"/>
    <col width="11" customWidth="1" style="68" min="3" max="3"/>
    <col width="9" customWidth="1" style="68" min="4" max="4"/>
    <col width="9" customWidth="1" style="68" min="5" max="5"/>
    <col width="7" customWidth="1" style="68" min="6" max="6"/>
    <col width="8" customWidth="1" style="68" min="7" max="7"/>
    <col width="8" customWidth="1" style="68" min="8" max="8"/>
    <col width="8" customWidth="1" style="68" min="9" max="9"/>
    <col width="8" customWidth="1" style="68" min="10" max="10"/>
    <col width="9" customWidth="1" style="68" min="11" max="11"/>
    <col width="7" customWidth="1" style="68" min="12" max="12"/>
    <col width="9" customWidth="1" style="68" min="13" max="13"/>
    <col width="7" customWidth="1" style="68" min="14" max="14"/>
    <col width="8" customWidth="1" style="68" min="15" max="15"/>
    <col width="12" customWidth="1" style="68" min="16" max="16"/>
    <col width="10" customWidth="1" style="68" min="17" max="17"/>
    <col width="10" customWidth="1" style="68" min="18" max="18"/>
  </cols>
  <sheetData>
    <row r="1">
      <c r="A1" s="385" t="inlineStr">
        <is>
          <t>週次分析：媒体 × キャンペーン別（表側＝時系列）</t>
        </is>
      </c>
      <c r="B1" s="162" t="n"/>
      <c r="C1" s="162" t="n"/>
      <c r="D1" s="162" t="n"/>
      <c r="E1" s="162" t="n"/>
      <c r="F1" s="162" t="n"/>
      <c r="G1" s="162" t="n"/>
      <c r="H1" s="162" t="n"/>
      <c r="I1" s="162" t="n"/>
      <c r="J1" s="162" t="n"/>
      <c r="K1" s="162" t="n"/>
      <c r="L1" s="162" t="n"/>
      <c r="M1" s="162" t="n"/>
      <c r="N1" s="162" t="n"/>
      <c r="O1" s="162" t="n"/>
      <c r="P1" s="162" t="n"/>
      <c r="Q1" s="162" t="n"/>
      <c r="R1" s="163" t="n"/>
    </row>
    <row r="2">
      <c r="A2" s="386" t="inlineStr">
        <is>
          <t>W1〜W9は確定値。W10以降（緑セル）は『日次入力』タブから自動集計。CPM〜余裕倍率は自動計算。</t>
        </is>
      </c>
      <c r="B2" s="162" t="n"/>
      <c r="C2" s="162" t="n"/>
      <c r="D2" s="162" t="n"/>
      <c r="E2" s="162" t="n"/>
      <c r="F2" s="162" t="n"/>
      <c r="G2" s="162" t="n"/>
      <c r="H2" s="162" t="n"/>
      <c r="I2" s="162" t="n"/>
      <c r="J2" s="162" t="n"/>
      <c r="K2" s="162" t="n"/>
      <c r="L2" s="162" t="n"/>
      <c r="M2" s="162" t="n"/>
      <c r="N2" s="162" t="n"/>
      <c r="O2" s="162" t="n"/>
      <c r="P2" s="162" t="n"/>
      <c r="Q2" s="162" t="n"/>
      <c r="R2" s="163" t="n"/>
    </row>
    <row r="4">
      <c r="A4" s="388" t="inlineStr">
        <is>
          <t xml:space="preserve">　Meta ／ ウェビナー告知用　（目標CPL ¥11,374）</t>
        </is>
      </c>
      <c r="B4" s="162" t="n"/>
      <c r="C4" s="162" t="n"/>
      <c r="D4" s="162" t="n"/>
      <c r="E4" s="162" t="n"/>
      <c r="F4" s="162" t="n"/>
      <c r="G4" s="162" t="n"/>
      <c r="H4" s="162" t="n"/>
      <c r="I4" s="162" t="n"/>
      <c r="J4" s="162" t="n"/>
      <c r="K4" s="162" t="n"/>
      <c r="L4" s="162" t="n"/>
      <c r="M4" s="162" t="n"/>
      <c r="N4" s="162" t="n"/>
      <c r="O4" s="162" t="n"/>
      <c r="P4" s="162" t="n"/>
      <c r="Q4" s="162" t="n"/>
      <c r="R4" s="163" t="n"/>
    </row>
    <row r="5" ht="26" customHeight="1" s="68">
      <c r="A5" s="141" t="inlineStr">
        <is>
          <t>週</t>
        </is>
      </c>
      <c r="B5" s="141" t="inlineStr">
        <is>
          <t>期間</t>
        </is>
      </c>
      <c r="C5" s="141" t="inlineStr">
        <is>
          <t>消費金額</t>
        </is>
      </c>
      <c r="D5" s="141" t="inlineStr">
        <is>
          <t>IMP</t>
        </is>
      </c>
      <c r="E5" s="141" t="inlineStr">
        <is>
          <t>クリック</t>
        </is>
      </c>
      <c r="F5" s="141" t="inlineStr">
        <is>
          <t>CV</t>
        </is>
      </c>
      <c r="G5" s="141" t="inlineStr">
        <is>
          <t>CTR</t>
        </is>
      </c>
      <c r="H5" s="141" t="inlineStr">
        <is>
          <t>CPC</t>
        </is>
      </c>
      <c r="I5" s="141" t="inlineStr">
        <is>
          <t>CPM</t>
        </is>
      </c>
      <c r="J5" s="141" t="inlineStr">
        <is>
          <t>CVR</t>
        </is>
      </c>
      <c r="K5" s="141" t="inlineStr">
        <is>
          <t>CPL</t>
        </is>
      </c>
      <c r="L5" s="141" t="inlineStr">
        <is>
          <t>商談</t>
        </is>
      </c>
      <c r="M5" s="141" t="inlineStr">
        <is>
          <t>歩留まり</t>
        </is>
      </c>
      <c r="N5" s="141" t="inlineStr">
        <is>
          <t>成約</t>
        </is>
      </c>
      <c r="O5" s="141" t="inlineStr">
        <is>
          <t>成約率</t>
        </is>
      </c>
      <c r="P5" s="141" t="inlineStr">
        <is>
          <t>1成約広告費</t>
        </is>
      </c>
      <c r="Q5" s="141" t="inlineStr">
        <is>
          <t>対許容CPA</t>
        </is>
      </c>
      <c r="R5" s="141" t="inlineStr">
        <is>
          <t>余裕倍率</t>
        </is>
      </c>
    </row>
    <row r="6">
      <c r="A6" s="389" t="inlineStr">
        <is>
          <t>W1</t>
        </is>
      </c>
      <c r="B6" s="390" t="inlineStr">
        <is>
          <t>4/7–4/13</t>
        </is>
      </c>
      <c r="C6" s="391" t="n">
        <v>87849</v>
      </c>
      <c r="D6" s="392" t="n">
        <v>38081</v>
      </c>
      <c r="E6" s="392" t="n">
        <v>612</v>
      </c>
      <c r="F6" s="392" t="n">
        <v>35</v>
      </c>
      <c r="G6" s="393">
        <f>IFERROR(E6/D6,"")</f>
        <v/>
      </c>
      <c r="H6" s="394">
        <f>IFERROR(C6/E6,"")</f>
        <v/>
      </c>
      <c r="I6" s="394">
        <f>IFERROR(C6/D6*1000,"")</f>
        <v/>
      </c>
      <c r="J6" s="393">
        <f>IFERROR(F6/E6,"")</f>
        <v/>
      </c>
      <c r="K6" s="394">
        <f>IFERROR(C6/F6,"")</f>
        <v/>
      </c>
      <c r="L6" s="392" t="n"/>
      <c r="M6" s="393">
        <f>IF(L6="","",IFERROR(L6/F6,""))</f>
        <v/>
      </c>
      <c r="N6" s="392" t="n"/>
      <c r="O6" s="393">
        <f>IF(N6="","",IFERROR(N6/L6,""))</f>
        <v/>
      </c>
      <c r="P6" s="394">
        <f>IF(N6=0,"",IFERROR(C6/N6,""))</f>
        <v/>
      </c>
      <c r="Q6" s="395">
        <f>IF(N6=0,"",IFERROR(IF(C6/N6&lt;=用語集!$B$23,"◎ 許容内","✗ 超過"),"—"))</f>
        <v/>
      </c>
      <c r="R6" s="396">
        <f>IFERROR(用語集!$B$23/P6,"")</f>
        <v/>
      </c>
    </row>
    <row r="7">
      <c r="A7" s="389" t="inlineStr">
        <is>
          <t>W2</t>
        </is>
      </c>
      <c r="B7" s="390" t="inlineStr">
        <is>
          <t>4/14–4/20</t>
        </is>
      </c>
      <c r="C7" s="391" t="n">
        <v>84574</v>
      </c>
      <c r="D7" s="392" t="n">
        <v>32897</v>
      </c>
      <c r="E7" s="392" t="n">
        <v>528</v>
      </c>
      <c r="F7" s="392" t="n">
        <v>34</v>
      </c>
      <c r="G7" s="393">
        <f>IFERROR(E7/D7,"")</f>
        <v/>
      </c>
      <c r="H7" s="394">
        <f>IFERROR(C7/E7,"")</f>
        <v/>
      </c>
      <c r="I7" s="394">
        <f>IFERROR(C7/D7*1000,"")</f>
        <v/>
      </c>
      <c r="J7" s="393">
        <f>IFERROR(F7/E7,"")</f>
        <v/>
      </c>
      <c r="K7" s="394">
        <f>IFERROR(C7/F7,"")</f>
        <v/>
      </c>
      <c r="L7" s="392" t="n"/>
      <c r="M7" s="393">
        <f>IF(L7="","",IFERROR(L7/F7,""))</f>
        <v/>
      </c>
      <c r="N7" s="392" t="n"/>
      <c r="O7" s="393">
        <f>IF(N7="","",IFERROR(N7/L7,""))</f>
        <v/>
      </c>
      <c r="P7" s="394">
        <f>IF(N7=0,"",IFERROR(C7/N7,""))</f>
        <v/>
      </c>
      <c r="Q7" s="395">
        <f>IF(N7=0,"",IFERROR(IF(C7/N7&lt;=用語集!$B$23,"◎ 許容内","✗ 超過"),"—"))</f>
        <v/>
      </c>
      <c r="R7" s="396">
        <f>IFERROR(用語集!$B$23/P7,"")</f>
        <v/>
      </c>
    </row>
    <row r="8">
      <c r="A8" s="389" t="inlineStr">
        <is>
          <t>W3</t>
        </is>
      </c>
      <c r="B8" s="390" t="inlineStr">
        <is>
          <t>4/21–4/27</t>
        </is>
      </c>
      <c r="C8" s="391" t="n">
        <v>77500</v>
      </c>
      <c r="D8" s="392" t="n">
        <v>22541</v>
      </c>
      <c r="E8" s="392" t="n">
        <v>461</v>
      </c>
      <c r="F8" s="392" t="n">
        <v>25</v>
      </c>
      <c r="G8" s="393">
        <f>IFERROR(E8/D8,"")</f>
        <v/>
      </c>
      <c r="H8" s="394">
        <f>IFERROR(C8/E8,"")</f>
        <v/>
      </c>
      <c r="I8" s="394">
        <f>IFERROR(C8/D8*1000,"")</f>
        <v/>
      </c>
      <c r="J8" s="393">
        <f>IFERROR(F8/E8,"")</f>
        <v/>
      </c>
      <c r="K8" s="394">
        <f>IFERROR(C8/F8,"")</f>
        <v/>
      </c>
      <c r="L8" s="392" t="n"/>
      <c r="M8" s="393">
        <f>IF(L8="","",IFERROR(L8/F8,""))</f>
        <v/>
      </c>
      <c r="N8" s="392" t="n"/>
      <c r="O8" s="393">
        <f>IF(N8="","",IFERROR(N8/L8,""))</f>
        <v/>
      </c>
      <c r="P8" s="394">
        <f>IF(N8=0,"",IFERROR(C8/N8,""))</f>
        <v/>
      </c>
      <c r="Q8" s="395">
        <f>IF(N8=0,"",IFERROR(IF(C8/N8&lt;=用語集!$B$23,"◎ 許容内","✗ 超過"),"—"))</f>
        <v/>
      </c>
      <c r="R8" s="396">
        <f>IFERROR(用語集!$B$23/P8,"")</f>
        <v/>
      </c>
    </row>
    <row r="9">
      <c r="A9" s="389" t="inlineStr">
        <is>
          <t>W4</t>
        </is>
      </c>
      <c r="B9" s="390" t="inlineStr">
        <is>
          <t>4/28–5/4</t>
        </is>
      </c>
      <c r="C9" s="390" t="inlineStr">
        <is>
          <t>配信なし</t>
        </is>
      </c>
      <c r="D9" s="397" t="n"/>
      <c r="E9" s="397" t="n"/>
      <c r="F9" s="397" t="n"/>
      <c r="G9" s="393">
        <f>IFERROR(E9/D9,"")</f>
        <v/>
      </c>
      <c r="H9" s="394">
        <f>IFERROR(C9/E9,"")</f>
        <v/>
      </c>
      <c r="I9" s="394">
        <f>IFERROR(C9/D9*1000,"")</f>
        <v/>
      </c>
      <c r="J9" s="393">
        <f>IFERROR(F9/E9,"")</f>
        <v/>
      </c>
      <c r="K9" s="394">
        <f>IFERROR(C9/F9,"")</f>
        <v/>
      </c>
      <c r="L9" s="392" t="n"/>
      <c r="M9" s="393">
        <f>IF(L9="","",IFERROR(L9/F9,""))</f>
        <v/>
      </c>
      <c r="N9" s="392" t="n"/>
      <c r="O9" s="393">
        <f>IF(N9="","",IFERROR(N9/L9,""))</f>
        <v/>
      </c>
      <c r="P9" s="394">
        <f>IF(N9=0,"",IFERROR(C9/N9,""))</f>
        <v/>
      </c>
      <c r="Q9" s="395">
        <f>IF(N9=0,"",IFERROR(IF(C9/N9&lt;=用語集!$B$23,"◎ 許容内","✗ 超過"),"—"))</f>
        <v/>
      </c>
      <c r="R9" s="396">
        <f>IFERROR(用語集!$B$23/P9,"")</f>
        <v/>
      </c>
    </row>
    <row r="10">
      <c r="A10" s="389" t="inlineStr">
        <is>
          <t>W5</t>
        </is>
      </c>
      <c r="B10" s="390" t="inlineStr">
        <is>
          <t>5/5–5/11</t>
        </is>
      </c>
      <c r="C10" s="390" t="inlineStr">
        <is>
          <t>配信なし</t>
        </is>
      </c>
      <c r="D10" s="397" t="n"/>
      <c r="E10" s="397" t="n"/>
      <c r="F10" s="397" t="n"/>
      <c r="G10" s="393">
        <f>IFERROR(E10/D10,"")</f>
        <v/>
      </c>
      <c r="H10" s="394">
        <f>IFERROR(C10/E10,"")</f>
        <v/>
      </c>
      <c r="I10" s="394">
        <f>IFERROR(C10/D10*1000,"")</f>
        <v/>
      </c>
      <c r="J10" s="393">
        <f>IFERROR(F10/E10,"")</f>
        <v/>
      </c>
      <c r="K10" s="394">
        <f>IFERROR(C10/F10,"")</f>
        <v/>
      </c>
      <c r="L10" s="392" t="n"/>
      <c r="M10" s="393">
        <f>IF(L10="","",IFERROR(L10/F10,""))</f>
        <v/>
      </c>
      <c r="N10" s="392" t="n"/>
      <c r="O10" s="393">
        <f>IF(N10="","",IFERROR(N10/L10,""))</f>
        <v/>
      </c>
      <c r="P10" s="394">
        <f>IF(N10=0,"",IFERROR(C10/N10,""))</f>
        <v/>
      </c>
      <c r="Q10" s="395">
        <f>IF(N10=0,"",IFERROR(IF(C10/N10&lt;=用語集!$B$23,"◎ 許容内","✗ 超過"),"—"))</f>
        <v/>
      </c>
      <c r="R10" s="396">
        <f>IFERROR(用語集!$B$23/P10,"")</f>
        <v/>
      </c>
    </row>
    <row r="11">
      <c r="A11" s="389" t="inlineStr">
        <is>
          <t>W6</t>
        </is>
      </c>
      <c r="B11" s="390" t="inlineStr">
        <is>
          <t>5/12–5/18</t>
        </is>
      </c>
      <c r="C11" s="390" t="inlineStr">
        <is>
          <t>配信なし</t>
        </is>
      </c>
      <c r="D11" s="397" t="n"/>
      <c r="E11" s="397" t="n"/>
      <c r="F11" s="397" t="n"/>
      <c r="G11" s="393">
        <f>IFERROR(E11/D11,"")</f>
        <v/>
      </c>
      <c r="H11" s="394">
        <f>IFERROR(C11/E11,"")</f>
        <v/>
      </c>
      <c r="I11" s="394">
        <f>IFERROR(C11/D11*1000,"")</f>
        <v/>
      </c>
      <c r="J11" s="393">
        <f>IFERROR(F11/E11,"")</f>
        <v/>
      </c>
      <c r="K11" s="394">
        <f>IFERROR(C11/F11,"")</f>
        <v/>
      </c>
      <c r="L11" s="392" t="n"/>
      <c r="M11" s="393">
        <f>IF(L11="","",IFERROR(L11/F11,""))</f>
        <v/>
      </c>
      <c r="N11" s="392" t="n"/>
      <c r="O11" s="393">
        <f>IF(N11="","",IFERROR(N11/L11,""))</f>
        <v/>
      </c>
      <c r="P11" s="394">
        <f>IF(N11=0,"",IFERROR(C11/N11,""))</f>
        <v/>
      </c>
      <c r="Q11" s="395">
        <f>IF(N11=0,"",IFERROR(IF(C11/N11&lt;=用語集!$B$23,"◎ 許容内","✗ 超過"),"—"))</f>
        <v/>
      </c>
      <c r="R11" s="396">
        <f>IFERROR(用語集!$B$23/P11,"")</f>
        <v/>
      </c>
    </row>
    <row r="12">
      <c r="A12" s="389" t="inlineStr">
        <is>
          <t>W7</t>
        </is>
      </c>
      <c r="B12" s="390" t="inlineStr">
        <is>
          <t>5/19–5/25</t>
        </is>
      </c>
      <c r="C12" s="390" t="inlineStr">
        <is>
          <t>配信なし</t>
        </is>
      </c>
      <c r="D12" s="397" t="n"/>
      <c r="E12" s="397" t="n"/>
      <c r="F12" s="397" t="n"/>
      <c r="G12" s="393">
        <f>IFERROR(E12/D12,"")</f>
        <v/>
      </c>
      <c r="H12" s="394">
        <f>IFERROR(C12/E12,"")</f>
        <v/>
      </c>
      <c r="I12" s="394">
        <f>IFERROR(C12/D12*1000,"")</f>
        <v/>
      </c>
      <c r="J12" s="393">
        <f>IFERROR(F12/E12,"")</f>
        <v/>
      </c>
      <c r="K12" s="394">
        <f>IFERROR(C12/F12,"")</f>
        <v/>
      </c>
      <c r="L12" s="392" t="n"/>
      <c r="M12" s="393">
        <f>IF(L12="","",IFERROR(L12/F12,""))</f>
        <v/>
      </c>
      <c r="N12" s="392" t="n"/>
      <c r="O12" s="393">
        <f>IF(N12="","",IFERROR(N12/L12,""))</f>
        <v/>
      </c>
      <c r="P12" s="394">
        <f>IF(N12=0,"",IFERROR(C12/N12,""))</f>
        <v/>
      </c>
      <c r="Q12" s="395">
        <f>IF(N12=0,"",IFERROR(IF(C12/N12&lt;=用語集!$B$23,"◎ 許容内","✗ 超過"),"—"))</f>
        <v/>
      </c>
      <c r="R12" s="396">
        <f>IFERROR(用語集!$B$23/P12,"")</f>
        <v/>
      </c>
    </row>
    <row r="13">
      <c r="A13" s="389" t="inlineStr">
        <is>
          <t>W8</t>
        </is>
      </c>
      <c r="B13" s="390" t="inlineStr">
        <is>
          <t>5/26–6/1</t>
        </is>
      </c>
      <c r="C13" s="391" t="n">
        <v>63871</v>
      </c>
      <c r="D13" s="392" t="n">
        <v>18209</v>
      </c>
      <c r="E13" s="392" t="n">
        <v>469</v>
      </c>
      <c r="F13" s="392" t="n">
        <v>49</v>
      </c>
      <c r="G13" s="393">
        <f>IFERROR(E13/D13,"")</f>
        <v/>
      </c>
      <c r="H13" s="394">
        <f>IFERROR(C13/E13,"")</f>
        <v/>
      </c>
      <c r="I13" s="394">
        <f>IFERROR(C13/D13*1000,"")</f>
        <v/>
      </c>
      <c r="J13" s="393">
        <f>IFERROR(F13/E13,"")</f>
        <v/>
      </c>
      <c r="K13" s="394">
        <f>IFERROR(C13/F13,"")</f>
        <v/>
      </c>
      <c r="L13" s="392" t="n"/>
      <c r="M13" s="393">
        <f>IF(L13="","",IFERROR(L13/F13,""))</f>
        <v/>
      </c>
      <c r="N13" s="392" t="n"/>
      <c r="O13" s="393">
        <f>IF(N13="","",IFERROR(N13/L13,""))</f>
        <v/>
      </c>
      <c r="P13" s="394">
        <f>IF(N13=0,"",IFERROR(C13/N13,""))</f>
        <v/>
      </c>
      <c r="Q13" s="395">
        <f>IF(N13=0,"",IFERROR(IF(C13/N13&lt;=用語集!$B$23,"◎ 許容内","✗ 超過"),"—"))</f>
        <v/>
      </c>
      <c r="R13" s="396">
        <f>IFERROR(用語集!$B$23/P13,"")</f>
        <v/>
      </c>
    </row>
    <row r="14">
      <c r="A14" s="389" t="inlineStr">
        <is>
          <t>W9</t>
        </is>
      </c>
      <c r="B14" s="390" t="inlineStr">
        <is>
          <t>6/2–6/8</t>
        </is>
      </c>
      <c r="C14" s="391" t="n">
        <v>103281</v>
      </c>
      <c r="D14" s="392" t="n">
        <v>40922</v>
      </c>
      <c r="E14" s="392" t="n">
        <v>649</v>
      </c>
      <c r="F14" s="392" t="n">
        <v>68</v>
      </c>
      <c r="G14" s="393">
        <f>IFERROR(E14/D14,"")</f>
        <v/>
      </c>
      <c r="H14" s="394">
        <f>IFERROR(C14/E14,"")</f>
        <v/>
      </c>
      <c r="I14" s="394">
        <f>IFERROR(C14/D14*1000,"")</f>
        <v/>
      </c>
      <c r="J14" s="393">
        <f>IFERROR(F14/E14,"")</f>
        <v/>
      </c>
      <c r="K14" s="394">
        <f>IFERROR(C14/F14,"")</f>
        <v/>
      </c>
      <c r="L14" s="392" t="n"/>
      <c r="M14" s="393">
        <f>IF(L14="","",IFERROR(L14/F14,""))</f>
        <v/>
      </c>
      <c r="N14" s="392" t="n"/>
      <c r="O14" s="393">
        <f>IF(N14="","",IFERROR(N14/L14,""))</f>
        <v/>
      </c>
      <c r="P14" s="394">
        <f>IF(N14=0,"",IFERROR(C14/N14,""))</f>
        <v/>
      </c>
      <c r="Q14" s="395">
        <f>IF(N14=0,"",IFERROR(IF(C14/N14&lt;=用語集!$B$23,"◎ 許容内","✗ 超過"),"—"))</f>
        <v/>
      </c>
      <c r="R14" s="396">
        <f>IFERROR(用語集!$B$23/P14,"")</f>
        <v/>
      </c>
    </row>
    <row r="15">
      <c r="A15" s="389" t="inlineStr">
        <is>
          <t>W10</t>
        </is>
      </c>
      <c r="B15" s="390" t="inlineStr">
        <is>
          <t>6/9–6/15</t>
        </is>
      </c>
      <c r="C15" s="398">
        <f>IF(COUNTIFS(日次入力!A:A,"&gt;="&amp;DATE(2026,6,9),日次入力!A:A,"&lt;="&amp;DATE(2026,6,15),日次入力!C:C,"Metaウェビナー")=0,"",SUMIFS(日次入力!D:D,日次入力!A:A,"&gt;="&amp;DATE(2026,6,9),日次入力!A:A,"&lt;="&amp;DATE(2026,6,15),日次入力!C:C,"Metaウェビナー"))</f>
        <v/>
      </c>
      <c r="D15" s="399">
        <f>IF(COUNTIFS(日次入力!A:A,"&gt;="&amp;DATE(2026,6,9),日次入力!A:A,"&lt;="&amp;DATE(2026,6,15),日次入力!C:C,"Metaウェビナー")=0,"",SUMIFS(日次入力!E:E,日次入力!A:A,"&gt;="&amp;DATE(2026,6,9),日次入力!A:A,"&lt;="&amp;DATE(2026,6,15),日次入力!C:C,"Metaウェビナー"))</f>
        <v/>
      </c>
      <c r="E15" s="399">
        <f>IF(COUNTIFS(日次入力!A:A,"&gt;="&amp;DATE(2026,6,9),日次入力!A:A,"&lt;="&amp;DATE(2026,6,15),日次入力!C:C,"Metaウェビナー")=0,"",SUMIFS(日次入力!F:F,日次入力!A:A,"&gt;="&amp;DATE(2026,6,9),日次入力!A:A,"&lt;="&amp;DATE(2026,6,15),日次入力!C:C,"Metaウェビナー"))</f>
        <v/>
      </c>
      <c r="F15" s="399">
        <f>IF(COUNTIFS(日次入力!A:A,"&gt;="&amp;DATE(2026,6,9),日次入力!A:A,"&lt;="&amp;DATE(2026,6,15),日次入力!C:C,"Metaウェビナー")=0,"",SUMIFS(日次入力!G:G,日次入力!A:A,"&gt;="&amp;DATE(2026,6,9),日次入力!A:A,"&lt;="&amp;DATE(2026,6,15),日次入力!C:C,"Metaウェビナー"))</f>
        <v/>
      </c>
      <c r="G15" s="393">
        <f>IFERROR(E15/D15,"")</f>
        <v/>
      </c>
      <c r="H15" s="394">
        <f>IFERROR(C15/E15,"")</f>
        <v/>
      </c>
      <c r="I15" s="394">
        <f>IFERROR(C15/D15*1000,"")</f>
        <v/>
      </c>
      <c r="J15" s="393">
        <f>IFERROR(F15/E15,"")</f>
        <v/>
      </c>
      <c r="K15" s="394">
        <f>IFERROR(C15/F15,"")</f>
        <v/>
      </c>
      <c r="L15" s="399">
        <f>IF(COUNTIFS(日次入力!A:A,"&gt;="&amp;DATE(2026,6,9),日次入力!A:A,"&lt;="&amp;DATE(2026,6,15),日次入力!C:C,"Metaウェビナー")=0,"",SUMIFS(日次入力!H:H,日次入力!A:A,"&gt;="&amp;DATE(2026,6,9),日次入力!A:A,"&lt;="&amp;DATE(2026,6,15),日次入力!C:C,"Metaウェビナー"))</f>
        <v/>
      </c>
      <c r="M15" s="393">
        <f>IF(L15="","",IFERROR(L15/F15,""))</f>
        <v/>
      </c>
      <c r="N15" s="399">
        <f>IF(COUNTIFS(日次入力!A:A,"&gt;="&amp;DATE(2026,6,9),日次入力!A:A,"&lt;="&amp;DATE(2026,6,15),日次入力!C:C,"Metaウェビナー")=0,"",SUMIFS(日次入力!I:I,日次入力!A:A,"&gt;="&amp;DATE(2026,6,9),日次入力!A:A,"&lt;="&amp;DATE(2026,6,15),日次入力!C:C,"Metaウェビナー"))</f>
        <v/>
      </c>
      <c r="O15" s="393">
        <f>IF(N15="","",IFERROR(N15/L15,""))</f>
        <v/>
      </c>
      <c r="P15" s="394">
        <f>IF(N15=0,"",IFERROR(C15/N15,""))</f>
        <v/>
      </c>
      <c r="Q15" s="395">
        <f>IF(N15=0,"",IFERROR(IF(C15/N15&lt;=用語集!$B$23,"◎ 許容内","✗ 超過"),"—"))</f>
        <v/>
      </c>
      <c r="R15" s="396">
        <f>IFERROR(用語集!$B$23/P15,"")</f>
        <v/>
      </c>
    </row>
    <row r="16">
      <c r="A16" s="389" t="inlineStr">
        <is>
          <t>W11</t>
        </is>
      </c>
      <c r="B16" s="390" t="inlineStr">
        <is>
          <t>6/16–6/22</t>
        </is>
      </c>
      <c r="C16" s="398">
        <f>IF(COUNTIFS(日次入力!A:A,"&gt;="&amp;DATE(2026,6,16),日次入力!A:A,"&lt;="&amp;DATE(2026,6,22),日次入力!C:C,"Metaウェビナー")=0,"",SUMIFS(日次入力!D:D,日次入力!A:A,"&gt;="&amp;DATE(2026,6,16),日次入力!A:A,"&lt;="&amp;DATE(2026,6,22),日次入力!C:C,"Metaウェビナー"))</f>
        <v/>
      </c>
      <c r="D16" s="399">
        <f>IF(COUNTIFS(日次入力!A:A,"&gt;="&amp;DATE(2026,6,16),日次入力!A:A,"&lt;="&amp;DATE(2026,6,22),日次入力!C:C,"Metaウェビナー")=0,"",SUMIFS(日次入力!E:E,日次入力!A:A,"&gt;="&amp;DATE(2026,6,16),日次入力!A:A,"&lt;="&amp;DATE(2026,6,22),日次入力!C:C,"Metaウェビナー"))</f>
        <v/>
      </c>
      <c r="E16" s="399">
        <f>IF(COUNTIFS(日次入力!A:A,"&gt;="&amp;DATE(2026,6,16),日次入力!A:A,"&lt;="&amp;DATE(2026,6,22),日次入力!C:C,"Metaウェビナー")=0,"",SUMIFS(日次入力!F:F,日次入力!A:A,"&gt;="&amp;DATE(2026,6,16),日次入力!A:A,"&lt;="&amp;DATE(2026,6,22),日次入力!C:C,"Metaウェビナー"))</f>
        <v/>
      </c>
      <c r="F16" s="399">
        <f>IF(COUNTIFS(日次入力!A:A,"&gt;="&amp;DATE(2026,6,16),日次入力!A:A,"&lt;="&amp;DATE(2026,6,22),日次入力!C:C,"Metaウェビナー")=0,"",SUMIFS(日次入力!G:G,日次入力!A:A,"&gt;="&amp;DATE(2026,6,16),日次入力!A:A,"&lt;="&amp;DATE(2026,6,22),日次入力!C:C,"Metaウェビナー"))</f>
        <v/>
      </c>
      <c r="G16" s="393">
        <f>IFERROR(E16/D16,"")</f>
        <v/>
      </c>
      <c r="H16" s="394">
        <f>IFERROR(C16/E16,"")</f>
        <v/>
      </c>
      <c r="I16" s="394">
        <f>IFERROR(C16/D16*1000,"")</f>
        <v/>
      </c>
      <c r="J16" s="393">
        <f>IFERROR(F16/E16,"")</f>
        <v/>
      </c>
      <c r="K16" s="394">
        <f>IFERROR(C16/F16,"")</f>
        <v/>
      </c>
      <c r="L16" s="399">
        <f>IF(COUNTIFS(日次入力!A:A,"&gt;="&amp;DATE(2026,6,16),日次入力!A:A,"&lt;="&amp;DATE(2026,6,22),日次入力!C:C,"Metaウェビナー")=0,"",SUMIFS(日次入力!H:H,日次入力!A:A,"&gt;="&amp;DATE(2026,6,16),日次入力!A:A,"&lt;="&amp;DATE(2026,6,22),日次入力!C:C,"Metaウェビナー"))</f>
        <v/>
      </c>
      <c r="M16" s="393">
        <f>IF(L16="","",IFERROR(L16/F16,""))</f>
        <v/>
      </c>
      <c r="N16" s="399">
        <f>IF(COUNTIFS(日次入力!A:A,"&gt;="&amp;DATE(2026,6,16),日次入力!A:A,"&lt;="&amp;DATE(2026,6,22),日次入力!C:C,"Metaウェビナー")=0,"",SUMIFS(日次入力!I:I,日次入力!A:A,"&gt;="&amp;DATE(2026,6,16),日次入力!A:A,"&lt;="&amp;DATE(2026,6,22),日次入力!C:C,"Metaウェビナー"))</f>
        <v/>
      </c>
      <c r="O16" s="393">
        <f>IF(N16="","",IFERROR(N16/L16,""))</f>
        <v/>
      </c>
      <c r="P16" s="394">
        <f>IF(N16=0,"",IFERROR(C16/N16,""))</f>
        <v/>
      </c>
      <c r="Q16" s="395">
        <f>IF(N16=0,"",IFERROR(IF(C16/N16&lt;=用語集!$B$23,"◎ 許容内","✗ 超過"),"—"))</f>
        <v/>
      </c>
      <c r="R16" s="396">
        <f>IFERROR(用語集!$B$23/P16,"")</f>
        <v/>
      </c>
    </row>
    <row r="17">
      <c r="A17" s="389" t="inlineStr">
        <is>
          <t>W12</t>
        </is>
      </c>
      <c r="B17" s="390" t="inlineStr">
        <is>
          <t>6/23–6/29</t>
        </is>
      </c>
      <c r="C17" s="398">
        <f>IF(COUNTIFS(日次入力!A:A,"&gt;="&amp;DATE(2026,6,23),日次入力!A:A,"&lt;="&amp;DATE(2026,6,29),日次入力!C:C,"Metaウェビナー")=0,"",SUMIFS(日次入力!D:D,日次入力!A:A,"&gt;="&amp;DATE(2026,6,23),日次入力!A:A,"&lt;="&amp;DATE(2026,6,29),日次入力!C:C,"Metaウェビナー"))</f>
        <v/>
      </c>
      <c r="D17" s="399">
        <f>IF(COUNTIFS(日次入力!A:A,"&gt;="&amp;DATE(2026,6,23),日次入力!A:A,"&lt;="&amp;DATE(2026,6,29),日次入力!C:C,"Metaウェビナー")=0,"",SUMIFS(日次入力!E:E,日次入力!A:A,"&gt;="&amp;DATE(2026,6,23),日次入力!A:A,"&lt;="&amp;DATE(2026,6,29),日次入力!C:C,"Metaウェビナー"))</f>
        <v/>
      </c>
      <c r="E17" s="399">
        <f>IF(COUNTIFS(日次入力!A:A,"&gt;="&amp;DATE(2026,6,23),日次入力!A:A,"&lt;="&amp;DATE(2026,6,29),日次入力!C:C,"Metaウェビナー")=0,"",SUMIFS(日次入力!F:F,日次入力!A:A,"&gt;="&amp;DATE(2026,6,23),日次入力!A:A,"&lt;="&amp;DATE(2026,6,29),日次入力!C:C,"Metaウェビナー"))</f>
        <v/>
      </c>
      <c r="F17" s="399">
        <f>IF(COUNTIFS(日次入力!A:A,"&gt;="&amp;DATE(2026,6,23),日次入力!A:A,"&lt;="&amp;DATE(2026,6,29),日次入力!C:C,"Metaウェビナー")=0,"",SUMIFS(日次入力!G:G,日次入力!A:A,"&gt;="&amp;DATE(2026,6,23),日次入力!A:A,"&lt;="&amp;DATE(2026,6,29),日次入力!C:C,"Metaウェビナー"))</f>
        <v/>
      </c>
      <c r="G17" s="393">
        <f>IFERROR(E17/D17,"")</f>
        <v/>
      </c>
      <c r="H17" s="394">
        <f>IFERROR(C17/E17,"")</f>
        <v/>
      </c>
      <c r="I17" s="394">
        <f>IFERROR(C17/D17*1000,"")</f>
        <v/>
      </c>
      <c r="J17" s="393">
        <f>IFERROR(F17/E17,"")</f>
        <v/>
      </c>
      <c r="K17" s="394">
        <f>IFERROR(C17/F17,"")</f>
        <v/>
      </c>
      <c r="L17" s="399">
        <f>IF(COUNTIFS(日次入力!A:A,"&gt;="&amp;DATE(2026,6,23),日次入力!A:A,"&lt;="&amp;DATE(2026,6,29),日次入力!C:C,"Metaウェビナー")=0,"",SUMIFS(日次入力!H:H,日次入力!A:A,"&gt;="&amp;DATE(2026,6,23),日次入力!A:A,"&lt;="&amp;DATE(2026,6,29),日次入力!C:C,"Metaウェビナー"))</f>
        <v/>
      </c>
      <c r="M17" s="393">
        <f>IF(L17="","",IFERROR(L17/F17,""))</f>
        <v/>
      </c>
      <c r="N17" s="399">
        <f>IF(COUNTIFS(日次入力!A:A,"&gt;="&amp;DATE(2026,6,23),日次入力!A:A,"&lt;="&amp;DATE(2026,6,29),日次入力!C:C,"Metaウェビナー")=0,"",SUMIFS(日次入力!I:I,日次入力!A:A,"&gt;="&amp;DATE(2026,6,23),日次入力!A:A,"&lt;="&amp;DATE(2026,6,29),日次入力!C:C,"Metaウェビナー"))</f>
        <v/>
      </c>
      <c r="O17" s="393">
        <f>IF(N17="","",IFERROR(N17/L17,""))</f>
        <v/>
      </c>
      <c r="P17" s="394">
        <f>IF(N17=0,"",IFERROR(C17/N17,""))</f>
        <v/>
      </c>
      <c r="Q17" s="395">
        <f>IF(N17=0,"",IFERROR(IF(C17/N17&lt;=用語集!$B$23,"◎ 許容内","✗ 超過"),"—"))</f>
        <v/>
      </c>
      <c r="R17" s="396">
        <f>IFERROR(用語集!$B$23/P17,"")</f>
        <v/>
      </c>
    </row>
    <row r="18">
      <c r="A18" s="389" t="inlineStr">
        <is>
          <t>W13</t>
        </is>
      </c>
      <c r="B18" s="390" t="inlineStr">
        <is>
          <t>6/30–7/6</t>
        </is>
      </c>
      <c r="C18" s="398">
        <f>IF(COUNTIFS(日次入力!A:A,"&gt;="&amp;DATE(2026,6,30),日次入力!A:A,"&lt;="&amp;DATE(2026,7,6),日次入力!C:C,"Metaウェビナー")=0,"",SUMIFS(日次入力!D:D,日次入力!A:A,"&gt;="&amp;DATE(2026,6,30),日次入力!A:A,"&lt;="&amp;DATE(2026,7,6),日次入力!C:C,"Metaウェビナー"))</f>
        <v/>
      </c>
      <c r="D18" s="399">
        <f>IF(COUNTIFS(日次入力!A:A,"&gt;="&amp;DATE(2026,6,30),日次入力!A:A,"&lt;="&amp;DATE(2026,7,6),日次入力!C:C,"Metaウェビナー")=0,"",SUMIFS(日次入力!E:E,日次入力!A:A,"&gt;="&amp;DATE(2026,6,30),日次入力!A:A,"&lt;="&amp;DATE(2026,7,6),日次入力!C:C,"Metaウェビナー"))</f>
        <v/>
      </c>
      <c r="E18" s="399">
        <f>IF(COUNTIFS(日次入力!A:A,"&gt;="&amp;DATE(2026,6,30),日次入力!A:A,"&lt;="&amp;DATE(2026,7,6),日次入力!C:C,"Metaウェビナー")=0,"",SUMIFS(日次入力!F:F,日次入力!A:A,"&gt;="&amp;DATE(2026,6,30),日次入力!A:A,"&lt;="&amp;DATE(2026,7,6),日次入力!C:C,"Metaウェビナー"))</f>
        <v/>
      </c>
      <c r="F18" s="399">
        <f>IF(COUNTIFS(日次入力!A:A,"&gt;="&amp;DATE(2026,6,30),日次入力!A:A,"&lt;="&amp;DATE(2026,7,6),日次入力!C:C,"Metaウェビナー")=0,"",SUMIFS(日次入力!G:G,日次入力!A:A,"&gt;="&amp;DATE(2026,6,30),日次入力!A:A,"&lt;="&amp;DATE(2026,7,6),日次入力!C:C,"Metaウェビナー"))</f>
        <v/>
      </c>
      <c r="G18" s="393">
        <f>IFERROR(E18/D18,"")</f>
        <v/>
      </c>
      <c r="H18" s="394">
        <f>IFERROR(C18/E18,"")</f>
        <v/>
      </c>
      <c r="I18" s="394">
        <f>IFERROR(C18/D18*1000,"")</f>
        <v/>
      </c>
      <c r="J18" s="393">
        <f>IFERROR(F18/E18,"")</f>
        <v/>
      </c>
      <c r="K18" s="394">
        <f>IFERROR(C18/F18,"")</f>
        <v/>
      </c>
      <c r="L18" s="399">
        <f>IF(COUNTIFS(日次入力!A:A,"&gt;="&amp;DATE(2026,6,30),日次入力!A:A,"&lt;="&amp;DATE(2026,7,6),日次入力!C:C,"Metaウェビナー")=0,"",SUMIFS(日次入力!H:H,日次入力!A:A,"&gt;="&amp;DATE(2026,6,30),日次入力!A:A,"&lt;="&amp;DATE(2026,7,6),日次入力!C:C,"Metaウェビナー"))</f>
        <v/>
      </c>
      <c r="M18" s="393">
        <f>IF(L18="","",IFERROR(L18/F18,""))</f>
        <v/>
      </c>
      <c r="N18" s="399">
        <f>IF(COUNTIFS(日次入力!A:A,"&gt;="&amp;DATE(2026,6,30),日次入力!A:A,"&lt;="&amp;DATE(2026,7,6),日次入力!C:C,"Metaウェビナー")=0,"",SUMIFS(日次入力!I:I,日次入力!A:A,"&gt;="&amp;DATE(2026,6,30),日次入力!A:A,"&lt;="&amp;DATE(2026,7,6),日次入力!C:C,"Metaウェビナー"))</f>
        <v/>
      </c>
      <c r="O18" s="393">
        <f>IF(N18="","",IFERROR(N18/L18,""))</f>
        <v/>
      </c>
      <c r="P18" s="394">
        <f>IF(N18=0,"",IFERROR(C18/N18,""))</f>
        <v/>
      </c>
      <c r="Q18" s="395">
        <f>IF(N18=0,"",IFERROR(IF(C18/N18&lt;=用語集!$B$23,"◎ 許容内","✗ 超過"),"—"))</f>
        <v/>
      </c>
      <c r="R18" s="396">
        <f>IFERROR(用語集!$B$23/P18,"")</f>
        <v/>
      </c>
    </row>
    <row r="19">
      <c r="A19" s="400" t="inlineStr">
        <is>
          <t>合計</t>
        </is>
      </c>
      <c r="B19" s="401" t="inlineStr"/>
      <c r="C19" s="402">
        <f>SUM(C6:C18)</f>
        <v/>
      </c>
      <c r="D19" s="403">
        <f>SUM(D6:D18)</f>
        <v/>
      </c>
      <c r="E19" s="403">
        <f>SUM(E6:E18)</f>
        <v/>
      </c>
      <c r="F19" s="403">
        <f>SUM(F6:F18)</f>
        <v/>
      </c>
      <c r="G19" s="404">
        <f>IFERROR(E19/D19,"")</f>
        <v/>
      </c>
      <c r="H19" s="402">
        <f>IFERROR(C19/E19,"")</f>
        <v/>
      </c>
      <c r="I19" s="402">
        <f>IFERROR(C19/D19*1000,"")</f>
        <v/>
      </c>
      <c r="J19" s="404">
        <f>IFERROR(F19/D19,"")</f>
        <v/>
      </c>
      <c r="K19" s="402">
        <f>IFERROR(C19/F19,"")</f>
        <v/>
      </c>
      <c r="L19" s="403">
        <f>SUM(L6:L18)</f>
        <v/>
      </c>
      <c r="M19" s="404">
        <f>IF(L19=0,"",IFERROR(L19/F19,""))</f>
        <v/>
      </c>
      <c r="N19" s="403">
        <f>SUM(N6:N18)</f>
        <v/>
      </c>
      <c r="O19" s="404">
        <f>IF(L19=0,"",IFERROR(N19/L19,""))</f>
        <v/>
      </c>
      <c r="P19" s="402">
        <f>IF(N19=0,"",IFERROR(C19/N19,""))</f>
        <v/>
      </c>
      <c r="Q19" s="400">
        <f>IF(N19=0,"",IFERROR(IF(C19/N19&lt;=用語集!$B$23,"◎ 許容内","✗ 超過"),"—"))</f>
        <v/>
      </c>
      <c r="R19" s="405">
        <f>IFERROR(用語集!$B$23/P19,"")</f>
        <v/>
      </c>
    </row>
    <row r="21">
      <c r="A21" s="388" t="inlineStr">
        <is>
          <t xml:space="preserve">　Meta ／ 常設・介護校LP　（目標CPL ¥15,355）</t>
        </is>
      </c>
      <c r="B21" s="162" t="n"/>
      <c r="C21" s="162" t="n"/>
      <c r="D21" s="162" t="n"/>
      <c r="E21" s="162" t="n"/>
      <c r="F21" s="162" t="n"/>
      <c r="G21" s="162" t="n"/>
      <c r="H21" s="162" t="n"/>
      <c r="I21" s="162" t="n"/>
      <c r="J21" s="162" t="n"/>
      <c r="K21" s="162" t="n"/>
      <c r="L21" s="162" t="n"/>
      <c r="M21" s="162" t="n"/>
      <c r="N21" s="162" t="n"/>
      <c r="O21" s="162" t="n"/>
      <c r="P21" s="162" t="n"/>
      <c r="Q21" s="162" t="n"/>
      <c r="R21" s="163" t="n"/>
    </row>
    <row r="22" ht="26" customHeight="1" s="68">
      <c r="A22" s="141" t="inlineStr">
        <is>
          <t>週</t>
        </is>
      </c>
      <c r="B22" s="141" t="inlineStr">
        <is>
          <t>期間</t>
        </is>
      </c>
      <c r="C22" s="141" t="inlineStr">
        <is>
          <t>消費金額</t>
        </is>
      </c>
      <c r="D22" s="141" t="inlineStr">
        <is>
          <t>IMP</t>
        </is>
      </c>
      <c r="E22" s="141" t="inlineStr">
        <is>
          <t>クリック</t>
        </is>
      </c>
      <c r="F22" s="141" t="inlineStr">
        <is>
          <t>CV</t>
        </is>
      </c>
      <c r="G22" s="141" t="inlineStr">
        <is>
          <t>CTR</t>
        </is>
      </c>
      <c r="H22" s="141" t="inlineStr">
        <is>
          <t>CPC</t>
        </is>
      </c>
      <c r="I22" s="141" t="inlineStr">
        <is>
          <t>CPM</t>
        </is>
      </c>
      <c r="J22" s="141" t="inlineStr">
        <is>
          <t>CVR</t>
        </is>
      </c>
      <c r="K22" s="141" t="inlineStr">
        <is>
          <t>CPL</t>
        </is>
      </c>
      <c r="L22" s="141" t="inlineStr">
        <is>
          <t>商談</t>
        </is>
      </c>
      <c r="M22" s="141" t="inlineStr">
        <is>
          <t>歩留まり</t>
        </is>
      </c>
      <c r="N22" s="141" t="inlineStr">
        <is>
          <t>成約</t>
        </is>
      </c>
      <c r="O22" s="141" t="inlineStr">
        <is>
          <t>成約率</t>
        </is>
      </c>
      <c r="P22" s="141" t="inlineStr">
        <is>
          <t>1成約広告費</t>
        </is>
      </c>
      <c r="Q22" s="141" t="inlineStr">
        <is>
          <t>対許容CPA</t>
        </is>
      </c>
      <c r="R22" s="141" t="inlineStr">
        <is>
          <t>余裕倍率</t>
        </is>
      </c>
    </row>
    <row r="23">
      <c r="A23" s="389" t="inlineStr">
        <is>
          <t>W1</t>
        </is>
      </c>
      <c r="B23" s="390" t="inlineStr">
        <is>
          <t>4/7–4/13</t>
        </is>
      </c>
      <c r="C23" s="391" t="n">
        <v>104849</v>
      </c>
      <c r="D23" s="392" t="n">
        <v>115662</v>
      </c>
      <c r="E23" s="392" t="n">
        <v>9658</v>
      </c>
      <c r="F23" s="392" t="n">
        <v>18</v>
      </c>
      <c r="G23" s="393">
        <f>IFERROR(E23/D23,"")</f>
        <v/>
      </c>
      <c r="H23" s="394">
        <f>IFERROR(C23/E23,"")</f>
        <v/>
      </c>
      <c r="I23" s="394">
        <f>IFERROR(C23/D23*1000,"")</f>
        <v/>
      </c>
      <c r="J23" s="393">
        <f>IFERROR(F23/E23,"")</f>
        <v/>
      </c>
      <c r="K23" s="394">
        <f>IFERROR(C23/F23,"")</f>
        <v/>
      </c>
      <c r="L23" s="392" t="n"/>
      <c r="M23" s="393">
        <f>IF(L23="","",IFERROR(L23/F23,""))</f>
        <v/>
      </c>
      <c r="N23" s="392" t="n"/>
      <c r="O23" s="393">
        <f>IF(N23="","",IFERROR(N23/L23,""))</f>
        <v/>
      </c>
      <c r="P23" s="394">
        <f>IF(N23=0,"",IFERROR(C23/N23,""))</f>
        <v/>
      </c>
      <c r="Q23" s="395">
        <f>IF(N23=0,"",IFERROR(IF(C23/N23&lt;=用語集!$B$23,"◎ 許容内","✗ 超過"),"—"))</f>
        <v/>
      </c>
      <c r="R23" s="396">
        <f>IFERROR(用語集!$B$23/P23,"")</f>
        <v/>
      </c>
    </row>
    <row r="24">
      <c r="A24" s="389" t="inlineStr">
        <is>
          <t>W2</t>
        </is>
      </c>
      <c r="B24" s="390" t="inlineStr">
        <is>
          <t>4/14–4/20</t>
        </is>
      </c>
      <c r="C24" s="391" t="n">
        <v>45827</v>
      </c>
      <c r="D24" s="392" t="n">
        <v>19906</v>
      </c>
      <c r="E24" s="392" t="n">
        <v>561</v>
      </c>
      <c r="F24" s="392" t="n">
        <v>51</v>
      </c>
      <c r="G24" s="393">
        <f>IFERROR(E24/D24,"")</f>
        <v/>
      </c>
      <c r="H24" s="394">
        <f>IFERROR(C24/E24,"")</f>
        <v/>
      </c>
      <c r="I24" s="394">
        <f>IFERROR(C24/D24*1000,"")</f>
        <v/>
      </c>
      <c r="J24" s="393">
        <f>IFERROR(F24/E24,"")</f>
        <v/>
      </c>
      <c r="K24" s="394">
        <f>IFERROR(C24/F24,"")</f>
        <v/>
      </c>
      <c r="L24" s="392" t="n"/>
      <c r="M24" s="393">
        <f>IF(L24="","",IFERROR(L24/F24,""))</f>
        <v/>
      </c>
      <c r="N24" s="392" t="n"/>
      <c r="O24" s="393">
        <f>IF(N24="","",IFERROR(N24/L24,""))</f>
        <v/>
      </c>
      <c r="P24" s="394">
        <f>IF(N24=0,"",IFERROR(C24/N24,""))</f>
        <v/>
      </c>
      <c r="Q24" s="395">
        <f>IF(N24=0,"",IFERROR(IF(C24/N24&lt;=用語集!$B$23,"◎ 許容内","✗ 超過"),"—"))</f>
        <v/>
      </c>
      <c r="R24" s="396">
        <f>IFERROR(用語集!$B$23/P24,"")</f>
        <v/>
      </c>
    </row>
    <row r="25">
      <c r="A25" s="389" t="inlineStr">
        <is>
          <t>W3</t>
        </is>
      </c>
      <c r="B25" s="390" t="inlineStr">
        <is>
          <t>4/21–4/27</t>
        </is>
      </c>
      <c r="C25" s="391" t="n">
        <v>58556</v>
      </c>
      <c r="D25" s="392" t="n">
        <v>18969</v>
      </c>
      <c r="E25" s="392" t="n">
        <v>644</v>
      </c>
      <c r="F25" s="392" t="n">
        <v>22</v>
      </c>
      <c r="G25" s="393">
        <f>IFERROR(E25/D25,"")</f>
        <v/>
      </c>
      <c r="H25" s="394">
        <f>IFERROR(C25/E25,"")</f>
        <v/>
      </c>
      <c r="I25" s="394">
        <f>IFERROR(C25/D25*1000,"")</f>
        <v/>
      </c>
      <c r="J25" s="393">
        <f>IFERROR(F25/E25,"")</f>
        <v/>
      </c>
      <c r="K25" s="394">
        <f>IFERROR(C25/F25,"")</f>
        <v/>
      </c>
      <c r="L25" s="392" t="n"/>
      <c r="M25" s="393">
        <f>IF(L25="","",IFERROR(L25/F25,""))</f>
        <v/>
      </c>
      <c r="N25" s="392" t="n"/>
      <c r="O25" s="393">
        <f>IF(N25="","",IFERROR(N25/L25,""))</f>
        <v/>
      </c>
      <c r="P25" s="394">
        <f>IF(N25=0,"",IFERROR(C25/N25,""))</f>
        <v/>
      </c>
      <c r="Q25" s="395">
        <f>IF(N25=0,"",IFERROR(IF(C25/N25&lt;=用語集!$B$23,"◎ 許容内","✗ 超過"),"—"))</f>
        <v/>
      </c>
      <c r="R25" s="396">
        <f>IFERROR(用語集!$B$23/P25,"")</f>
        <v/>
      </c>
    </row>
    <row r="26">
      <c r="A26" s="389" t="inlineStr">
        <is>
          <t>W4</t>
        </is>
      </c>
      <c r="B26" s="390" t="inlineStr">
        <is>
          <t>4/28–5/4</t>
        </is>
      </c>
      <c r="C26" s="391" t="n">
        <v>79731</v>
      </c>
      <c r="D26" s="392" t="n">
        <v>24236</v>
      </c>
      <c r="E26" s="392" t="n">
        <v>621</v>
      </c>
      <c r="F26" s="392" t="n">
        <v>34</v>
      </c>
      <c r="G26" s="393">
        <f>IFERROR(E26/D26,"")</f>
        <v/>
      </c>
      <c r="H26" s="394">
        <f>IFERROR(C26/E26,"")</f>
        <v/>
      </c>
      <c r="I26" s="394">
        <f>IFERROR(C26/D26*1000,"")</f>
        <v/>
      </c>
      <c r="J26" s="393">
        <f>IFERROR(F26/E26,"")</f>
        <v/>
      </c>
      <c r="K26" s="394">
        <f>IFERROR(C26/F26,"")</f>
        <v/>
      </c>
      <c r="L26" s="392" t="n"/>
      <c r="M26" s="393">
        <f>IF(L26="","",IFERROR(L26/F26,""))</f>
        <v/>
      </c>
      <c r="N26" s="392" t="n"/>
      <c r="O26" s="393">
        <f>IF(N26="","",IFERROR(N26/L26,""))</f>
        <v/>
      </c>
      <c r="P26" s="394">
        <f>IF(N26=0,"",IFERROR(C26/N26,""))</f>
        <v/>
      </c>
      <c r="Q26" s="395">
        <f>IF(N26=0,"",IFERROR(IF(C26/N26&lt;=用語集!$B$23,"◎ 許容内","✗ 超過"),"—"))</f>
        <v/>
      </c>
      <c r="R26" s="396">
        <f>IFERROR(用語集!$B$23/P26,"")</f>
        <v/>
      </c>
    </row>
    <row r="27">
      <c r="A27" s="389" t="inlineStr">
        <is>
          <t>W5</t>
        </is>
      </c>
      <c r="B27" s="390" t="inlineStr">
        <is>
          <t>5/5–5/11</t>
        </is>
      </c>
      <c r="C27" s="391" t="n">
        <v>105749</v>
      </c>
      <c r="D27" s="392" t="n">
        <v>26723</v>
      </c>
      <c r="E27" s="392" t="n">
        <v>867</v>
      </c>
      <c r="F27" s="392" t="n">
        <v>35</v>
      </c>
      <c r="G27" s="393">
        <f>IFERROR(E27/D27,"")</f>
        <v/>
      </c>
      <c r="H27" s="394">
        <f>IFERROR(C27/E27,"")</f>
        <v/>
      </c>
      <c r="I27" s="394">
        <f>IFERROR(C27/D27*1000,"")</f>
        <v/>
      </c>
      <c r="J27" s="393">
        <f>IFERROR(F27/E27,"")</f>
        <v/>
      </c>
      <c r="K27" s="394">
        <f>IFERROR(C27/F27,"")</f>
        <v/>
      </c>
      <c r="L27" s="392" t="n"/>
      <c r="M27" s="393">
        <f>IF(L27="","",IFERROR(L27/F27,""))</f>
        <v/>
      </c>
      <c r="N27" s="392" t="n"/>
      <c r="O27" s="393">
        <f>IF(N27="","",IFERROR(N27/L27,""))</f>
        <v/>
      </c>
      <c r="P27" s="394">
        <f>IF(N27=0,"",IFERROR(C27/N27,""))</f>
        <v/>
      </c>
      <c r="Q27" s="395">
        <f>IF(N27=0,"",IFERROR(IF(C27/N27&lt;=用語集!$B$23,"◎ 許容内","✗ 超過"),"—"))</f>
        <v/>
      </c>
      <c r="R27" s="396">
        <f>IFERROR(用語集!$B$23/P27,"")</f>
        <v/>
      </c>
    </row>
    <row r="28">
      <c r="A28" s="389" t="inlineStr">
        <is>
          <t>W6</t>
        </is>
      </c>
      <c r="B28" s="390" t="inlineStr">
        <is>
          <t>5/12–5/18</t>
        </is>
      </c>
      <c r="C28" s="391" t="n">
        <v>105217</v>
      </c>
      <c r="D28" s="392" t="n">
        <v>23468</v>
      </c>
      <c r="E28" s="392" t="n">
        <v>800</v>
      </c>
      <c r="F28" s="392" t="n">
        <v>31</v>
      </c>
      <c r="G28" s="393">
        <f>IFERROR(E28/D28,"")</f>
        <v/>
      </c>
      <c r="H28" s="394">
        <f>IFERROR(C28/E28,"")</f>
        <v/>
      </c>
      <c r="I28" s="394">
        <f>IFERROR(C28/D28*1000,"")</f>
        <v/>
      </c>
      <c r="J28" s="393">
        <f>IFERROR(F28/E28,"")</f>
        <v/>
      </c>
      <c r="K28" s="394">
        <f>IFERROR(C28/F28,"")</f>
        <v/>
      </c>
      <c r="L28" s="392" t="n"/>
      <c r="M28" s="393">
        <f>IF(L28="","",IFERROR(L28/F28,""))</f>
        <v/>
      </c>
      <c r="N28" s="392" t="n"/>
      <c r="O28" s="393">
        <f>IF(N28="","",IFERROR(N28/L28,""))</f>
        <v/>
      </c>
      <c r="P28" s="394">
        <f>IF(N28=0,"",IFERROR(C28/N28,""))</f>
        <v/>
      </c>
      <c r="Q28" s="395">
        <f>IF(N28=0,"",IFERROR(IF(C28/N28&lt;=用語集!$B$23,"◎ 許容内","✗ 超過"),"—"))</f>
        <v/>
      </c>
      <c r="R28" s="396">
        <f>IFERROR(用語集!$B$23/P28,"")</f>
        <v/>
      </c>
    </row>
    <row r="29">
      <c r="A29" s="389" t="inlineStr">
        <is>
          <t>W7</t>
        </is>
      </c>
      <c r="B29" s="390" t="inlineStr">
        <is>
          <t>5/19–5/25</t>
        </is>
      </c>
      <c r="C29" s="391" t="n">
        <v>105644</v>
      </c>
      <c r="D29" s="392" t="n">
        <v>22405</v>
      </c>
      <c r="E29" s="392" t="n">
        <v>806</v>
      </c>
      <c r="F29" s="392" t="n">
        <v>41</v>
      </c>
      <c r="G29" s="393">
        <f>IFERROR(E29/D29,"")</f>
        <v/>
      </c>
      <c r="H29" s="394">
        <f>IFERROR(C29/E29,"")</f>
        <v/>
      </c>
      <c r="I29" s="394">
        <f>IFERROR(C29/D29*1000,"")</f>
        <v/>
      </c>
      <c r="J29" s="393">
        <f>IFERROR(F29/E29,"")</f>
        <v/>
      </c>
      <c r="K29" s="394">
        <f>IFERROR(C29/F29,"")</f>
        <v/>
      </c>
      <c r="L29" s="392" t="n"/>
      <c r="M29" s="393">
        <f>IF(L29="","",IFERROR(L29/F29,""))</f>
        <v/>
      </c>
      <c r="N29" s="392" t="n"/>
      <c r="O29" s="393">
        <f>IF(N29="","",IFERROR(N29/L29,""))</f>
        <v/>
      </c>
      <c r="P29" s="394">
        <f>IF(N29=0,"",IFERROR(C29/N29,""))</f>
        <v/>
      </c>
      <c r="Q29" s="395">
        <f>IF(N29=0,"",IFERROR(IF(C29/N29&lt;=用語集!$B$23,"◎ 許容内","✗ 超過"),"—"))</f>
        <v/>
      </c>
      <c r="R29" s="396">
        <f>IFERROR(用語集!$B$23/P29,"")</f>
        <v/>
      </c>
    </row>
    <row r="30">
      <c r="A30" s="389" t="inlineStr">
        <is>
          <t>W8</t>
        </is>
      </c>
      <c r="B30" s="390" t="inlineStr">
        <is>
          <t>5/26–6/1</t>
        </is>
      </c>
      <c r="C30" s="391" t="n">
        <v>103424</v>
      </c>
      <c r="D30" s="392" t="n">
        <v>20757</v>
      </c>
      <c r="E30" s="392" t="n">
        <v>628</v>
      </c>
      <c r="F30" s="392" t="n">
        <v>25</v>
      </c>
      <c r="G30" s="393">
        <f>IFERROR(E30/D30,"")</f>
        <v/>
      </c>
      <c r="H30" s="394">
        <f>IFERROR(C30/E30,"")</f>
        <v/>
      </c>
      <c r="I30" s="394">
        <f>IFERROR(C30/D30*1000,"")</f>
        <v/>
      </c>
      <c r="J30" s="393">
        <f>IFERROR(F30/E30,"")</f>
        <v/>
      </c>
      <c r="K30" s="394">
        <f>IFERROR(C30/F30,"")</f>
        <v/>
      </c>
      <c r="L30" s="392" t="n"/>
      <c r="M30" s="393">
        <f>IF(L30="","",IFERROR(L30/F30,""))</f>
        <v/>
      </c>
      <c r="N30" s="392" t="n"/>
      <c r="O30" s="393">
        <f>IF(N30="","",IFERROR(N30/L30,""))</f>
        <v/>
      </c>
      <c r="P30" s="394">
        <f>IF(N30=0,"",IFERROR(C30/N30,""))</f>
        <v/>
      </c>
      <c r="Q30" s="395">
        <f>IF(N30=0,"",IFERROR(IF(C30/N30&lt;=用語集!$B$23,"◎ 許容内","✗ 超過"),"—"))</f>
        <v/>
      </c>
      <c r="R30" s="396">
        <f>IFERROR(用語集!$B$23/P30,"")</f>
        <v/>
      </c>
    </row>
    <row r="31">
      <c r="A31" s="389" t="inlineStr">
        <is>
          <t>W9</t>
        </is>
      </c>
      <c r="B31" s="390" t="inlineStr">
        <is>
          <t>6/2–6/8</t>
        </is>
      </c>
      <c r="C31" s="391" t="n">
        <v>137186</v>
      </c>
      <c r="D31" s="392" t="n">
        <v>26913</v>
      </c>
      <c r="E31" s="392" t="n">
        <v>828</v>
      </c>
      <c r="F31" s="392" t="n">
        <v>28</v>
      </c>
      <c r="G31" s="393">
        <f>IFERROR(E31/D31,"")</f>
        <v/>
      </c>
      <c r="H31" s="394">
        <f>IFERROR(C31/E31,"")</f>
        <v/>
      </c>
      <c r="I31" s="394">
        <f>IFERROR(C31/D31*1000,"")</f>
        <v/>
      </c>
      <c r="J31" s="393">
        <f>IFERROR(F31/E31,"")</f>
        <v/>
      </c>
      <c r="K31" s="394">
        <f>IFERROR(C31/F31,"")</f>
        <v/>
      </c>
      <c r="L31" s="392" t="n"/>
      <c r="M31" s="393">
        <f>IF(L31="","",IFERROR(L31/F31,""))</f>
        <v/>
      </c>
      <c r="N31" s="392" t="n"/>
      <c r="O31" s="393">
        <f>IF(N31="","",IFERROR(N31/L31,""))</f>
        <v/>
      </c>
      <c r="P31" s="394">
        <f>IF(N31=0,"",IFERROR(C31/N31,""))</f>
        <v/>
      </c>
      <c r="Q31" s="395">
        <f>IF(N31=0,"",IFERROR(IF(C31/N31&lt;=用語集!$B$23,"◎ 許容内","✗ 超過"),"—"))</f>
        <v/>
      </c>
      <c r="R31" s="396">
        <f>IFERROR(用語集!$B$23/P31,"")</f>
        <v/>
      </c>
    </row>
    <row r="32">
      <c r="A32" s="389" t="inlineStr">
        <is>
          <t>W10</t>
        </is>
      </c>
      <c r="B32" s="390" t="inlineStr">
        <is>
          <t>6/9–6/15</t>
        </is>
      </c>
      <c r="C32" s="398">
        <f>IF(COUNTIFS(日次入力!A:A,"&gt;="&amp;DATE(2026,6,9),日次入力!A:A,"&lt;="&amp;DATE(2026,6,15),日次入力!C:C,"Meta介護校")=0,"",SUMIFS(日次入力!D:D,日次入力!A:A,"&gt;="&amp;DATE(2026,6,9),日次入力!A:A,"&lt;="&amp;DATE(2026,6,15),日次入力!C:C,"Meta介護校"))</f>
        <v/>
      </c>
      <c r="D32" s="399">
        <f>IF(COUNTIFS(日次入力!A:A,"&gt;="&amp;DATE(2026,6,9),日次入力!A:A,"&lt;="&amp;DATE(2026,6,15),日次入力!C:C,"Meta介護校")=0,"",SUMIFS(日次入力!E:E,日次入力!A:A,"&gt;="&amp;DATE(2026,6,9),日次入力!A:A,"&lt;="&amp;DATE(2026,6,15),日次入力!C:C,"Meta介護校"))</f>
        <v/>
      </c>
      <c r="E32" s="399">
        <f>IF(COUNTIFS(日次入力!A:A,"&gt;="&amp;DATE(2026,6,9),日次入力!A:A,"&lt;="&amp;DATE(2026,6,15),日次入力!C:C,"Meta介護校")=0,"",SUMIFS(日次入力!F:F,日次入力!A:A,"&gt;="&amp;DATE(2026,6,9),日次入力!A:A,"&lt;="&amp;DATE(2026,6,15),日次入力!C:C,"Meta介護校"))</f>
        <v/>
      </c>
      <c r="F32" s="399">
        <f>IF(COUNTIFS(日次入力!A:A,"&gt;="&amp;DATE(2026,6,9),日次入力!A:A,"&lt;="&amp;DATE(2026,6,15),日次入力!C:C,"Meta介護校")=0,"",SUMIFS(日次入力!G:G,日次入力!A:A,"&gt;="&amp;DATE(2026,6,9),日次入力!A:A,"&lt;="&amp;DATE(2026,6,15),日次入力!C:C,"Meta介護校"))</f>
        <v/>
      </c>
      <c r="G32" s="393">
        <f>IFERROR(E32/D32,"")</f>
        <v/>
      </c>
      <c r="H32" s="394">
        <f>IFERROR(C32/E32,"")</f>
        <v/>
      </c>
      <c r="I32" s="394">
        <f>IFERROR(C32/D32*1000,"")</f>
        <v/>
      </c>
      <c r="J32" s="393">
        <f>IFERROR(F32/E32,"")</f>
        <v/>
      </c>
      <c r="K32" s="394">
        <f>IFERROR(C32/F32,"")</f>
        <v/>
      </c>
      <c r="L32" s="399">
        <f>IF(COUNTIFS(日次入力!A:A,"&gt;="&amp;DATE(2026,6,9),日次入力!A:A,"&lt;="&amp;DATE(2026,6,15),日次入力!C:C,"Meta介護校")=0,"",SUMIFS(日次入力!H:H,日次入力!A:A,"&gt;="&amp;DATE(2026,6,9),日次入力!A:A,"&lt;="&amp;DATE(2026,6,15),日次入力!C:C,"Meta介護校"))</f>
        <v/>
      </c>
      <c r="M32" s="393">
        <f>IF(L32="","",IFERROR(L32/F32,""))</f>
        <v/>
      </c>
      <c r="N32" s="399">
        <f>IF(COUNTIFS(日次入力!A:A,"&gt;="&amp;DATE(2026,6,9),日次入力!A:A,"&lt;="&amp;DATE(2026,6,15),日次入力!C:C,"Meta介護校")=0,"",SUMIFS(日次入力!I:I,日次入力!A:A,"&gt;="&amp;DATE(2026,6,9),日次入力!A:A,"&lt;="&amp;DATE(2026,6,15),日次入力!C:C,"Meta介護校"))</f>
        <v/>
      </c>
      <c r="O32" s="393">
        <f>IF(N32="","",IFERROR(N32/L32,""))</f>
        <v/>
      </c>
      <c r="P32" s="394">
        <f>IF(N32=0,"",IFERROR(C32/N32,""))</f>
        <v/>
      </c>
      <c r="Q32" s="395">
        <f>IF(N32=0,"",IFERROR(IF(C32/N32&lt;=用語集!$B$23,"◎ 許容内","✗ 超過"),"—"))</f>
        <v/>
      </c>
      <c r="R32" s="396">
        <f>IFERROR(用語集!$B$23/P32,"")</f>
        <v/>
      </c>
    </row>
    <row r="33">
      <c r="A33" s="389" t="inlineStr">
        <is>
          <t>W11</t>
        </is>
      </c>
      <c r="B33" s="390" t="inlineStr">
        <is>
          <t>6/16–6/22</t>
        </is>
      </c>
      <c r="C33" s="398">
        <f>IF(COUNTIFS(日次入力!A:A,"&gt;="&amp;DATE(2026,6,16),日次入力!A:A,"&lt;="&amp;DATE(2026,6,22),日次入力!C:C,"Meta介護校")=0,"",SUMIFS(日次入力!D:D,日次入力!A:A,"&gt;="&amp;DATE(2026,6,16),日次入力!A:A,"&lt;="&amp;DATE(2026,6,22),日次入力!C:C,"Meta介護校"))</f>
        <v/>
      </c>
      <c r="D33" s="399">
        <f>IF(COUNTIFS(日次入力!A:A,"&gt;="&amp;DATE(2026,6,16),日次入力!A:A,"&lt;="&amp;DATE(2026,6,22),日次入力!C:C,"Meta介護校")=0,"",SUMIFS(日次入力!E:E,日次入力!A:A,"&gt;="&amp;DATE(2026,6,16),日次入力!A:A,"&lt;="&amp;DATE(2026,6,22),日次入力!C:C,"Meta介護校"))</f>
        <v/>
      </c>
      <c r="E33" s="399">
        <f>IF(COUNTIFS(日次入力!A:A,"&gt;="&amp;DATE(2026,6,16),日次入力!A:A,"&lt;="&amp;DATE(2026,6,22),日次入力!C:C,"Meta介護校")=0,"",SUMIFS(日次入力!F:F,日次入力!A:A,"&gt;="&amp;DATE(2026,6,16),日次入力!A:A,"&lt;="&amp;DATE(2026,6,22),日次入力!C:C,"Meta介護校"))</f>
        <v/>
      </c>
      <c r="F33" s="399">
        <f>IF(COUNTIFS(日次入力!A:A,"&gt;="&amp;DATE(2026,6,16),日次入力!A:A,"&lt;="&amp;DATE(2026,6,22),日次入力!C:C,"Meta介護校")=0,"",SUMIFS(日次入力!G:G,日次入力!A:A,"&gt;="&amp;DATE(2026,6,16),日次入力!A:A,"&lt;="&amp;DATE(2026,6,22),日次入力!C:C,"Meta介護校"))</f>
        <v/>
      </c>
      <c r="G33" s="393">
        <f>IFERROR(E33/D33,"")</f>
        <v/>
      </c>
      <c r="H33" s="394">
        <f>IFERROR(C33/E33,"")</f>
        <v/>
      </c>
      <c r="I33" s="394">
        <f>IFERROR(C33/D33*1000,"")</f>
        <v/>
      </c>
      <c r="J33" s="393">
        <f>IFERROR(F33/E33,"")</f>
        <v/>
      </c>
      <c r="K33" s="394">
        <f>IFERROR(C33/F33,"")</f>
        <v/>
      </c>
      <c r="L33" s="399">
        <f>IF(COUNTIFS(日次入力!A:A,"&gt;="&amp;DATE(2026,6,16),日次入力!A:A,"&lt;="&amp;DATE(2026,6,22),日次入力!C:C,"Meta介護校")=0,"",SUMIFS(日次入力!H:H,日次入力!A:A,"&gt;="&amp;DATE(2026,6,16),日次入力!A:A,"&lt;="&amp;DATE(2026,6,22),日次入力!C:C,"Meta介護校"))</f>
        <v/>
      </c>
      <c r="M33" s="393">
        <f>IF(L33="","",IFERROR(L33/F33,""))</f>
        <v/>
      </c>
      <c r="N33" s="399">
        <f>IF(COUNTIFS(日次入力!A:A,"&gt;="&amp;DATE(2026,6,16),日次入力!A:A,"&lt;="&amp;DATE(2026,6,22),日次入力!C:C,"Meta介護校")=0,"",SUMIFS(日次入力!I:I,日次入力!A:A,"&gt;="&amp;DATE(2026,6,16),日次入力!A:A,"&lt;="&amp;DATE(2026,6,22),日次入力!C:C,"Meta介護校"))</f>
        <v/>
      </c>
      <c r="O33" s="393">
        <f>IF(N33="","",IFERROR(N33/L33,""))</f>
        <v/>
      </c>
      <c r="P33" s="394">
        <f>IF(N33=0,"",IFERROR(C33/N33,""))</f>
        <v/>
      </c>
      <c r="Q33" s="395">
        <f>IF(N33=0,"",IFERROR(IF(C33/N33&lt;=用語集!$B$23,"◎ 許容内","✗ 超過"),"—"))</f>
        <v/>
      </c>
      <c r="R33" s="396">
        <f>IFERROR(用語集!$B$23/P33,"")</f>
        <v/>
      </c>
    </row>
    <row r="34">
      <c r="A34" s="389" t="inlineStr">
        <is>
          <t>W12</t>
        </is>
      </c>
      <c r="B34" s="390" t="inlineStr">
        <is>
          <t>6/23–6/29</t>
        </is>
      </c>
      <c r="C34" s="398">
        <f>IF(COUNTIFS(日次入力!A:A,"&gt;="&amp;DATE(2026,6,23),日次入力!A:A,"&lt;="&amp;DATE(2026,6,29),日次入力!C:C,"Meta介護校")=0,"",SUMIFS(日次入力!D:D,日次入力!A:A,"&gt;="&amp;DATE(2026,6,23),日次入力!A:A,"&lt;="&amp;DATE(2026,6,29),日次入力!C:C,"Meta介護校"))</f>
        <v/>
      </c>
      <c r="D34" s="399">
        <f>IF(COUNTIFS(日次入力!A:A,"&gt;="&amp;DATE(2026,6,23),日次入力!A:A,"&lt;="&amp;DATE(2026,6,29),日次入力!C:C,"Meta介護校")=0,"",SUMIFS(日次入力!E:E,日次入力!A:A,"&gt;="&amp;DATE(2026,6,23),日次入力!A:A,"&lt;="&amp;DATE(2026,6,29),日次入力!C:C,"Meta介護校"))</f>
        <v/>
      </c>
      <c r="E34" s="399">
        <f>IF(COUNTIFS(日次入力!A:A,"&gt;="&amp;DATE(2026,6,23),日次入力!A:A,"&lt;="&amp;DATE(2026,6,29),日次入力!C:C,"Meta介護校")=0,"",SUMIFS(日次入力!F:F,日次入力!A:A,"&gt;="&amp;DATE(2026,6,23),日次入力!A:A,"&lt;="&amp;DATE(2026,6,29),日次入力!C:C,"Meta介護校"))</f>
        <v/>
      </c>
      <c r="F34" s="399">
        <f>IF(COUNTIFS(日次入力!A:A,"&gt;="&amp;DATE(2026,6,23),日次入力!A:A,"&lt;="&amp;DATE(2026,6,29),日次入力!C:C,"Meta介護校")=0,"",SUMIFS(日次入力!G:G,日次入力!A:A,"&gt;="&amp;DATE(2026,6,23),日次入力!A:A,"&lt;="&amp;DATE(2026,6,29),日次入力!C:C,"Meta介護校"))</f>
        <v/>
      </c>
      <c r="G34" s="393">
        <f>IFERROR(E34/D34,"")</f>
        <v/>
      </c>
      <c r="H34" s="394">
        <f>IFERROR(C34/E34,"")</f>
        <v/>
      </c>
      <c r="I34" s="394">
        <f>IFERROR(C34/D34*1000,"")</f>
        <v/>
      </c>
      <c r="J34" s="393">
        <f>IFERROR(F34/E34,"")</f>
        <v/>
      </c>
      <c r="K34" s="394">
        <f>IFERROR(C34/F34,"")</f>
        <v/>
      </c>
      <c r="L34" s="399">
        <f>IF(COUNTIFS(日次入力!A:A,"&gt;="&amp;DATE(2026,6,23),日次入力!A:A,"&lt;="&amp;DATE(2026,6,29),日次入力!C:C,"Meta介護校")=0,"",SUMIFS(日次入力!H:H,日次入力!A:A,"&gt;="&amp;DATE(2026,6,23),日次入力!A:A,"&lt;="&amp;DATE(2026,6,29),日次入力!C:C,"Meta介護校"))</f>
        <v/>
      </c>
      <c r="M34" s="393">
        <f>IF(L34="","",IFERROR(L34/F34,""))</f>
        <v/>
      </c>
      <c r="N34" s="399">
        <f>IF(COUNTIFS(日次入力!A:A,"&gt;="&amp;DATE(2026,6,23),日次入力!A:A,"&lt;="&amp;DATE(2026,6,29),日次入力!C:C,"Meta介護校")=0,"",SUMIFS(日次入力!I:I,日次入力!A:A,"&gt;="&amp;DATE(2026,6,23),日次入力!A:A,"&lt;="&amp;DATE(2026,6,29),日次入力!C:C,"Meta介護校"))</f>
        <v/>
      </c>
      <c r="O34" s="393">
        <f>IF(N34="","",IFERROR(N34/L34,""))</f>
        <v/>
      </c>
      <c r="P34" s="394">
        <f>IF(N34=0,"",IFERROR(C34/N34,""))</f>
        <v/>
      </c>
      <c r="Q34" s="395">
        <f>IF(N34=0,"",IFERROR(IF(C34/N34&lt;=用語集!$B$23,"◎ 許容内","✗ 超過"),"—"))</f>
        <v/>
      </c>
      <c r="R34" s="396">
        <f>IFERROR(用語集!$B$23/P34,"")</f>
        <v/>
      </c>
    </row>
    <row r="35">
      <c r="A35" s="389" t="inlineStr">
        <is>
          <t>W13</t>
        </is>
      </c>
      <c r="B35" s="390" t="inlineStr">
        <is>
          <t>6/30–7/6</t>
        </is>
      </c>
      <c r="C35" s="398">
        <f>IF(COUNTIFS(日次入力!A:A,"&gt;="&amp;DATE(2026,6,30),日次入力!A:A,"&lt;="&amp;DATE(2026,7,6),日次入力!C:C,"Meta介護校")=0,"",SUMIFS(日次入力!D:D,日次入力!A:A,"&gt;="&amp;DATE(2026,6,30),日次入力!A:A,"&lt;="&amp;DATE(2026,7,6),日次入力!C:C,"Meta介護校"))</f>
        <v/>
      </c>
      <c r="D35" s="399">
        <f>IF(COUNTIFS(日次入力!A:A,"&gt;="&amp;DATE(2026,6,30),日次入力!A:A,"&lt;="&amp;DATE(2026,7,6),日次入力!C:C,"Meta介護校")=0,"",SUMIFS(日次入力!E:E,日次入力!A:A,"&gt;="&amp;DATE(2026,6,30),日次入力!A:A,"&lt;="&amp;DATE(2026,7,6),日次入力!C:C,"Meta介護校"))</f>
        <v/>
      </c>
      <c r="E35" s="399">
        <f>IF(COUNTIFS(日次入力!A:A,"&gt;="&amp;DATE(2026,6,30),日次入力!A:A,"&lt;="&amp;DATE(2026,7,6),日次入力!C:C,"Meta介護校")=0,"",SUMIFS(日次入力!F:F,日次入力!A:A,"&gt;="&amp;DATE(2026,6,30),日次入力!A:A,"&lt;="&amp;DATE(2026,7,6),日次入力!C:C,"Meta介護校"))</f>
        <v/>
      </c>
      <c r="F35" s="399">
        <f>IF(COUNTIFS(日次入力!A:A,"&gt;="&amp;DATE(2026,6,30),日次入力!A:A,"&lt;="&amp;DATE(2026,7,6),日次入力!C:C,"Meta介護校")=0,"",SUMIFS(日次入力!G:G,日次入力!A:A,"&gt;="&amp;DATE(2026,6,30),日次入力!A:A,"&lt;="&amp;DATE(2026,7,6),日次入力!C:C,"Meta介護校"))</f>
        <v/>
      </c>
      <c r="G35" s="393">
        <f>IFERROR(E35/D35,"")</f>
        <v/>
      </c>
      <c r="H35" s="394">
        <f>IFERROR(C35/E35,"")</f>
        <v/>
      </c>
      <c r="I35" s="394">
        <f>IFERROR(C35/D35*1000,"")</f>
        <v/>
      </c>
      <c r="J35" s="393">
        <f>IFERROR(F35/E35,"")</f>
        <v/>
      </c>
      <c r="K35" s="394">
        <f>IFERROR(C35/F35,"")</f>
        <v/>
      </c>
      <c r="L35" s="399">
        <f>IF(COUNTIFS(日次入力!A:A,"&gt;="&amp;DATE(2026,6,30),日次入力!A:A,"&lt;="&amp;DATE(2026,7,6),日次入力!C:C,"Meta介護校")=0,"",SUMIFS(日次入力!H:H,日次入力!A:A,"&gt;="&amp;DATE(2026,6,30),日次入力!A:A,"&lt;="&amp;DATE(2026,7,6),日次入力!C:C,"Meta介護校"))</f>
        <v/>
      </c>
      <c r="M35" s="393">
        <f>IF(L35="","",IFERROR(L35/F35,""))</f>
        <v/>
      </c>
      <c r="N35" s="399">
        <f>IF(COUNTIFS(日次入力!A:A,"&gt;="&amp;DATE(2026,6,30),日次入力!A:A,"&lt;="&amp;DATE(2026,7,6),日次入力!C:C,"Meta介護校")=0,"",SUMIFS(日次入力!I:I,日次入力!A:A,"&gt;="&amp;DATE(2026,6,30),日次入力!A:A,"&lt;="&amp;DATE(2026,7,6),日次入力!C:C,"Meta介護校"))</f>
        <v/>
      </c>
      <c r="O35" s="393">
        <f>IF(N35="","",IFERROR(N35/L35,""))</f>
        <v/>
      </c>
      <c r="P35" s="394">
        <f>IF(N35=0,"",IFERROR(C35/N35,""))</f>
        <v/>
      </c>
      <c r="Q35" s="395">
        <f>IF(N35=0,"",IFERROR(IF(C35/N35&lt;=用語集!$B$23,"◎ 許容内","✗ 超過"),"—"))</f>
        <v/>
      </c>
      <c r="R35" s="396">
        <f>IFERROR(用語集!$B$23/P35,"")</f>
        <v/>
      </c>
    </row>
    <row r="36">
      <c r="A36" s="400" t="inlineStr">
        <is>
          <t>合計</t>
        </is>
      </c>
      <c r="B36" s="401" t="inlineStr"/>
      <c r="C36" s="402">
        <f>SUM(C23:C35)</f>
        <v/>
      </c>
      <c r="D36" s="403">
        <f>SUM(D23:D35)</f>
        <v/>
      </c>
      <c r="E36" s="403">
        <f>SUM(E23:E35)</f>
        <v/>
      </c>
      <c r="F36" s="403">
        <f>SUM(F23:F35)</f>
        <v/>
      </c>
      <c r="G36" s="404">
        <f>IFERROR(E36/D36,"")</f>
        <v/>
      </c>
      <c r="H36" s="402">
        <f>IFERROR(C36/E36,"")</f>
        <v/>
      </c>
      <c r="I36" s="402">
        <f>IFERROR(C36/D36*1000,"")</f>
        <v/>
      </c>
      <c r="J36" s="404">
        <f>IFERROR(F36/D36,"")</f>
        <v/>
      </c>
      <c r="K36" s="402">
        <f>IFERROR(C36/F36,"")</f>
        <v/>
      </c>
      <c r="L36" s="403">
        <f>SUM(L23:L35)</f>
        <v/>
      </c>
      <c r="M36" s="404">
        <f>IF(L36=0,"",IFERROR(L36/F36,""))</f>
        <v/>
      </c>
      <c r="N36" s="403">
        <f>SUM(N23:N35)</f>
        <v/>
      </c>
      <c r="O36" s="404">
        <f>IF(L36=0,"",IFERROR(N36/L36,""))</f>
        <v/>
      </c>
      <c r="P36" s="402">
        <f>IF(N36=0,"",IFERROR(C36/N36,""))</f>
        <v/>
      </c>
      <c r="Q36" s="400">
        <f>IF(N36=0,"",IFERROR(IF(C36/N36&lt;=用語集!$B$23,"◎ 許容内","✗ 超過"),"—"))</f>
        <v/>
      </c>
      <c r="R36" s="405">
        <f>IFERROR(用語集!$B$23/P36,"")</f>
        <v/>
      </c>
    </row>
    <row r="38">
      <c r="A38" s="388" t="inlineStr">
        <is>
          <t xml:space="preserve">　Meta ／ 常設・ClaudeCode開発講座　（目標CPL ¥15,355）</t>
        </is>
      </c>
      <c r="B38" s="162" t="n"/>
      <c r="C38" s="162" t="n"/>
      <c r="D38" s="162" t="n"/>
      <c r="E38" s="162" t="n"/>
      <c r="F38" s="162" t="n"/>
      <c r="G38" s="162" t="n"/>
      <c r="H38" s="162" t="n"/>
      <c r="I38" s="162" t="n"/>
      <c r="J38" s="162" t="n"/>
      <c r="K38" s="162" t="n"/>
      <c r="L38" s="162" t="n"/>
      <c r="M38" s="162" t="n"/>
      <c r="N38" s="162" t="n"/>
      <c r="O38" s="162" t="n"/>
      <c r="P38" s="162" t="n"/>
      <c r="Q38" s="162" t="n"/>
      <c r="R38" s="163" t="n"/>
    </row>
    <row r="39" ht="26" customHeight="1" s="68">
      <c r="A39" s="141" t="inlineStr">
        <is>
          <t>週</t>
        </is>
      </c>
      <c r="B39" s="141" t="inlineStr">
        <is>
          <t>期間</t>
        </is>
      </c>
      <c r="C39" s="141" t="inlineStr">
        <is>
          <t>消費金額</t>
        </is>
      </c>
      <c r="D39" s="141" t="inlineStr">
        <is>
          <t>IMP</t>
        </is>
      </c>
      <c r="E39" s="141" t="inlineStr">
        <is>
          <t>クリック</t>
        </is>
      </c>
      <c r="F39" s="141" t="inlineStr">
        <is>
          <t>CV</t>
        </is>
      </c>
      <c r="G39" s="141" t="inlineStr">
        <is>
          <t>CTR</t>
        </is>
      </c>
      <c r="H39" s="141" t="inlineStr">
        <is>
          <t>CPC</t>
        </is>
      </c>
      <c r="I39" s="141" t="inlineStr">
        <is>
          <t>CPM</t>
        </is>
      </c>
      <c r="J39" s="141" t="inlineStr">
        <is>
          <t>CVR</t>
        </is>
      </c>
      <c r="K39" s="141" t="inlineStr">
        <is>
          <t>CPL</t>
        </is>
      </c>
      <c r="L39" s="141" t="inlineStr">
        <is>
          <t>商談</t>
        </is>
      </c>
      <c r="M39" s="141" t="inlineStr">
        <is>
          <t>歩留まり</t>
        </is>
      </c>
      <c r="N39" s="141" t="inlineStr">
        <is>
          <t>成約</t>
        </is>
      </c>
      <c r="O39" s="141" t="inlineStr">
        <is>
          <t>成約率</t>
        </is>
      </c>
      <c r="P39" s="141" t="inlineStr">
        <is>
          <t>1成約広告費</t>
        </is>
      </c>
      <c r="Q39" s="141" t="inlineStr">
        <is>
          <t>対許容CPA</t>
        </is>
      </c>
      <c r="R39" s="141" t="inlineStr">
        <is>
          <t>余裕倍率</t>
        </is>
      </c>
    </row>
    <row r="40">
      <c r="A40" s="389" t="inlineStr">
        <is>
          <t>W1</t>
        </is>
      </c>
      <c r="B40" s="390" t="inlineStr">
        <is>
          <t>4/7–4/13</t>
        </is>
      </c>
      <c r="C40" s="390" t="inlineStr">
        <is>
          <t>配信なし</t>
        </is>
      </c>
      <c r="D40" s="397" t="n"/>
      <c r="E40" s="397" t="n"/>
      <c r="F40" s="397" t="n"/>
      <c r="G40" s="393">
        <f>IFERROR(E40/D40,"")</f>
        <v/>
      </c>
      <c r="H40" s="394">
        <f>IFERROR(C40/E40,"")</f>
        <v/>
      </c>
      <c r="I40" s="394">
        <f>IFERROR(C40/D40*1000,"")</f>
        <v/>
      </c>
      <c r="J40" s="393">
        <f>IFERROR(F40/E40,"")</f>
        <v/>
      </c>
      <c r="K40" s="394">
        <f>IFERROR(C40/F40,"")</f>
        <v/>
      </c>
      <c r="L40" s="392" t="n"/>
      <c r="M40" s="393">
        <f>IF(L40="","",IFERROR(L40/F40,""))</f>
        <v/>
      </c>
      <c r="N40" s="392" t="n"/>
      <c r="O40" s="393">
        <f>IF(N40="","",IFERROR(N40/L40,""))</f>
        <v/>
      </c>
      <c r="P40" s="394">
        <f>IF(N40=0,"",IFERROR(C40/N40,""))</f>
        <v/>
      </c>
      <c r="Q40" s="395">
        <f>IF(N40=0,"",IFERROR(IF(C40/N40&lt;=用語集!$B$23,"◎ 許容内","✗ 超過"),"—"))</f>
        <v/>
      </c>
      <c r="R40" s="396">
        <f>IFERROR(用語集!$B$23/P40,"")</f>
        <v/>
      </c>
    </row>
    <row r="41">
      <c r="A41" s="389" t="inlineStr">
        <is>
          <t>W2</t>
        </is>
      </c>
      <c r="B41" s="390" t="inlineStr">
        <is>
          <t>4/14–4/20</t>
        </is>
      </c>
      <c r="C41" s="390" t="inlineStr">
        <is>
          <t>配信なし</t>
        </is>
      </c>
      <c r="D41" s="397" t="n"/>
      <c r="E41" s="397" t="n"/>
      <c r="F41" s="397" t="n"/>
      <c r="G41" s="393">
        <f>IFERROR(E41/D41,"")</f>
        <v/>
      </c>
      <c r="H41" s="394">
        <f>IFERROR(C41/E41,"")</f>
        <v/>
      </c>
      <c r="I41" s="394">
        <f>IFERROR(C41/D41*1000,"")</f>
        <v/>
      </c>
      <c r="J41" s="393">
        <f>IFERROR(F41/E41,"")</f>
        <v/>
      </c>
      <c r="K41" s="394">
        <f>IFERROR(C41/F41,"")</f>
        <v/>
      </c>
      <c r="L41" s="392" t="n"/>
      <c r="M41" s="393">
        <f>IF(L41="","",IFERROR(L41/F41,""))</f>
        <v/>
      </c>
      <c r="N41" s="392" t="n"/>
      <c r="O41" s="393">
        <f>IF(N41="","",IFERROR(N41/L41,""))</f>
        <v/>
      </c>
      <c r="P41" s="394">
        <f>IF(N41=0,"",IFERROR(C41/N41,""))</f>
        <v/>
      </c>
      <c r="Q41" s="395">
        <f>IF(N41=0,"",IFERROR(IF(C41/N41&lt;=用語集!$B$23,"◎ 許容内","✗ 超過"),"—"))</f>
        <v/>
      </c>
      <c r="R41" s="396">
        <f>IFERROR(用語集!$B$23/P41,"")</f>
        <v/>
      </c>
    </row>
    <row r="42">
      <c r="A42" s="389" t="inlineStr">
        <is>
          <t>W3</t>
        </is>
      </c>
      <c r="B42" s="390" t="inlineStr">
        <is>
          <t>4/21–4/27</t>
        </is>
      </c>
      <c r="C42" s="390" t="inlineStr">
        <is>
          <t>配信なし</t>
        </is>
      </c>
      <c r="D42" s="397" t="n"/>
      <c r="E42" s="397" t="n"/>
      <c r="F42" s="397" t="n"/>
      <c r="G42" s="393">
        <f>IFERROR(E42/D42,"")</f>
        <v/>
      </c>
      <c r="H42" s="394">
        <f>IFERROR(C42/E42,"")</f>
        <v/>
      </c>
      <c r="I42" s="394">
        <f>IFERROR(C42/D42*1000,"")</f>
        <v/>
      </c>
      <c r="J42" s="393">
        <f>IFERROR(F42/E42,"")</f>
        <v/>
      </c>
      <c r="K42" s="394">
        <f>IFERROR(C42/F42,"")</f>
        <v/>
      </c>
      <c r="L42" s="392" t="n"/>
      <c r="M42" s="393">
        <f>IF(L42="","",IFERROR(L42/F42,""))</f>
        <v/>
      </c>
      <c r="N42" s="392" t="n"/>
      <c r="O42" s="393">
        <f>IF(N42="","",IFERROR(N42/L42,""))</f>
        <v/>
      </c>
      <c r="P42" s="394">
        <f>IF(N42=0,"",IFERROR(C42/N42,""))</f>
        <v/>
      </c>
      <c r="Q42" s="395">
        <f>IF(N42=0,"",IFERROR(IF(C42/N42&lt;=用語集!$B$23,"◎ 許容内","✗ 超過"),"—"))</f>
        <v/>
      </c>
      <c r="R42" s="396">
        <f>IFERROR(用語集!$B$23/P42,"")</f>
        <v/>
      </c>
    </row>
    <row r="43">
      <c r="A43" s="389" t="inlineStr">
        <is>
          <t>W4</t>
        </is>
      </c>
      <c r="B43" s="390" t="inlineStr">
        <is>
          <t>4/28–5/4</t>
        </is>
      </c>
      <c r="C43" s="390" t="inlineStr">
        <is>
          <t>配信なし</t>
        </is>
      </c>
      <c r="D43" s="397" t="n"/>
      <c r="E43" s="397" t="n"/>
      <c r="F43" s="397" t="n"/>
      <c r="G43" s="393">
        <f>IFERROR(E43/D43,"")</f>
        <v/>
      </c>
      <c r="H43" s="394">
        <f>IFERROR(C43/E43,"")</f>
        <v/>
      </c>
      <c r="I43" s="394">
        <f>IFERROR(C43/D43*1000,"")</f>
        <v/>
      </c>
      <c r="J43" s="393">
        <f>IFERROR(F43/E43,"")</f>
        <v/>
      </c>
      <c r="K43" s="394">
        <f>IFERROR(C43/F43,"")</f>
        <v/>
      </c>
      <c r="L43" s="392" t="n"/>
      <c r="M43" s="393">
        <f>IF(L43="","",IFERROR(L43/F43,""))</f>
        <v/>
      </c>
      <c r="N43" s="392" t="n"/>
      <c r="O43" s="393">
        <f>IF(N43="","",IFERROR(N43/L43,""))</f>
        <v/>
      </c>
      <c r="P43" s="394">
        <f>IF(N43=0,"",IFERROR(C43/N43,""))</f>
        <v/>
      </c>
      <c r="Q43" s="395">
        <f>IF(N43=0,"",IFERROR(IF(C43/N43&lt;=用語集!$B$23,"◎ 許容内","✗ 超過"),"—"))</f>
        <v/>
      </c>
      <c r="R43" s="396">
        <f>IFERROR(用語集!$B$23/P43,"")</f>
        <v/>
      </c>
    </row>
    <row r="44">
      <c r="A44" s="389" t="inlineStr">
        <is>
          <t>W5</t>
        </is>
      </c>
      <c r="B44" s="390" t="inlineStr">
        <is>
          <t>5/5–5/11</t>
        </is>
      </c>
      <c r="C44" s="390" t="inlineStr">
        <is>
          <t>配信なし</t>
        </is>
      </c>
      <c r="D44" s="397" t="n"/>
      <c r="E44" s="397" t="n"/>
      <c r="F44" s="397" t="n"/>
      <c r="G44" s="393">
        <f>IFERROR(E44/D44,"")</f>
        <v/>
      </c>
      <c r="H44" s="394">
        <f>IFERROR(C44/E44,"")</f>
        <v/>
      </c>
      <c r="I44" s="394">
        <f>IFERROR(C44/D44*1000,"")</f>
        <v/>
      </c>
      <c r="J44" s="393">
        <f>IFERROR(F44/E44,"")</f>
        <v/>
      </c>
      <c r="K44" s="394">
        <f>IFERROR(C44/F44,"")</f>
        <v/>
      </c>
      <c r="L44" s="392" t="n"/>
      <c r="M44" s="393">
        <f>IF(L44="","",IFERROR(L44/F44,""))</f>
        <v/>
      </c>
      <c r="N44" s="392" t="n"/>
      <c r="O44" s="393">
        <f>IF(N44="","",IFERROR(N44/L44,""))</f>
        <v/>
      </c>
      <c r="P44" s="394">
        <f>IF(N44=0,"",IFERROR(C44/N44,""))</f>
        <v/>
      </c>
      <c r="Q44" s="395">
        <f>IF(N44=0,"",IFERROR(IF(C44/N44&lt;=用語集!$B$23,"◎ 許容内","✗ 超過"),"—"))</f>
        <v/>
      </c>
      <c r="R44" s="396">
        <f>IFERROR(用語集!$B$23/P44,"")</f>
        <v/>
      </c>
    </row>
    <row r="45">
      <c r="A45" s="389" t="inlineStr">
        <is>
          <t>W6</t>
        </is>
      </c>
      <c r="B45" s="390" t="inlineStr">
        <is>
          <t>5/12–5/18</t>
        </is>
      </c>
      <c r="C45" s="391" t="n">
        <v>270</v>
      </c>
      <c r="D45" s="392" t="n">
        <v>105</v>
      </c>
      <c r="E45" s="392" t="n">
        <v>16</v>
      </c>
      <c r="F45" s="392" t="n">
        <v>0</v>
      </c>
      <c r="G45" s="393">
        <f>IFERROR(E45/D45,"")</f>
        <v/>
      </c>
      <c r="H45" s="394">
        <f>IFERROR(C45/E45,"")</f>
        <v/>
      </c>
      <c r="I45" s="394">
        <f>IFERROR(C45/D45*1000,"")</f>
        <v/>
      </c>
      <c r="J45" s="393">
        <f>IFERROR(F45/E45,"")</f>
        <v/>
      </c>
      <c r="K45" s="394">
        <f>IFERROR(C45/F45,"")</f>
        <v/>
      </c>
      <c r="L45" s="392" t="n"/>
      <c r="M45" s="393">
        <f>IF(L45="","",IFERROR(L45/F45,""))</f>
        <v/>
      </c>
      <c r="N45" s="392" t="n"/>
      <c r="O45" s="393">
        <f>IF(N45="","",IFERROR(N45/L45,""))</f>
        <v/>
      </c>
      <c r="P45" s="394">
        <f>IF(N45=0,"",IFERROR(C45/N45,""))</f>
        <v/>
      </c>
      <c r="Q45" s="395">
        <f>IF(N45=0,"",IFERROR(IF(C45/N45&lt;=用語集!$B$23,"◎ 許容内","✗ 超過"),"—"))</f>
        <v/>
      </c>
      <c r="R45" s="396">
        <f>IFERROR(用語集!$B$23/P45,"")</f>
        <v/>
      </c>
    </row>
    <row r="46">
      <c r="A46" s="389" t="inlineStr">
        <is>
          <t>W7</t>
        </is>
      </c>
      <c r="B46" s="390" t="inlineStr">
        <is>
          <t>5/19–5/25</t>
        </is>
      </c>
      <c r="C46" s="391" t="n">
        <v>18825</v>
      </c>
      <c r="D46" s="392" t="n">
        <v>4177</v>
      </c>
      <c r="E46" s="392" t="n">
        <v>257</v>
      </c>
      <c r="F46" s="392" t="n">
        <v>13</v>
      </c>
      <c r="G46" s="393">
        <f>IFERROR(E46/D46,"")</f>
        <v/>
      </c>
      <c r="H46" s="394">
        <f>IFERROR(C46/E46,"")</f>
        <v/>
      </c>
      <c r="I46" s="394">
        <f>IFERROR(C46/D46*1000,"")</f>
        <v/>
      </c>
      <c r="J46" s="393">
        <f>IFERROR(F46/E46,"")</f>
        <v/>
      </c>
      <c r="K46" s="394">
        <f>IFERROR(C46/F46,"")</f>
        <v/>
      </c>
      <c r="L46" s="392" t="n"/>
      <c r="M46" s="393">
        <f>IF(L46="","",IFERROR(L46/F46,""))</f>
        <v/>
      </c>
      <c r="N46" s="392" t="n"/>
      <c r="O46" s="393">
        <f>IF(N46="","",IFERROR(N46/L46,""))</f>
        <v/>
      </c>
      <c r="P46" s="394">
        <f>IF(N46=0,"",IFERROR(C46/N46,""))</f>
        <v/>
      </c>
      <c r="Q46" s="395">
        <f>IF(N46=0,"",IFERROR(IF(C46/N46&lt;=用語集!$B$23,"◎ 許容内","✗ 超過"),"—"))</f>
        <v/>
      </c>
      <c r="R46" s="396">
        <f>IFERROR(用語集!$B$23/P46,"")</f>
        <v/>
      </c>
    </row>
    <row r="47">
      <c r="A47" s="389" t="inlineStr">
        <is>
          <t>W8</t>
        </is>
      </c>
      <c r="B47" s="390" t="inlineStr">
        <is>
          <t>5/26–6/1</t>
        </is>
      </c>
      <c r="C47" s="391" t="n">
        <v>43511</v>
      </c>
      <c r="D47" s="392" t="n">
        <v>23464</v>
      </c>
      <c r="E47" s="392" t="n">
        <v>639</v>
      </c>
      <c r="F47" s="392" t="n">
        <v>23</v>
      </c>
      <c r="G47" s="393">
        <f>IFERROR(E47/D47,"")</f>
        <v/>
      </c>
      <c r="H47" s="394">
        <f>IFERROR(C47/E47,"")</f>
        <v/>
      </c>
      <c r="I47" s="394">
        <f>IFERROR(C47/D47*1000,"")</f>
        <v/>
      </c>
      <c r="J47" s="393">
        <f>IFERROR(F47/E47,"")</f>
        <v/>
      </c>
      <c r="K47" s="394">
        <f>IFERROR(C47/F47,"")</f>
        <v/>
      </c>
      <c r="L47" s="392" t="n"/>
      <c r="M47" s="393">
        <f>IF(L47="","",IFERROR(L47/F47,""))</f>
        <v/>
      </c>
      <c r="N47" s="392" t="n"/>
      <c r="O47" s="393">
        <f>IF(N47="","",IFERROR(N47/L47,""))</f>
        <v/>
      </c>
      <c r="P47" s="394">
        <f>IF(N47=0,"",IFERROR(C47/N47,""))</f>
        <v/>
      </c>
      <c r="Q47" s="395">
        <f>IF(N47=0,"",IFERROR(IF(C47/N47&lt;=用語集!$B$23,"◎ 許容内","✗ 超過"),"—"))</f>
        <v/>
      </c>
      <c r="R47" s="396">
        <f>IFERROR(用語集!$B$23/P47,"")</f>
        <v/>
      </c>
    </row>
    <row r="48">
      <c r="A48" s="389" t="inlineStr">
        <is>
          <t>W9</t>
        </is>
      </c>
      <c r="B48" s="390" t="inlineStr">
        <is>
          <t>6/2–6/8</t>
        </is>
      </c>
      <c r="C48" s="391" t="n">
        <v>47766</v>
      </c>
      <c r="D48" s="392" t="n">
        <v>14307</v>
      </c>
      <c r="E48" s="392" t="n">
        <v>461</v>
      </c>
      <c r="F48" s="392" t="n">
        <v>30</v>
      </c>
      <c r="G48" s="393">
        <f>IFERROR(E48/D48,"")</f>
        <v/>
      </c>
      <c r="H48" s="394">
        <f>IFERROR(C48/E48,"")</f>
        <v/>
      </c>
      <c r="I48" s="394">
        <f>IFERROR(C48/D48*1000,"")</f>
        <v/>
      </c>
      <c r="J48" s="393">
        <f>IFERROR(F48/E48,"")</f>
        <v/>
      </c>
      <c r="K48" s="394">
        <f>IFERROR(C48/F48,"")</f>
        <v/>
      </c>
      <c r="L48" s="392" t="n"/>
      <c r="M48" s="393">
        <f>IF(L48="","",IFERROR(L48/F48,""))</f>
        <v/>
      </c>
      <c r="N48" s="392" t="n"/>
      <c r="O48" s="393">
        <f>IF(N48="","",IFERROR(N48/L48,""))</f>
        <v/>
      </c>
      <c r="P48" s="394">
        <f>IF(N48=0,"",IFERROR(C48/N48,""))</f>
        <v/>
      </c>
      <c r="Q48" s="395">
        <f>IF(N48=0,"",IFERROR(IF(C48/N48&lt;=用語集!$B$23,"◎ 許容内","✗ 超過"),"—"))</f>
        <v/>
      </c>
      <c r="R48" s="396">
        <f>IFERROR(用語集!$B$23/P48,"")</f>
        <v/>
      </c>
    </row>
    <row r="49">
      <c r="A49" s="389" t="inlineStr">
        <is>
          <t>W10</t>
        </is>
      </c>
      <c r="B49" s="390" t="inlineStr">
        <is>
          <t>6/9–6/15</t>
        </is>
      </c>
      <c r="C49" s="398">
        <f>IF(COUNTIFS(日次入力!A:A,"&gt;="&amp;DATE(2026,6,9),日次入力!A:A,"&lt;="&amp;DATE(2026,6,15),日次入力!C:C,"MetaClaude")=0,"",SUMIFS(日次入力!D:D,日次入力!A:A,"&gt;="&amp;DATE(2026,6,9),日次入力!A:A,"&lt;="&amp;DATE(2026,6,15),日次入力!C:C,"MetaClaude"))</f>
        <v/>
      </c>
      <c r="D49" s="399">
        <f>IF(COUNTIFS(日次入力!A:A,"&gt;="&amp;DATE(2026,6,9),日次入力!A:A,"&lt;="&amp;DATE(2026,6,15),日次入力!C:C,"MetaClaude")=0,"",SUMIFS(日次入力!E:E,日次入力!A:A,"&gt;="&amp;DATE(2026,6,9),日次入力!A:A,"&lt;="&amp;DATE(2026,6,15),日次入力!C:C,"MetaClaude"))</f>
        <v/>
      </c>
      <c r="E49" s="399">
        <f>IF(COUNTIFS(日次入力!A:A,"&gt;="&amp;DATE(2026,6,9),日次入力!A:A,"&lt;="&amp;DATE(2026,6,15),日次入力!C:C,"MetaClaude")=0,"",SUMIFS(日次入力!F:F,日次入力!A:A,"&gt;="&amp;DATE(2026,6,9),日次入力!A:A,"&lt;="&amp;DATE(2026,6,15),日次入力!C:C,"MetaClaude"))</f>
        <v/>
      </c>
      <c r="F49" s="399">
        <f>IF(COUNTIFS(日次入力!A:A,"&gt;="&amp;DATE(2026,6,9),日次入力!A:A,"&lt;="&amp;DATE(2026,6,15),日次入力!C:C,"MetaClaude")=0,"",SUMIFS(日次入力!G:G,日次入力!A:A,"&gt;="&amp;DATE(2026,6,9),日次入力!A:A,"&lt;="&amp;DATE(2026,6,15),日次入力!C:C,"MetaClaude"))</f>
        <v/>
      </c>
      <c r="G49" s="393">
        <f>IFERROR(E49/D49,"")</f>
        <v/>
      </c>
      <c r="H49" s="394">
        <f>IFERROR(C49/E49,"")</f>
        <v/>
      </c>
      <c r="I49" s="394">
        <f>IFERROR(C49/D49*1000,"")</f>
        <v/>
      </c>
      <c r="J49" s="393">
        <f>IFERROR(F49/E49,"")</f>
        <v/>
      </c>
      <c r="K49" s="394">
        <f>IFERROR(C49/F49,"")</f>
        <v/>
      </c>
      <c r="L49" s="399">
        <f>IF(COUNTIFS(日次入力!A:A,"&gt;="&amp;DATE(2026,6,9),日次入力!A:A,"&lt;="&amp;DATE(2026,6,15),日次入力!C:C,"MetaClaude")=0,"",SUMIFS(日次入力!H:H,日次入力!A:A,"&gt;="&amp;DATE(2026,6,9),日次入力!A:A,"&lt;="&amp;DATE(2026,6,15),日次入力!C:C,"MetaClaude"))</f>
        <v/>
      </c>
      <c r="M49" s="393">
        <f>IF(L49="","",IFERROR(L49/F49,""))</f>
        <v/>
      </c>
      <c r="N49" s="399">
        <f>IF(COUNTIFS(日次入力!A:A,"&gt;="&amp;DATE(2026,6,9),日次入力!A:A,"&lt;="&amp;DATE(2026,6,15),日次入力!C:C,"MetaClaude")=0,"",SUMIFS(日次入力!I:I,日次入力!A:A,"&gt;="&amp;DATE(2026,6,9),日次入力!A:A,"&lt;="&amp;DATE(2026,6,15),日次入力!C:C,"MetaClaude"))</f>
        <v/>
      </c>
      <c r="O49" s="393">
        <f>IF(N49="","",IFERROR(N49/L49,""))</f>
        <v/>
      </c>
      <c r="P49" s="394">
        <f>IF(N49=0,"",IFERROR(C49/N49,""))</f>
        <v/>
      </c>
      <c r="Q49" s="395">
        <f>IF(N49=0,"",IFERROR(IF(C49/N49&lt;=用語集!$B$23,"◎ 許容内","✗ 超過"),"—"))</f>
        <v/>
      </c>
      <c r="R49" s="396">
        <f>IFERROR(用語集!$B$23/P49,"")</f>
        <v/>
      </c>
    </row>
    <row r="50">
      <c r="A50" s="389" t="inlineStr">
        <is>
          <t>W11</t>
        </is>
      </c>
      <c r="B50" s="390" t="inlineStr">
        <is>
          <t>6/16–6/22</t>
        </is>
      </c>
      <c r="C50" s="398">
        <f>IF(COUNTIFS(日次入力!A:A,"&gt;="&amp;DATE(2026,6,16),日次入力!A:A,"&lt;="&amp;DATE(2026,6,22),日次入力!C:C,"MetaClaude")=0,"",SUMIFS(日次入力!D:D,日次入力!A:A,"&gt;="&amp;DATE(2026,6,16),日次入力!A:A,"&lt;="&amp;DATE(2026,6,22),日次入力!C:C,"MetaClaude"))</f>
        <v/>
      </c>
      <c r="D50" s="399">
        <f>IF(COUNTIFS(日次入力!A:A,"&gt;="&amp;DATE(2026,6,16),日次入力!A:A,"&lt;="&amp;DATE(2026,6,22),日次入力!C:C,"MetaClaude")=0,"",SUMIFS(日次入力!E:E,日次入力!A:A,"&gt;="&amp;DATE(2026,6,16),日次入力!A:A,"&lt;="&amp;DATE(2026,6,22),日次入力!C:C,"MetaClaude"))</f>
        <v/>
      </c>
      <c r="E50" s="399">
        <f>IF(COUNTIFS(日次入力!A:A,"&gt;="&amp;DATE(2026,6,16),日次入力!A:A,"&lt;="&amp;DATE(2026,6,22),日次入力!C:C,"MetaClaude")=0,"",SUMIFS(日次入力!F:F,日次入力!A:A,"&gt;="&amp;DATE(2026,6,16),日次入力!A:A,"&lt;="&amp;DATE(2026,6,22),日次入力!C:C,"MetaClaude"))</f>
        <v/>
      </c>
      <c r="F50" s="399">
        <f>IF(COUNTIFS(日次入力!A:A,"&gt;="&amp;DATE(2026,6,16),日次入力!A:A,"&lt;="&amp;DATE(2026,6,22),日次入力!C:C,"MetaClaude")=0,"",SUMIFS(日次入力!G:G,日次入力!A:A,"&gt;="&amp;DATE(2026,6,16),日次入力!A:A,"&lt;="&amp;DATE(2026,6,22),日次入力!C:C,"MetaClaude"))</f>
        <v/>
      </c>
      <c r="G50" s="393">
        <f>IFERROR(E50/D50,"")</f>
        <v/>
      </c>
      <c r="H50" s="394">
        <f>IFERROR(C50/E50,"")</f>
        <v/>
      </c>
      <c r="I50" s="394">
        <f>IFERROR(C50/D50*1000,"")</f>
        <v/>
      </c>
      <c r="J50" s="393">
        <f>IFERROR(F50/E50,"")</f>
        <v/>
      </c>
      <c r="K50" s="394">
        <f>IFERROR(C50/F50,"")</f>
        <v/>
      </c>
      <c r="L50" s="399">
        <f>IF(COUNTIFS(日次入力!A:A,"&gt;="&amp;DATE(2026,6,16),日次入力!A:A,"&lt;="&amp;DATE(2026,6,22),日次入力!C:C,"MetaClaude")=0,"",SUMIFS(日次入力!H:H,日次入力!A:A,"&gt;="&amp;DATE(2026,6,16),日次入力!A:A,"&lt;="&amp;DATE(2026,6,22),日次入力!C:C,"MetaClaude"))</f>
        <v/>
      </c>
      <c r="M50" s="393">
        <f>IF(L50="","",IFERROR(L50/F50,""))</f>
        <v/>
      </c>
      <c r="N50" s="399">
        <f>IF(COUNTIFS(日次入力!A:A,"&gt;="&amp;DATE(2026,6,16),日次入力!A:A,"&lt;="&amp;DATE(2026,6,22),日次入力!C:C,"MetaClaude")=0,"",SUMIFS(日次入力!I:I,日次入力!A:A,"&gt;="&amp;DATE(2026,6,16),日次入力!A:A,"&lt;="&amp;DATE(2026,6,22),日次入力!C:C,"MetaClaude"))</f>
        <v/>
      </c>
      <c r="O50" s="393">
        <f>IF(N50="","",IFERROR(N50/L50,""))</f>
        <v/>
      </c>
      <c r="P50" s="394">
        <f>IF(N50=0,"",IFERROR(C50/N50,""))</f>
        <v/>
      </c>
      <c r="Q50" s="395">
        <f>IF(N50=0,"",IFERROR(IF(C50/N50&lt;=用語集!$B$23,"◎ 許容内","✗ 超過"),"—"))</f>
        <v/>
      </c>
      <c r="R50" s="396">
        <f>IFERROR(用語集!$B$23/P50,"")</f>
        <v/>
      </c>
    </row>
    <row r="51">
      <c r="A51" s="389" t="inlineStr">
        <is>
          <t>W12</t>
        </is>
      </c>
      <c r="B51" s="390" t="inlineStr">
        <is>
          <t>6/23–6/29</t>
        </is>
      </c>
      <c r="C51" s="398">
        <f>IF(COUNTIFS(日次入力!A:A,"&gt;="&amp;DATE(2026,6,23),日次入力!A:A,"&lt;="&amp;DATE(2026,6,29),日次入力!C:C,"MetaClaude")=0,"",SUMIFS(日次入力!D:D,日次入力!A:A,"&gt;="&amp;DATE(2026,6,23),日次入力!A:A,"&lt;="&amp;DATE(2026,6,29),日次入力!C:C,"MetaClaude"))</f>
        <v/>
      </c>
      <c r="D51" s="399">
        <f>IF(COUNTIFS(日次入力!A:A,"&gt;="&amp;DATE(2026,6,23),日次入力!A:A,"&lt;="&amp;DATE(2026,6,29),日次入力!C:C,"MetaClaude")=0,"",SUMIFS(日次入力!E:E,日次入力!A:A,"&gt;="&amp;DATE(2026,6,23),日次入力!A:A,"&lt;="&amp;DATE(2026,6,29),日次入力!C:C,"MetaClaude"))</f>
        <v/>
      </c>
      <c r="E51" s="399">
        <f>IF(COUNTIFS(日次入力!A:A,"&gt;="&amp;DATE(2026,6,23),日次入力!A:A,"&lt;="&amp;DATE(2026,6,29),日次入力!C:C,"MetaClaude")=0,"",SUMIFS(日次入力!F:F,日次入力!A:A,"&gt;="&amp;DATE(2026,6,23),日次入力!A:A,"&lt;="&amp;DATE(2026,6,29),日次入力!C:C,"MetaClaude"))</f>
        <v/>
      </c>
      <c r="F51" s="399">
        <f>IF(COUNTIFS(日次入力!A:A,"&gt;="&amp;DATE(2026,6,23),日次入力!A:A,"&lt;="&amp;DATE(2026,6,29),日次入力!C:C,"MetaClaude")=0,"",SUMIFS(日次入力!G:G,日次入力!A:A,"&gt;="&amp;DATE(2026,6,23),日次入力!A:A,"&lt;="&amp;DATE(2026,6,29),日次入力!C:C,"MetaClaude"))</f>
        <v/>
      </c>
      <c r="G51" s="393">
        <f>IFERROR(E51/D51,"")</f>
        <v/>
      </c>
      <c r="H51" s="394">
        <f>IFERROR(C51/E51,"")</f>
        <v/>
      </c>
      <c r="I51" s="394">
        <f>IFERROR(C51/D51*1000,"")</f>
        <v/>
      </c>
      <c r="J51" s="393">
        <f>IFERROR(F51/E51,"")</f>
        <v/>
      </c>
      <c r="K51" s="394">
        <f>IFERROR(C51/F51,"")</f>
        <v/>
      </c>
      <c r="L51" s="399">
        <f>IF(COUNTIFS(日次入力!A:A,"&gt;="&amp;DATE(2026,6,23),日次入力!A:A,"&lt;="&amp;DATE(2026,6,29),日次入力!C:C,"MetaClaude")=0,"",SUMIFS(日次入力!H:H,日次入力!A:A,"&gt;="&amp;DATE(2026,6,23),日次入力!A:A,"&lt;="&amp;DATE(2026,6,29),日次入力!C:C,"MetaClaude"))</f>
        <v/>
      </c>
      <c r="M51" s="393">
        <f>IF(L51="","",IFERROR(L51/F51,""))</f>
        <v/>
      </c>
      <c r="N51" s="399">
        <f>IF(COUNTIFS(日次入力!A:A,"&gt;="&amp;DATE(2026,6,23),日次入力!A:A,"&lt;="&amp;DATE(2026,6,29),日次入力!C:C,"MetaClaude")=0,"",SUMIFS(日次入力!I:I,日次入力!A:A,"&gt;="&amp;DATE(2026,6,23),日次入力!A:A,"&lt;="&amp;DATE(2026,6,29),日次入力!C:C,"MetaClaude"))</f>
        <v/>
      </c>
      <c r="O51" s="393">
        <f>IF(N51="","",IFERROR(N51/L51,""))</f>
        <v/>
      </c>
      <c r="P51" s="394">
        <f>IF(N51=0,"",IFERROR(C51/N51,""))</f>
        <v/>
      </c>
      <c r="Q51" s="395">
        <f>IF(N51=0,"",IFERROR(IF(C51/N51&lt;=用語集!$B$23,"◎ 許容内","✗ 超過"),"—"))</f>
        <v/>
      </c>
      <c r="R51" s="396">
        <f>IFERROR(用語集!$B$23/P51,"")</f>
        <v/>
      </c>
    </row>
    <row r="52">
      <c r="A52" s="389" t="inlineStr">
        <is>
          <t>W13</t>
        </is>
      </c>
      <c r="B52" s="390" t="inlineStr">
        <is>
          <t>6/30–7/6</t>
        </is>
      </c>
      <c r="C52" s="398">
        <f>IF(COUNTIFS(日次入力!A:A,"&gt;="&amp;DATE(2026,6,30),日次入力!A:A,"&lt;="&amp;DATE(2026,7,6),日次入力!C:C,"MetaClaude")=0,"",SUMIFS(日次入力!D:D,日次入力!A:A,"&gt;="&amp;DATE(2026,6,30),日次入力!A:A,"&lt;="&amp;DATE(2026,7,6),日次入力!C:C,"MetaClaude"))</f>
        <v/>
      </c>
      <c r="D52" s="399">
        <f>IF(COUNTIFS(日次入力!A:A,"&gt;="&amp;DATE(2026,6,30),日次入力!A:A,"&lt;="&amp;DATE(2026,7,6),日次入力!C:C,"MetaClaude")=0,"",SUMIFS(日次入力!E:E,日次入力!A:A,"&gt;="&amp;DATE(2026,6,30),日次入力!A:A,"&lt;="&amp;DATE(2026,7,6),日次入力!C:C,"MetaClaude"))</f>
        <v/>
      </c>
      <c r="E52" s="399">
        <f>IF(COUNTIFS(日次入力!A:A,"&gt;="&amp;DATE(2026,6,30),日次入力!A:A,"&lt;="&amp;DATE(2026,7,6),日次入力!C:C,"MetaClaude")=0,"",SUMIFS(日次入力!F:F,日次入力!A:A,"&gt;="&amp;DATE(2026,6,30),日次入力!A:A,"&lt;="&amp;DATE(2026,7,6),日次入力!C:C,"MetaClaude"))</f>
        <v/>
      </c>
      <c r="F52" s="399">
        <f>IF(COUNTIFS(日次入力!A:A,"&gt;="&amp;DATE(2026,6,30),日次入力!A:A,"&lt;="&amp;DATE(2026,7,6),日次入力!C:C,"MetaClaude")=0,"",SUMIFS(日次入力!G:G,日次入力!A:A,"&gt;="&amp;DATE(2026,6,30),日次入力!A:A,"&lt;="&amp;DATE(2026,7,6),日次入力!C:C,"MetaClaude"))</f>
        <v/>
      </c>
      <c r="G52" s="393">
        <f>IFERROR(E52/D52,"")</f>
        <v/>
      </c>
      <c r="H52" s="394">
        <f>IFERROR(C52/E52,"")</f>
        <v/>
      </c>
      <c r="I52" s="394">
        <f>IFERROR(C52/D52*1000,"")</f>
        <v/>
      </c>
      <c r="J52" s="393">
        <f>IFERROR(F52/E52,"")</f>
        <v/>
      </c>
      <c r="K52" s="394">
        <f>IFERROR(C52/F52,"")</f>
        <v/>
      </c>
      <c r="L52" s="399">
        <f>IF(COUNTIFS(日次入力!A:A,"&gt;="&amp;DATE(2026,6,30),日次入力!A:A,"&lt;="&amp;DATE(2026,7,6),日次入力!C:C,"MetaClaude")=0,"",SUMIFS(日次入力!H:H,日次入力!A:A,"&gt;="&amp;DATE(2026,6,30),日次入力!A:A,"&lt;="&amp;DATE(2026,7,6),日次入力!C:C,"MetaClaude"))</f>
        <v/>
      </c>
      <c r="M52" s="393">
        <f>IF(L52="","",IFERROR(L52/F52,""))</f>
        <v/>
      </c>
      <c r="N52" s="399">
        <f>IF(COUNTIFS(日次入力!A:A,"&gt;="&amp;DATE(2026,6,30),日次入力!A:A,"&lt;="&amp;DATE(2026,7,6),日次入力!C:C,"MetaClaude")=0,"",SUMIFS(日次入力!I:I,日次入力!A:A,"&gt;="&amp;DATE(2026,6,30),日次入力!A:A,"&lt;="&amp;DATE(2026,7,6),日次入力!C:C,"MetaClaude"))</f>
        <v/>
      </c>
      <c r="O52" s="393">
        <f>IF(N52="","",IFERROR(N52/L52,""))</f>
        <v/>
      </c>
      <c r="P52" s="394">
        <f>IF(N52=0,"",IFERROR(C52/N52,""))</f>
        <v/>
      </c>
      <c r="Q52" s="395">
        <f>IF(N52=0,"",IFERROR(IF(C52/N52&lt;=用語集!$B$23,"◎ 許容内","✗ 超過"),"—"))</f>
        <v/>
      </c>
      <c r="R52" s="396">
        <f>IFERROR(用語集!$B$23/P52,"")</f>
        <v/>
      </c>
    </row>
    <row r="53">
      <c r="A53" s="400" t="inlineStr">
        <is>
          <t>合計</t>
        </is>
      </c>
      <c r="B53" s="401" t="inlineStr"/>
      <c r="C53" s="402">
        <f>SUM(C40:C52)</f>
        <v/>
      </c>
      <c r="D53" s="403">
        <f>SUM(D40:D52)</f>
        <v/>
      </c>
      <c r="E53" s="403">
        <f>SUM(E40:E52)</f>
        <v/>
      </c>
      <c r="F53" s="403">
        <f>SUM(F40:F52)</f>
        <v/>
      </c>
      <c r="G53" s="404">
        <f>IFERROR(E53/D53,"")</f>
        <v/>
      </c>
      <c r="H53" s="402">
        <f>IFERROR(C53/E53,"")</f>
        <v/>
      </c>
      <c r="I53" s="402">
        <f>IFERROR(C53/D53*1000,"")</f>
        <v/>
      </c>
      <c r="J53" s="404">
        <f>IFERROR(F53/D53,"")</f>
        <v/>
      </c>
      <c r="K53" s="402">
        <f>IFERROR(C53/F53,"")</f>
        <v/>
      </c>
      <c r="L53" s="403">
        <f>SUM(L40:L52)</f>
        <v/>
      </c>
      <c r="M53" s="404">
        <f>IF(L53=0,"",IFERROR(L53/F53,""))</f>
        <v/>
      </c>
      <c r="N53" s="403">
        <f>SUM(N40:N52)</f>
        <v/>
      </c>
      <c r="O53" s="404">
        <f>IF(L53=0,"",IFERROR(N53/L53,""))</f>
        <v/>
      </c>
      <c r="P53" s="402">
        <f>IF(N53=0,"",IFERROR(C53/N53,""))</f>
        <v/>
      </c>
      <c r="Q53" s="400">
        <f>IF(N53=0,"",IFERROR(IF(C53/N53&lt;=用語集!$B$23,"◎ 許容内","✗ 超過"),"—"))</f>
        <v/>
      </c>
      <c r="R53" s="405">
        <f>IFERROR(用語集!$B$23/P53,"")</f>
        <v/>
      </c>
    </row>
    <row r="55">
      <c r="A55" s="388" t="inlineStr">
        <is>
          <t xml:space="preserve">　Google ／ ウェビナー告知用　（目標CPL ¥11,374）</t>
        </is>
      </c>
      <c r="B55" s="162" t="n"/>
      <c r="C55" s="162" t="n"/>
      <c r="D55" s="162" t="n"/>
      <c r="E55" s="162" t="n"/>
      <c r="F55" s="162" t="n"/>
      <c r="G55" s="162" t="n"/>
      <c r="H55" s="162" t="n"/>
      <c r="I55" s="162" t="n"/>
      <c r="J55" s="162" t="n"/>
      <c r="K55" s="162" t="n"/>
      <c r="L55" s="162" t="n"/>
      <c r="M55" s="162" t="n"/>
      <c r="N55" s="162" t="n"/>
      <c r="O55" s="162" t="n"/>
      <c r="P55" s="162" t="n"/>
      <c r="Q55" s="162" t="n"/>
      <c r="R55" s="163" t="n"/>
    </row>
    <row r="56" ht="26" customHeight="1" s="68">
      <c r="A56" s="141" t="inlineStr">
        <is>
          <t>週</t>
        </is>
      </c>
      <c r="B56" s="141" t="inlineStr">
        <is>
          <t>期間</t>
        </is>
      </c>
      <c r="C56" s="141" t="inlineStr">
        <is>
          <t>消費金額</t>
        </is>
      </c>
      <c r="D56" s="141" t="inlineStr">
        <is>
          <t>IMP</t>
        </is>
      </c>
      <c r="E56" s="141" t="inlineStr">
        <is>
          <t>クリック</t>
        </is>
      </c>
      <c r="F56" s="141" t="inlineStr">
        <is>
          <t>CV</t>
        </is>
      </c>
      <c r="G56" s="141" t="inlineStr">
        <is>
          <t>CTR</t>
        </is>
      </c>
      <c r="H56" s="141" t="inlineStr">
        <is>
          <t>CPC</t>
        </is>
      </c>
      <c r="I56" s="141" t="inlineStr">
        <is>
          <t>CPM</t>
        </is>
      </c>
      <c r="J56" s="141" t="inlineStr">
        <is>
          <t>CVR</t>
        </is>
      </c>
      <c r="K56" s="141" t="inlineStr">
        <is>
          <t>CPL</t>
        </is>
      </c>
      <c r="L56" s="141" t="inlineStr">
        <is>
          <t>商談</t>
        </is>
      </c>
      <c r="M56" s="141" t="inlineStr">
        <is>
          <t>歩留まり</t>
        </is>
      </c>
      <c r="N56" s="141" t="inlineStr">
        <is>
          <t>成約</t>
        </is>
      </c>
      <c r="O56" s="141" t="inlineStr">
        <is>
          <t>成約率</t>
        </is>
      </c>
      <c r="P56" s="141" t="inlineStr">
        <is>
          <t>1成約広告費</t>
        </is>
      </c>
      <c r="Q56" s="141" t="inlineStr">
        <is>
          <t>対許容CPA</t>
        </is>
      </c>
      <c r="R56" s="141" t="inlineStr">
        <is>
          <t>余裕倍率</t>
        </is>
      </c>
    </row>
    <row r="57">
      <c r="A57" s="389" t="inlineStr">
        <is>
          <t>W1</t>
        </is>
      </c>
      <c r="B57" s="390" t="inlineStr">
        <is>
          <t>4/7–4/13</t>
        </is>
      </c>
      <c r="C57" s="391" t="n">
        <v>13503</v>
      </c>
      <c r="D57" s="392" t="n">
        <v>901</v>
      </c>
      <c r="E57" s="392" t="n">
        <v>249</v>
      </c>
      <c r="F57" s="392" t="n">
        <v>0</v>
      </c>
      <c r="G57" s="393">
        <f>IFERROR(E57/D57,"")</f>
        <v/>
      </c>
      <c r="H57" s="394">
        <f>IFERROR(C57/E57,"")</f>
        <v/>
      </c>
      <c r="I57" s="394">
        <f>IFERROR(C57/D57*1000,"")</f>
        <v/>
      </c>
      <c r="J57" s="393">
        <f>IFERROR(F57/E57,"")</f>
        <v/>
      </c>
      <c r="K57" s="394">
        <f>IFERROR(C57/F57,"")</f>
        <v/>
      </c>
      <c r="L57" s="392" t="n"/>
      <c r="M57" s="393">
        <f>IF(L57="","",IFERROR(L57/F57,""))</f>
        <v/>
      </c>
      <c r="N57" s="392" t="n"/>
      <c r="O57" s="393">
        <f>IF(N57="","",IFERROR(N57/L57,""))</f>
        <v/>
      </c>
      <c r="P57" s="394">
        <f>IF(N57=0,"",IFERROR(C57/N57,""))</f>
        <v/>
      </c>
      <c r="Q57" s="395">
        <f>IF(N57=0,"",IFERROR(IF(C57/N57&lt;=用語集!$B$23,"◎ 許容内","✗ 超過"),"—"))</f>
        <v/>
      </c>
      <c r="R57" s="396">
        <f>IFERROR(用語集!$B$23/P57,"")</f>
        <v/>
      </c>
    </row>
    <row r="58">
      <c r="A58" s="389" t="inlineStr">
        <is>
          <t>W2</t>
        </is>
      </c>
      <c r="B58" s="390" t="inlineStr">
        <is>
          <t>4/14–4/20</t>
        </is>
      </c>
      <c r="C58" s="391" t="n">
        <v>10788</v>
      </c>
      <c r="D58" s="392" t="n">
        <v>1267</v>
      </c>
      <c r="E58" s="392" t="n">
        <v>118</v>
      </c>
      <c r="F58" s="392" t="n">
        <v>4</v>
      </c>
      <c r="G58" s="393">
        <f>IFERROR(E58/D58,"")</f>
        <v/>
      </c>
      <c r="H58" s="394">
        <f>IFERROR(C58/E58,"")</f>
        <v/>
      </c>
      <c r="I58" s="394">
        <f>IFERROR(C58/D58*1000,"")</f>
        <v/>
      </c>
      <c r="J58" s="393">
        <f>IFERROR(F58/E58,"")</f>
        <v/>
      </c>
      <c r="K58" s="394">
        <f>IFERROR(C58/F58,"")</f>
        <v/>
      </c>
      <c r="L58" s="392" t="n"/>
      <c r="M58" s="393">
        <f>IF(L58="","",IFERROR(L58/F58,""))</f>
        <v/>
      </c>
      <c r="N58" s="392" t="n"/>
      <c r="O58" s="393">
        <f>IF(N58="","",IFERROR(N58/L58,""))</f>
        <v/>
      </c>
      <c r="P58" s="394">
        <f>IF(N58=0,"",IFERROR(C58/N58,""))</f>
        <v/>
      </c>
      <c r="Q58" s="395">
        <f>IF(N58=0,"",IFERROR(IF(C58/N58&lt;=用語集!$B$23,"◎ 許容内","✗ 超過"),"—"))</f>
        <v/>
      </c>
      <c r="R58" s="396">
        <f>IFERROR(用語集!$B$23/P58,"")</f>
        <v/>
      </c>
    </row>
    <row r="59">
      <c r="A59" s="389" t="inlineStr">
        <is>
          <t>W3</t>
        </is>
      </c>
      <c r="B59" s="390" t="inlineStr">
        <is>
          <t>4/21–4/27</t>
        </is>
      </c>
      <c r="C59" s="391" t="n">
        <v>21214</v>
      </c>
      <c r="D59" s="392" t="n">
        <v>1086</v>
      </c>
      <c r="E59" s="392" t="n">
        <v>48</v>
      </c>
      <c r="F59" s="392" t="n">
        <v>2</v>
      </c>
      <c r="G59" s="393">
        <f>IFERROR(E59/D59,"")</f>
        <v/>
      </c>
      <c r="H59" s="394">
        <f>IFERROR(C59/E59,"")</f>
        <v/>
      </c>
      <c r="I59" s="394">
        <f>IFERROR(C59/D59*1000,"")</f>
        <v/>
      </c>
      <c r="J59" s="393">
        <f>IFERROR(F59/E59,"")</f>
        <v/>
      </c>
      <c r="K59" s="394">
        <f>IFERROR(C59/F59,"")</f>
        <v/>
      </c>
      <c r="L59" s="392" t="n"/>
      <c r="M59" s="393">
        <f>IF(L59="","",IFERROR(L59/F59,""))</f>
        <v/>
      </c>
      <c r="N59" s="392" t="n"/>
      <c r="O59" s="393">
        <f>IF(N59="","",IFERROR(N59/L59,""))</f>
        <v/>
      </c>
      <c r="P59" s="394">
        <f>IF(N59=0,"",IFERROR(C59/N59,""))</f>
        <v/>
      </c>
      <c r="Q59" s="395">
        <f>IF(N59=0,"",IFERROR(IF(C59/N59&lt;=用語集!$B$23,"◎ 許容内","✗ 超過"),"—"))</f>
        <v/>
      </c>
      <c r="R59" s="396">
        <f>IFERROR(用語集!$B$23/P59,"")</f>
        <v/>
      </c>
    </row>
    <row r="60">
      <c r="A60" s="389" t="inlineStr">
        <is>
          <t>W4</t>
        </is>
      </c>
      <c r="B60" s="390" t="inlineStr">
        <is>
          <t>4/28–5/4</t>
        </is>
      </c>
      <c r="C60" s="390" t="inlineStr">
        <is>
          <t>配信なし</t>
        </is>
      </c>
      <c r="D60" s="397" t="n"/>
      <c r="E60" s="397" t="n"/>
      <c r="F60" s="397" t="n"/>
      <c r="G60" s="393">
        <f>IFERROR(E60/D60,"")</f>
        <v/>
      </c>
      <c r="H60" s="394">
        <f>IFERROR(C60/E60,"")</f>
        <v/>
      </c>
      <c r="I60" s="394">
        <f>IFERROR(C60/D60*1000,"")</f>
        <v/>
      </c>
      <c r="J60" s="393">
        <f>IFERROR(F60/E60,"")</f>
        <v/>
      </c>
      <c r="K60" s="394">
        <f>IFERROR(C60/F60,"")</f>
        <v/>
      </c>
      <c r="L60" s="392" t="n"/>
      <c r="M60" s="393">
        <f>IF(L60="","",IFERROR(L60/F60,""))</f>
        <v/>
      </c>
      <c r="N60" s="392" t="n"/>
      <c r="O60" s="393">
        <f>IF(N60="","",IFERROR(N60/L60,""))</f>
        <v/>
      </c>
      <c r="P60" s="394">
        <f>IF(N60=0,"",IFERROR(C60/N60,""))</f>
        <v/>
      </c>
      <c r="Q60" s="395">
        <f>IF(N60=0,"",IFERROR(IF(C60/N60&lt;=用語集!$B$23,"◎ 許容内","✗ 超過"),"—"))</f>
        <v/>
      </c>
      <c r="R60" s="396">
        <f>IFERROR(用語集!$B$23/P60,"")</f>
        <v/>
      </c>
    </row>
    <row r="61">
      <c r="A61" s="389" t="inlineStr">
        <is>
          <t>W5</t>
        </is>
      </c>
      <c r="B61" s="390" t="inlineStr">
        <is>
          <t>5/5–5/11</t>
        </is>
      </c>
      <c r="C61" s="390" t="inlineStr">
        <is>
          <t>配信なし</t>
        </is>
      </c>
      <c r="D61" s="397" t="n"/>
      <c r="E61" s="397" t="n"/>
      <c r="F61" s="397" t="n"/>
      <c r="G61" s="393">
        <f>IFERROR(E61/D61,"")</f>
        <v/>
      </c>
      <c r="H61" s="394">
        <f>IFERROR(C61/E61,"")</f>
        <v/>
      </c>
      <c r="I61" s="394">
        <f>IFERROR(C61/D61*1000,"")</f>
        <v/>
      </c>
      <c r="J61" s="393">
        <f>IFERROR(F61/E61,"")</f>
        <v/>
      </c>
      <c r="K61" s="394">
        <f>IFERROR(C61/F61,"")</f>
        <v/>
      </c>
      <c r="L61" s="392" t="n"/>
      <c r="M61" s="393">
        <f>IF(L61="","",IFERROR(L61/F61,""))</f>
        <v/>
      </c>
      <c r="N61" s="392" t="n"/>
      <c r="O61" s="393">
        <f>IF(N61="","",IFERROR(N61/L61,""))</f>
        <v/>
      </c>
      <c r="P61" s="394">
        <f>IF(N61=0,"",IFERROR(C61/N61,""))</f>
        <v/>
      </c>
      <c r="Q61" s="395">
        <f>IF(N61=0,"",IFERROR(IF(C61/N61&lt;=用語集!$B$23,"◎ 許容内","✗ 超過"),"—"))</f>
        <v/>
      </c>
      <c r="R61" s="396">
        <f>IFERROR(用語集!$B$23/P61,"")</f>
        <v/>
      </c>
    </row>
    <row r="62">
      <c r="A62" s="389" t="inlineStr">
        <is>
          <t>W6</t>
        </is>
      </c>
      <c r="B62" s="390" t="inlineStr">
        <is>
          <t>5/12–5/18</t>
        </is>
      </c>
      <c r="C62" s="390" t="inlineStr">
        <is>
          <t>配信なし</t>
        </is>
      </c>
      <c r="D62" s="397" t="n"/>
      <c r="E62" s="397" t="n"/>
      <c r="F62" s="397" t="n"/>
      <c r="G62" s="393">
        <f>IFERROR(E62/D62,"")</f>
        <v/>
      </c>
      <c r="H62" s="394">
        <f>IFERROR(C62/E62,"")</f>
        <v/>
      </c>
      <c r="I62" s="394">
        <f>IFERROR(C62/D62*1000,"")</f>
        <v/>
      </c>
      <c r="J62" s="393">
        <f>IFERROR(F62/E62,"")</f>
        <v/>
      </c>
      <c r="K62" s="394">
        <f>IFERROR(C62/F62,"")</f>
        <v/>
      </c>
      <c r="L62" s="392" t="n"/>
      <c r="M62" s="393">
        <f>IF(L62="","",IFERROR(L62/F62,""))</f>
        <v/>
      </c>
      <c r="N62" s="392" t="n"/>
      <c r="O62" s="393">
        <f>IF(N62="","",IFERROR(N62/L62,""))</f>
        <v/>
      </c>
      <c r="P62" s="394">
        <f>IF(N62=0,"",IFERROR(C62/N62,""))</f>
        <v/>
      </c>
      <c r="Q62" s="395">
        <f>IF(N62=0,"",IFERROR(IF(C62/N62&lt;=用語集!$B$23,"◎ 許容内","✗ 超過"),"—"))</f>
        <v/>
      </c>
      <c r="R62" s="396">
        <f>IFERROR(用語集!$B$23/P62,"")</f>
        <v/>
      </c>
    </row>
    <row r="63">
      <c r="A63" s="389" t="inlineStr">
        <is>
          <t>W7</t>
        </is>
      </c>
      <c r="B63" s="390" t="inlineStr">
        <is>
          <t>5/19–5/25</t>
        </is>
      </c>
      <c r="C63" s="390" t="inlineStr">
        <is>
          <t>配信なし</t>
        </is>
      </c>
      <c r="D63" s="397" t="n"/>
      <c r="E63" s="397" t="n"/>
      <c r="F63" s="397" t="n"/>
      <c r="G63" s="393">
        <f>IFERROR(E63/D63,"")</f>
        <v/>
      </c>
      <c r="H63" s="394">
        <f>IFERROR(C63/E63,"")</f>
        <v/>
      </c>
      <c r="I63" s="394">
        <f>IFERROR(C63/D63*1000,"")</f>
        <v/>
      </c>
      <c r="J63" s="393">
        <f>IFERROR(F63/E63,"")</f>
        <v/>
      </c>
      <c r="K63" s="394">
        <f>IFERROR(C63/F63,"")</f>
        <v/>
      </c>
      <c r="L63" s="392" t="n"/>
      <c r="M63" s="393">
        <f>IF(L63="","",IFERROR(L63/F63,""))</f>
        <v/>
      </c>
      <c r="N63" s="392" t="n"/>
      <c r="O63" s="393">
        <f>IF(N63="","",IFERROR(N63/L63,""))</f>
        <v/>
      </c>
      <c r="P63" s="394">
        <f>IF(N63=0,"",IFERROR(C63/N63,""))</f>
        <v/>
      </c>
      <c r="Q63" s="395">
        <f>IF(N63=0,"",IFERROR(IF(C63/N63&lt;=用語集!$B$23,"◎ 許容内","✗ 超過"),"—"))</f>
        <v/>
      </c>
      <c r="R63" s="396">
        <f>IFERROR(用語集!$B$23/P63,"")</f>
        <v/>
      </c>
    </row>
    <row r="64">
      <c r="A64" s="389" t="inlineStr">
        <is>
          <t>W8</t>
        </is>
      </c>
      <c r="B64" s="390" t="inlineStr">
        <is>
          <t>5/26–6/1</t>
        </is>
      </c>
      <c r="C64" s="390" t="inlineStr">
        <is>
          <t>配信なし</t>
        </is>
      </c>
      <c r="D64" s="397" t="n"/>
      <c r="E64" s="397" t="n"/>
      <c r="F64" s="397" t="n"/>
      <c r="G64" s="393">
        <f>IFERROR(E64/D64,"")</f>
        <v/>
      </c>
      <c r="H64" s="394">
        <f>IFERROR(C64/E64,"")</f>
        <v/>
      </c>
      <c r="I64" s="394">
        <f>IFERROR(C64/D64*1000,"")</f>
        <v/>
      </c>
      <c r="J64" s="393">
        <f>IFERROR(F64/E64,"")</f>
        <v/>
      </c>
      <c r="K64" s="394">
        <f>IFERROR(C64/F64,"")</f>
        <v/>
      </c>
      <c r="L64" s="392" t="n"/>
      <c r="M64" s="393">
        <f>IF(L64="","",IFERROR(L64/F64,""))</f>
        <v/>
      </c>
      <c r="N64" s="392" t="n"/>
      <c r="O64" s="393">
        <f>IF(N64="","",IFERROR(N64/L64,""))</f>
        <v/>
      </c>
      <c r="P64" s="394">
        <f>IF(N64=0,"",IFERROR(C64/N64,""))</f>
        <v/>
      </c>
      <c r="Q64" s="395">
        <f>IF(N64=0,"",IFERROR(IF(C64/N64&lt;=用語集!$B$23,"◎ 許容内","✗ 超過"),"—"))</f>
        <v/>
      </c>
      <c r="R64" s="396">
        <f>IFERROR(用語集!$B$23/P64,"")</f>
        <v/>
      </c>
    </row>
    <row r="65">
      <c r="A65" s="389" t="inlineStr">
        <is>
          <t>W9</t>
        </is>
      </c>
      <c r="B65" s="390" t="inlineStr">
        <is>
          <t>6/2–6/8</t>
        </is>
      </c>
      <c r="C65" s="390" t="inlineStr">
        <is>
          <t>配信なし</t>
        </is>
      </c>
      <c r="D65" s="397" t="n"/>
      <c r="E65" s="397" t="n"/>
      <c r="F65" s="397" t="n"/>
      <c r="G65" s="393">
        <f>IFERROR(E65/D65,"")</f>
        <v/>
      </c>
      <c r="H65" s="394">
        <f>IFERROR(C65/E65,"")</f>
        <v/>
      </c>
      <c r="I65" s="394">
        <f>IFERROR(C65/D65*1000,"")</f>
        <v/>
      </c>
      <c r="J65" s="393">
        <f>IFERROR(F65/E65,"")</f>
        <v/>
      </c>
      <c r="K65" s="394">
        <f>IFERROR(C65/F65,"")</f>
        <v/>
      </c>
      <c r="L65" s="392" t="n"/>
      <c r="M65" s="393">
        <f>IF(L65="","",IFERROR(L65/F65,""))</f>
        <v/>
      </c>
      <c r="N65" s="392" t="n"/>
      <c r="O65" s="393">
        <f>IF(N65="","",IFERROR(N65/L65,""))</f>
        <v/>
      </c>
      <c r="P65" s="394">
        <f>IF(N65=0,"",IFERROR(C65/N65,""))</f>
        <v/>
      </c>
      <c r="Q65" s="395">
        <f>IF(N65=0,"",IFERROR(IF(C65/N65&lt;=用語集!$B$23,"◎ 許容内","✗ 超過"),"—"))</f>
        <v/>
      </c>
      <c r="R65" s="396">
        <f>IFERROR(用語集!$B$23/P65,"")</f>
        <v/>
      </c>
    </row>
    <row r="66">
      <c r="A66" s="389" t="inlineStr">
        <is>
          <t>W10</t>
        </is>
      </c>
      <c r="B66" s="390" t="inlineStr">
        <is>
          <t>6/9–6/15</t>
        </is>
      </c>
      <c r="C66" s="398">
        <f>IF(COUNTIFS(日次入力!A:A,"&gt;="&amp;DATE(2026,6,9),日次入力!A:A,"&lt;="&amp;DATE(2026,6,15),日次入力!C:C,"Googleウェビナー")=0,"",SUMIFS(日次入力!D:D,日次入力!A:A,"&gt;="&amp;DATE(2026,6,9),日次入力!A:A,"&lt;="&amp;DATE(2026,6,15),日次入力!C:C,"Googleウェビナー"))</f>
        <v/>
      </c>
      <c r="D66" s="399">
        <f>IF(COUNTIFS(日次入力!A:A,"&gt;="&amp;DATE(2026,6,9),日次入力!A:A,"&lt;="&amp;DATE(2026,6,15),日次入力!C:C,"Googleウェビナー")=0,"",SUMIFS(日次入力!E:E,日次入力!A:A,"&gt;="&amp;DATE(2026,6,9),日次入力!A:A,"&lt;="&amp;DATE(2026,6,15),日次入力!C:C,"Googleウェビナー"))</f>
        <v/>
      </c>
      <c r="E66" s="399">
        <f>IF(COUNTIFS(日次入力!A:A,"&gt;="&amp;DATE(2026,6,9),日次入力!A:A,"&lt;="&amp;DATE(2026,6,15),日次入力!C:C,"Googleウェビナー")=0,"",SUMIFS(日次入力!F:F,日次入力!A:A,"&gt;="&amp;DATE(2026,6,9),日次入力!A:A,"&lt;="&amp;DATE(2026,6,15),日次入力!C:C,"Googleウェビナー"))</f>
        <v/>
      </c>
      <c r="F66" s="399">
        <f>IF(COUNTIFS(日次入力!A:A,"&gt;="&amp;DATE(2026,6,9),日次入力!A:A,"&lt;="&amp;DATE(2026,6,15),日次入力!C:C,"Googleウェビナー")=0,"",SUMIFS(日次入力!G:G,日次入力!A:A,"&gt;="&amp;DATE(2026,6,9),日次入力!A:A,"&lt;="&amp;DATE(2026,6,15),日次入力!C:C,"Googleウェビナー"))</f>
        <v/>
      </c>
      <c r="G66" s="393">
        <f>IFERROR(E66/D66,"")</f>
        <v/>
      </c>
      <c r="H66" s="394">
        <f>IFERROR(C66/E66,"")</f>
        <v/>
      </c>
      <c r="I66" s="394">
        <f>IFERROR(C66/D66*1000,"")</f>
        <v/>
      </c>
      <c r="J66" s="393">
        <f>IFERROR(F66/E66,"")</f>
        <v/>
      </c>
      <c r="K66" s="394">
        <f>IFERROR(C66/F66,"")</f>
        <v/>
      </c>
      <c r="L66" s="399">
        <f>IF(COUNTIFS(日次入力!A:A,"&gt;="&amp;DATE(2026,6,9),日次入力!A:A,"&lt;="&amp;DATE(2026,6,15),日次入力!C:C,"Googleウェビナー")=0,"",SUMIFS(日次入力!H:H,日次入力!A:A,"&gt;="&amp;DATE(2026,6,9),日次入力!A:A,"&lt;="&amp;DATE(2026,6,15),日次入力!C:C,"Googleウェビナー"))</f>
        <v/>
      </c>
      <c r="M66" s="393">
        <f>IF(L66="","",IFERROR(L66/F66,""))</f>
        <v/>
      </c>
      <c r="N66" s="399">
        <f>IF(COUNTIFS(日次入力!A:A,"&gt;="&amp;DATE(2026,6,9),日次入力!A:A,"&lt;="&amp;DATE(2026,6,15),日次入力!C:C,"Googleウェビナー")=0,"",SUMIFS(日次入力!I:I,日次入力!A:A,"&gt;="&amp;DATE(2026,6,9),日次入力!A:A,"&lt;="&amp;DATE(2026,6,15),日次入力!C:C,"Googleウェビナー"))</f>
        <v/>
      </c>
      <c r="O66" s="393">
        <f>IF(N66="","",IFERROR(N66/L66,""))</f>
        <v/>
      </c>
      <c r="P66" s="394">
        <f>IF(N66=0,"",IFERROR(C66/N66,""))</f>
        <v/>
      </c>
      <c r="Q66" s="395">
        <f>IF(N66=0,"",IFERROR(IF(C66/N66&lt;=用語集!$B$23,"◎ 許容内","✗ 超過"),"—"))</f>
        <v/>
      </c>
      <c r="R66" s="396">
        <f>IFERROR(用語集!$B$23/P66,"")</f>
        <v/>
      </c>
    </row>
    <row r="67">
      <c r="A67" s="389" t="inlineStr">
        <is>
          <t>W11</t>
        </is>
      </c>
      <c r="B67" s="390" t="inlineStr">
        <is>
          <t>6/16–6/22</t>
        </is>
      </c>
      <c r="C67" s="398">
        <f>IF(COUNTIFS(日次入力!A:A,"&gt;="&amp;DATE(2026,6,16),日次入力!A:A,"&lt;="&amp;DATE(2026,6,22),日次入力!C:C,"Googleウェビナー")=0,"",SUMIFS(日次入力!D:D,日次入力!A:A,"&gt;="&amp;DATE(2026,6,16),日次入力!A:A,"&lt;="&amp;DATE(2026,6,22),日次入力!C:C,"Googleウェビナー"))</f>
        <v/>
      </c>
      <c r="D67" s="399">
        <f>IF(COUNTIFS(日次入力!A:A,"&gt;="&amp;DATE(2026,6,16),日次入力!A:A,"&lt;="&amp;DATE(2026,6,22),日次入力!C:C,"Googleウェビナー")=0,"",SUMIFS(日次入力!E:E,日次入力!A:A,"&gt;="&amp;DATE(2026,6,16),日次入力!A:A,"&lt;="&amp;DATE(2026,6,22),日次入力!C:C,"Googleウェビナー"))</f>
        <v/>
      </c>
      <c r="E67" s="399">
        <f>IF(COUNTIFS(日次入力!A:A,"&gt;="&amp;DATE(2026,6,16),日次入力!A:A,"&lt;="&amp;DATE(2026,6,22),日次入力!C:C,"Googleウェビナー")=0,"",SUMIFS(日次入力!F:F,日次入力!A:A,"&gt;="&amp;DATE(2026,6,16),日次入力!A:A,"&lt;="&amp;DATE(2026,6,22),日次入力!C:C,"Googleウェビナー"))</f>
        <v/>
      </c>
      <c r="F67" s="399">
        <f>IF(COUNTIFS(日次入力!A:A,"&gt;="&amp;DATE(2026,6,16),日次入力!A:A,"&lt;="&amp;DATE(2026,6,22),日次入力!C:C,"Googleウェビナー")=0,"",SUMIFS(日次入力!G:G,日次入力!A:A,"&gt;="&amp;DATE(2026,6,16),日次入力!A:A,"&lt;="&amp;DATE(2026,6,22),日次入力!C:C,"Googleウェビナー"))</f>
        <v/>
      </c>
      <c r="G67" s="393">
        <f>IFERROR(E67/D67,"")</f>
        <v/>
      </c>
      <c r="H67" s="394">
        <f>IFERROR(C67/E67,"")</f>
        <v/>
      </c>
      <c r="I67" s="394">
        <f>IFERROR(C67/D67*1000,"")</f>
        <v/>
      </c>
      <c r="J67" s="393">
        <f>IFERROR(F67/E67,"")</f>
        <v/>
      </c>
      <c r="K67" s="394">
        <f>IFERROR(C67/F67,"")</f>
        <v/>
      </c>
      <c r="L67" s="399">
        <f>IF(COUNTIFS(日次入力!A:A,"&gt;="&amp;DATE(2026,6,16),日次入力!A:A,"&lt;="&amp;DATE(2026,6,22),日次入力!C:C,"Googleウェビナー")=0,"",SUMIFS(日次入力!H:H,日次入力!A:A,"&gt;="&amp;DATE(2026,6,16),日次入力!A:A,"&lt;="&amp;DATE(2026,6,22),日次入力!C:C,"Googleウェビナー"))</f>
        <v/>
      </c>
      <c r="M67" s="393">
        <f>IF(L67="","",IFERROR(L67/F67,""))</f>
        <v/>
      </c>
      <c r="N67" s="399">
        <f>IF(COUNTIFS(日次入力!A:A,"&gt;="&amp;DATE(2026,6,16),日次入力!A:A,"&lt;="&amp;DATE(2026,6,22),日次入力!C:C,"Googleウェビナー")=0,"",SUMIFS(日次入力!I:I,日次入力!A:A,"&gt;="&amp;DATE(2026,6,16),日次入力!A:A,"&lt;="&amp;DATE(2026,6,22),日次入力!C:C,"Googleウェビナー"))</f>
        <v/>
      </c>
      <c r="O67" s="393">
        <f>IF(N67="","",IFERROR(N67/L67,""))</f>
        <v/>
      </c>
      <c r="P67" s="394">
        <f>IF(N67=0,"",IFERROR(C67/N67,""))</f>
        <v/>
      </c>
      <c r="Q67" s="395">
        <f>IF(N67=0,"",IFERROR(IF(C67/N67&lt;=用語集!$B$23,"◎ 許容内","✗ 超過"),"—"))</f>
        <v/>
      </c>
      <c r="R67" s="396">
        <f>IFERROR(用語集!$B$23/P67,"")</f>
        <v/>
      </c>
    </row>
    <row r="68">
      <c r="A68" s="389" t="inlineStr">
        <is>
          <t>W12</t>
        </is>
      </c>
      <c r="B68" s="390" t="inlineStr">
        <is>
          <t>6/23–6/29</t>
        </is>
      </c>
      <c r="C68" s="398">
        <f>IF(COUNTIFS(日次入力!A:A,"&gt;="&amp;DATE(2026,6,23),日次入力!A:A,"&lt;="&amp;DATE(2026,6,29),日次入力!C:C,"Googleウェビナー")=0,"",SUMIFS(日次入力!D:D,日次入力!A:A,"&gt;="&amp;DATE(2026,6,23),日次入力!A:A,"&lt;="&amp;DATE(2026,6,29),日次入力!C:C,"Googleウェビナー"))</f>
        <v/>
      </c>
      <c r="D68" s="399">
        <f>IF(COUNTIFS(日次入力!A:A,"&gt;="&amp;DATE(2026,6,23),日次入力!A:A,"&lt;="&amp;DATE(2026,6,29),日次入力!C:C,"Googleウェビナー")=0,"",SUMIFS(日次入力!E:E,日次入力!A:A,"&gt;="&amp;DATE(2026,6,23),日次入力!A:A,"&lt;="&amp;DATE(2026,6,29),日次入力!C:C,"Googleウェビナー"))</f>
        <v/>
      </c>
      <c r="E68" s="399">
        <f>IF(COUNTIFS(日次入力!A:A,"&gt;="&amp;DATE(2026,6,23),日次入力!A:A,"&lt;="&amp;DATE(2026,6,29),日次入力!C:C,"Googleウェビナー")=0,"",SUMIFS(日次入力!F:F,日次入力!A:A,"&gt;="&amp;DATE(2026,6,23),日次入力!A:A,"&lt;="&amp;DATE(2026,6,29),日次入力!C:C,"Googleウェビナー"))</f>
        <v/>
      </c>
      <c r="F68" s="399">
        <f>IF(COUNTIFS(日次入力!A:A,"&gt;="&amp;DATE(2026,6,23),日次入力!A:A,"&lt;="&amp;DATE(2026,6,29),日次入力!C:C,"Googleウェビナー")=0,"",SUMIFS(日次入力!G:G,日次入力!A:A,"&gt;="&amp;DATE(2026,6,23),日次入力!A:A,"&lt;="&amp;DATE(2026,6,29),日次入力!C:C,"Googleウェビナー"))</f>
        <v/>
      </c>
      <c r="G68" s="393">
        <f>IFERROR(E68/D68,"")</f>
        <v/>
      </c>
      <c r="H68" s="394">
        <f>IFERROR(C68/E68,"")</f>
        <v/>
      </c>
      <c r="I68" s="394">
        <f>IFERROR(C68/D68*1000,"")</f>
        <v/>
      </c>
      <c r="J68" s="393">
        <f>IFERROR(F68/E68,"")</f>
        <v/>
      </c>
      <c r="K68" s="394">
        <f>IFERROR(C68/F68,"")</f>
        <v/>
      </c>
      <c r="L68" s="399">
        <f>IF(COUNTIFS(日次入力!A:A,"&gt;="&amp;DATE(2026,6,23),日次入力!A:A,"&lt;="&amp;DATE(2026,6,29),日次入力!C:C,"Googleウェビナー")=0,"",SUMIFS(日次入力!H:H,日次入力!A:A,"&gt;="&amp;DATE(2026,6,23),日次入力!A:A,"&lt;="&amp;DATE(2026,6,29),日次入力!C:C,"Googleウェビナー"))</f>
        <v/>
      </c>
      <c r="M68" s="393">
        <f>IF(L68="","",IFERROR(L68/F68,""))</f>
        <v/>
      </c>
      <c r="N68" s="399">
        <f>IF(COUNTIFS(日次入力!A:A,"&gt;="&amp;DATE(2026,6,23),日次入力!A:A,"&lt;="&amp;DATE(2026,6,29),日次入力!C:C,"Googleウェビナー")=0,"",SUMIFS(日次入力!I:I,日次入力!A:A,"&gt;="&amp;DATE(2026,6,23),日次入力!A:A,"&lt;="&amp;DATE(2026,6,29),日次入力!C:C,"Googleウェビナー"))</f>
        <v/>
      </c>
      <c r="O68" s="393">
        <f>IF(N68="","",IFERROR(N68/L68,""))</f>
        <v/>
      </c>
      <c r="P68" s="394">
        <f>IF(N68=0,"",IFERROR(C68/N68,""))</f>
        <v/>
      </c>
      <c r="Q68" s="395">
        <f>IF(N68=0,"",IFERROR(IF(C68/N68&lt;=用語集!$B$23,"◎ 許容内","✗ 超過"),"—"))</f>
        <v/>
      </c>
      <c r="R68" s="396">
        <f>IFERROR(用語集!$B$23/P68,"")</f>
        <v/>
      </c>
    </row>
    <row r="69">
      <c r="A69" s="389" t="inlineStr">
        <is>
          <t>W13</t>
        </is>
      </c>
      <c r="B69" s="390" t="inlineStr">
        <is>
          <t>6/30–7/6</t>
        </is>
      </c>
      <c r="C69" s="398">
        <f>IF(COUNTIFS(日次入力!A:A,"&gt;="&amp;DATE(2026,6,30),日次入力!A:A,"&lt;="&amp;DATE(2026,7,6),日次入力!C:C,"Googleウェビナー")=0,"",SUMIFS(日次入力!D:D,日次入力!A:A,"&gt;="&amp;DATE(2026,6,30),日次入力!A:A,"&lt;="&amp;DATE(2026,7,6),日次入力!C:C,"Googleウェビナー"))</f>
        <v/>
      </c>
      <c r="D69" s="399">
        <f>IF(COUNTIFS(日次入力!A:A,"&gt;="&amp;DATE(2026,6,30),日次入力!A:A,"&lt;="&amp;DATE(2026,7,6),日次入力!C:C,"Googleウェビナー")=0,"",SUMIFS(日次入力!E:E,日次入力!A:A,"&gt;="&amp;DATE(2026,6,30),日次入力!A:A,"&lt;="&amp;DATE(2026,7,6),日次入力!C:C,"Googleウェビナー"))</f>
        <v/>
      </c>
      <c r="E69" s="399">
        <f>IF(COUNTIFS(日次入力!A:A,"&gt;="&amp;DATE(2026,6,30),日次入力!A:A,"&lt;="&amp;DATE(2026,7,6),日次入力!C:C,"Googleウェビナー")=0,"",SUMIFS(日次入力!F:F,日次入力!A:A,"&gt;="&amp;DATE(2026,6,30),日次入力!A:A,"&lt;="&amp;DATE(2026,7,6),日次入力!C:C,"Googleウェビナー"))</f>
        <v/>
      </c>
      <c r="F69" s="399">
        <f>IF(COUNTIFS(日次入力!A:A,"&gt;="&amp;DATE(2026,6,30),日次入力!A:A,"&lt;="&amp;DATE(2026,7,6),日次入力!C:C,"Googleウェビナー")=0,"",SUMIFS(日次入力!G:G,日次入力!A:A,"&gt;="&amp;DATE(2026,6,30),日次入力!A:A,"&lt;="&amp;DATE(2026,7,6),日次入力!C:C,"Googleウェビナー"))</f>
        <v/>
      </c>
      <c r="G69" s="393">
        <f>IFERROR(E69/D69,"")</f>
        <v/>
      </c>
      <c r="H69" s="394">
        <f>IFERROR(C69/E69,"")</f>
        <v/>
      </c>
      <c r="I69" s="394">
        <f>IFERROR(C69/D69*1000,"")</f>
        <v/>
      </c>
      <c r="J69" s="393">
        <f>IFERROR(F69/E69,"")</f>
        <v/>
      </c>
      <c r="K69" s="394">
        <f>IFERROR(C69/F69,"")</f>
        <v/>
      </c>
      <c r="L69" s="399">
        <f>IF(COUNTIFS(日次入力!A:A,"&gt;="&amp;DATE(2026,6,30),日次入力!A:A,"&lt;="&amp;DATE(2026,7,6),日次入力!C:C,"Googleウェビナー")=0,"",SUMIFS(日次入力!H:H,日次入力!A:A,"&gt;="&amp;DATE(2026,6,30),日次入力!A:A,"&lt;="&amp;DATE(2026,7,6),日次入力!C:C,"Googleウェビナー"))</f>
        <v/>
      </c>
      <c r="M69" s="393">
        <f>IF(L69="","",IFERROR(L69/F69,""))</f>
        <v/>
      </c>
      <c r="N69" s="399">
        <f>IF(COUNTIFS(日次入力!A:A,"&gt;="&amp;DATE(2026,6,30),日次入力!A:A,"&lt;="&amp;DATE(2026,7,6),日次入力!C:C,"Googleウェビナー")=0,"",SUMIFS(日次入力!I:I,日次入力!A:A,"&gt;="&amp;DATE(2026,6,30),日次入力!A:A,"&lt;="&amp;DATE(2026,7,6),日次入力!C:C,"Googleウェビナー"))</f>
        <v/>
      </c>
      <c r="O69" s="393">
        <f>IF(N69="","",IFERROR(N69/L69,""))</f>
        <v/>
      </c>
      <c r="P69" s="394">
        <f>IF(N69=0,"",IFERROR(C69/N69,""))</f>
        <v/>
      </c>
      <c r="Q69" s="395">
        <f>IF(N69=0,"",IFERROR(IF(C69/N69&lt;=用語集!$B$23,"◎ 許容内","✗ 超過"),"—"))</f>
        <v/>
      </c>
      <c r="R69" s="396">
        <f>IFERROR(用語集!$B$23/P69,"")</f>
        <v/>
      </c>
    </row>
    <row r="70">
      <c r="A70" s="400" t="inlineStr">
        <is>
          <t>合計</t>
        </is>
      </c>
      <c r="B70" s="401" t="inlineStr"/>
      <c r="C70" s="402">
        <f>SUM(C57:C69)</f>
        <v/>
      </c>
      <c r="D70" s="403">
        <f>SUM(D57:D69)</f>
        <v/>
      </c>
      <c r="E70" s="403">
        <f>SUM(E57:E69)</f>
        <v/>
      </c>
      <c r="F70" s="403">
        <f>SUM(F57:F69)</f>
        <v/>
      </c>
      <c r="G70" s="404">
        <f>IFERROR(E70/D70,"")</f>
        <v/>
      </c>
      <c r="H70" s="402">
        <f>IFERROR(C70/E70,"")</f>
        <v/>
      </c>
      <c r="I70" s="402">
        <f>IFERROR(C70/D70*1000,"")</f>
        <v/>
      </c>
      <c r="J70" s="404">
        <f>IFERROR(F70/D70,"")</f>
        <v/>
      </c>
      <c r="K70" s="402">
        <f>IFERROR(C70/F70,"")</f>
        <v/>
      </c>
      <c r="L70" s="403">
        <f>SUM(L57:L69)</f>
        <v/>
      </c>
      <c r="M70" s="404">
        <f>IF(L70=0,"",IFERROR(L70/F70,""))</f>
        <v/>
      </c>
      <c r="N70" s="403">
        <f>SUM(N57:N69)</f>
        <v/>
      </c>
      <c r="O70" s="404">
        <f>IF(L70=0,"",IFERROR(N70/L70,""))</f>
        <v/>
      </c>
      <c r="P70" s="402">
        <f>IF(N70=0,"",IFERROR(C70/N70,""))</f>
        <v/>
      </c>
      <c r="Q70" s="400">
        <f>IF(N70=0,"",IFERROR(IF(C70/N70&lt;=用語集!$B$23,"◎ 許容内","✗ 超過"),"—"))</f>
        <v/>
      </c>
      <c r="R70" s="405">
        <f>IFERROR(用語集!$B$23/P70,"")</f>
        <v/>
      </c>
    </row>
    <row r="72">
      <c r="A72" s="388" t="inlineStr">
        <is>
          <t xml:space="preserve">　Google ／ 常設広告用　（目標CPL ¥15,355）</t>
        </is>
      </c>
      <c r="B72" s="162" t="n"/>
      <c r="C72" s="162" t="n"/>
      <c r="D72" s="162" t="n"/>
      <c r="E72" s="162" t="n"/>
      <c r="F72" s="162" t="n"/>
      <c r="G72" s="162" t="n"/>
      <c r="H72" s="162" t="n"/>
      <c r="I72" s="162" t="n"/>
      <c r="J72" s="162" t="n"/>
      <c r="K72" s="162" t="n"/>
      <c r="L72" s="162" t="n"/>
      <c r="M72" s="162" t="n"/>
      <c r="N72" s="162" t="n"/>
      <c r="O72" s="162" t="n"/>
      <c r="P72" s="162" t="n"/>
      <c r="Q72" s="162" t="n"/>
      <c r="R72" s="163" t="n"/>
    </row>
    <row r="73" ht="26" customHeight="1" s="68">
      <c r="A73" s="141" t="inlineStr">
        <is>
          <t>週</t>
        </is>
      </c>
      <c r="B73" s="141" t="inlineStr">
        <is>
          <t>期間</t>
        </is>
      </c>
      <c r="C73" s="141" t="inlineStr">
        <is>
          <t>消費金額</t>
        </is>
      </c>
      <c r="D73" s="141" t="inlineStr">
        <is>
          <t>IMP</t>
        </is>
      </c>
      <c r="E73" s="141" t="inlineStr">
        <is>
          <t>クリック</t>
        </is>
      </c>
      <c r="F73" s="141" t="inlineStr">
        <is>
          <t>CV</t>
        </is>
      </c>
      <c r="G73" s="141" t="inlineStr">
        <is>
          <t>CTR</t>
        </is>
      </c>
      <c r="H73" s="141" t="inlineStr">
        <is>
          <t>CPC</t>
        </is>
      </c>
      <c r="I73" s="141" t="inlineStr">
        <is>
          <t>CPM</t>
        </is>
      </c>
      <c r="J73" s="141" t="inlineStr">
        <is>
          <t>CVR</t>
        </is>
      </c>
      <c r="K73" s="141" t="inlineStr">
        <is>
          <t>CPL</t>
        </is>
      </c>
      <c r="L73" s="141" t="inlineStr">
        <is>
          <t>商談</t>
        </is>
      </c>
      <c r="M73" s="141" t="inlineStr">
        <is>
          <t>歩留まり</t>
        </is>
      </c>
      <c r="N73" s="141" t="inlineStr">
        <is>
          <t>成約</t>
        </is>
      </c>
      <c r="O73" s="141" t="inlineStr">
        <is>
          <t>成約率</t>
        </is>
      </c>
      <c r="P73" s="141" t="inlineStr">
        <is>
          <t>1成約広告費</t>
        </is>
      </c>
      <c r="Q73" s="141" t="inlineStr">
        <is>
          <t>対許容CPA</t>
        </is>
      </c>
      <c r="R73" s="141" t="inlineStr">
        <is>
          <t>余裕倍率</t>
        </is>
      </c>
    </row>
    <row r="74">
      <c r="A74" s="389" t="inlineStr">
        <is>
          <t>W1</t>
        </is>
      </c>
      <c r="B74" s="390" t="inlineStr">
        <is>
          <t>4/7–4/13</t>
        </is>
      </c>
      <c r="C74" s="391" t="n">
        <v>728</v>
      </c>
      <c r="D74" s="392" t="n">
        <v>49</v>
      </c>
      <c r="E74" s="392" t="n">
        <v>20</v>
      </c>
      <c r="F74" s="392" t="n">
        <v>0</v>
      </c>
      <c r="G74" s="393">
        <f>IFERROR(E74/D74,"")</f>
        <v/>
      </c>
      <c r="H74" s="394">
        <f>IFERROR(C74/E74,"")</f>
        <v/>
      </c>
      <c r="I74" s="394">
        <f>IFERROR(C74/D74*1000,"")</f>
        <v/>
      </c>
      <c r="J74" s="393">
        <f>IFERROR(F74/E74,"")</f>
        <v/>
      </c>
      <c r="K74" s="394">
        <f>IFERROR(C74/F74,"")</f>
        <v/>
      </c>
      <c r="L74" s="392" t="n"/>
      <c r="M74" s="393">
        <f>IF(L74="","",IFERROR(L74/F74,""))</f>
        <v/>
      </c>
      <c r="N74" s="392" t="n"/>
      <c r="O74" s="393">
        <f>IF(N74="","",IFERROR(N74/L74,""))</f>
        <v/>
      </c>
      <c r="P74" s="394">
        <f>IF(N74=0,"",IFERROR(C74/N74,""))</f>
        <v/>
      </c>
      <c r="Q74" s="395">
        <f>IF(N74=0,"",IFERROR(IF(C74/N74&lt;=用語集!$B$23,"◎ 許容内","✗ 超過"),"—"))</f>
        <v/>
      </c>
      <c r="R74" s="396">
        <f>IFERROR(用語集!$B$23/P74,"")</f>
        <v/>
      </c>
    </row>
    <row r="75">
      <c r="A75" s="389" t="inlineStr">
        <is>
          <t>W2</t>
        </is>
      </c>
      <c r="B75" s="390" t="inlineStr">
        <is>
          <t>4/14–4/20</t>
        </is>
      </c>
      <c r="C75" s="391" t="n">
        <v>2027</v>
      </c>
      <c r="D75" s="392" t="n">
        <v>99</v>
      </c>
      <c r="E75" s="392" t="n">
        <v>31</v>
      </c>
      <c r="F75" s="392" t="n">
        <v>1</v>
      </c>
      <c r="G75" s="393">
        <f>IFERROR(E75/D75,"")</f>
        <v/>
      </c>
      <c r="H75" s="394">
        <f>IFERROR(C75/E75,"")</f>
        <v/>
      </c>
      <c r="I75" s="394">
        <f>IFERROR(C75/D75*1000,"")</f>
        <v/>
      </c>
      <c r="J75" s="393">
        <f>IFERROR(F75/E75,"")</f>
        <v/>
      </c>
      <c r="K75" s="394">
        <f>IFERROR(C75/F75,"")</f>
        <v/>
      </c>
      <c r="L75" s="392" t="n"/>
      <c r="M75" s="393">
        <f>IF(L75="","",IFERROR(L75/F75,""))</f>
        <v/>
      </c>
      <c r="N75" s="392" t="n"/>
      <c r="O75" s="393">
        <f>IF(N75="","",IFERROR(N75/L75,""))</f>
        <v/>
      </c>
      <c r="P75" s="394">
        <f>IF(N75=0,"",IFERROR(C75/N75,""))</f>
        <v/>
      </c>
      <c r="Q75" s="395">
        <f>IF(N75=0,"",IFERROR(IF(C75/N75&lt;=用語集!$B$23,"◎ 許容内","✗ 超過"),"—"))</f>
        <v/>
      </c>
      <c r="R75" s="396">
        <f>IFERROR(用語集!$B$23/P75,"")</f>
        <v/>
      </c>
    </row>
    <row r="76">
      <c r="A76" s="389" t="inlineStr">
        <is>
          <t>W3</t>
        </is>
      </c>
      <c r="B76" s="390" t="inlineStr">
        <is>
          <t>4/21–4/27</t>
        </is>
      </c>
      <c r="C76" s="391" t="n">
        <v>14652</v>
      </c>
      <c r="D76" s="392" t="n">
        <v>577</v>
      </c>
      <c r="E76" s="392" t="n">
        <v>247</v>
      </c>
      <c r="F76" s="392" t="n">
        <v>3</v>
      </c>
      <c r="G76" s="393">
        <f>IFERROR(E76/D76,"")</f>
        <v/>
      </c>
      <c r="H76" s="394">
        <f>IFERROR(C76/E76,"")</f>
        <v/>
      </c>
      <c r="I76" s="394">
        <f>IFERROR(C76/D76*1000,"")</f>
        <v/>
      </c>
      <c r="J76" s="393">
        <f>IFERROR(F76/E76,"")</f>
        <v/>
      </c>
      <c r="K76" s="394">
        <f>IFERROR(C76/F76,"")</f>
        <v/>
      </c>
      <c r="L76" s="392" t="n"/>
      <c r="M76" s="393">
        <f>IF(L76="","",IFERROR(L76/F76,""))</f>
        <v/>
      </c>
      <c r="N76" s="392" t="n"/>
      <c r="O76" s="393">
        <f>IF(N76="","",IFERROR(N76/L76,""))</f>
        <v/>
      </c>
      <c r="P76" s="394">
        <f>IF(N76=0,"",IFERROR(C76/N76,""))</f>
        <v/>
      </c>
      <c r="Q76" s="395">
        <f>IF(N76=0,"",IFERROR(IF(C76/N76&lt;=用語集!$B$23,"◎ 許容内","✗ 超過"),"—"))</f>
        <v/>
      </c>
      <c r="R76" s="396">
        <f>IFERROR(用語集!$B$23/P76,"")</f>
        <v/>
      </c>
    </row>
    <row r="77">
      <c r="A77" s="389" t="inlineStr">
        <is>
          <t>W4</t>
        </is>
      </c>
      <c r="B77" s="390" t="inlineStr">
        <is>
          <t>4/28–5/4</t>
        </is>
      </c>
      <c r="C77" s="391" t="n">
        <v>4279</v>
      </c>
      <c r="D77" s="392" t="n">
        <v>163</v>
      </c>
      <c r="E77" s="392" t="n">
        <v>58</v>
      </c>
      <c r="F77" s="392" t="n">
        <v>1</v>
      </c>
      <c r="G77" s="393">
        <f>IFERROR(E77/D77,"")</f>
        <v/>
      </c>
      <c r="H77" s="394">
        <f>IFERROR(C77/E77,"")</f>
        <v/>
      </c>
      <c r="I77" s="394">
        <f>IFERROR(C77/D77*1000,"")</f>
        <v/>
      </c>
      <c r="J77" s="393">
        <f>IFERROR(F77/E77,"")</f>
        <v/>
      </c>
      <c r="K77" s="394">
        <f>IFERROR(C77/F77,"")</f>
        <v/>
      </c>
      <c r="L77" s="392" t="n"/>
      <c r="M77" s="393">
        <f>IF(L77="","",IFERROR(L77/F77,""))</f>
        <v/>
      </c>
      <c r="N77" s="392" t="n"/>
      <c r="O77" s="393">
        <f>IF(N77="","",IFERROR(N77/L77,""))</f>
        <v/>
      </c>
      <c r="P77" s="394">
        <f>IF(N77=0,"",IFERROR(C77/N77,""))</f>
        <v/>
      </c>
      <c r="Q77" s="395">
        <f>IF(N77=0,"",IFERROR(IF(C77/N77&lt;=用語集!$B$23,"◎ 許容内","✗ 超過"),"—"))</f>
        <v/>
      </c>
      <c r="R77" s="396">
        <f>IFERROR(用語集!$B$23/P77,"")</f>
        <v/>
      </c>
    </row>
    <row r="78">
      <c r="A78" s="389" t="inlineStr">
        <is>
          <t>W5</t>
        </is>
      </c>
      <c r="B78" s="390" t="inlineStr">
        <is>
          <t>5/5–5/11</t>
        </is>
      </c>
      <c r="C78" s="391" t="n">
        <v>2503</v>
      </c>
      <c r="D78" s="392" t="n">
        <v>60</v>
      </c>
      <c r="E78" s="392" t="n">
        <v>20</v>
      </c>
      <c r="F78" s="392" t="n">
        <v>1</v>
      </c>
      <c r="G78" s="393">
        <f>IFERROR(E78/D78,"")</f>
        <v/>
      </c>
      <c r="H78" s="394">
        <f>IFERROR(C78/E78,"")</f>
        <v/>
      </c>
      <c r="I78" s="394">
        <f>IFERROR(C78/D78*1000,"")</f>
        <v/>
      </c>
      <c r="J78" s="393">
        <f>IFERROR(F78/E78,"")</f>
        <v/>
      </c>
      <c r="K78" s="394">
        <f>IFERROR(C78/F78,"")</f>
        <v/>
      </c>
      <c r="L78" s="392" t="n"/>
      <c r="M78" s="393">
        <f>IF(L78="","",IFERROR(L78/F78,""))</f>
        <v/>
      </c>
      <c r="N78" s="392" t="n"/>
      <c r="O78" s="393">
        <f>IF(N78="","",IFERROR(N78/L78,""))</f>
        <v/>
      </c>
      <c r="P78" s="394">
        <f>IF(N78=0,"",IFERROR(C78/N78,""))</f>
        <v/>
      </c>
      <c r="Q78" s="395">
        <f>IF(N78=0,"",IFERROR(IF(C78/N78&lt;=用語集!$B$23,"◎ 許容内","✗ 超過"),"—"))</f>
        <v/>
      </c>
      <c r="R78" s="396">
        <f>IFERROR(用語集!$B$23/P78,"")</f>
        <v/>
      </c>
    </row>
    <row r="79">
      <c r="A79" s="389" t="inlineStr">
        <is>
          <t>W6</t>
        </is>
      </c>
      <c r="B79" s="390" t="inlineStr">
        <is>
          <t>5/12–5/18</t>
        </is>
      </c>
      <c r="C79" s="390" t="inlineStr">
        <is>
          <t>配信なし</t>
        </is>
      </c>
      <c r="D79" s="397" t="n"/>
      <c r="E79" s="397" t="n"/>
      <c r="F79" s="397" t="n"/>
      <c r="G79" s="393">
        <f>IFERROR(E79/D79,"")</f>
        <v/>
      </c>
      <c r="H79" s="394">
        <f>IFERROR(C79/E79,"")</f>
        <v/>
      </c>
      <c r="I79" s="394">
        <f>IFERROR(C79/D79*1000,"")</f>
        <v/>
      </c>
      <c r="J79" s="393">
        <f>IFERROR(F79/E79,"")</f>
        <v/>
      </c>
      <c r="K79" s="394">
        <f>IFERROR(C79/F79,"")</f>
        <v/>
      </c>
      <c r="L79" s="392" t="n"/>
      <c r="M79" s="393">
        <f>IF(L79="","",IFERROR(L79/F79,""))</f>
        <v/>
      </c>
      <c r="N79" s="392" t="n"/>
      <c r="O79" s="393">
        <f>IF(N79="","",IFERROR(N79/L79,""))</f>
        <v/>
      </c>
      <c r="P79" s="394">
        <f>IF(N79=0,"",IFERROR(C79/N79,""))</f>
        <v/>
      </c>
      <c r="Q79" s="395">
        <f>IF(N79=0,"",IFERROR(IF(C79/N79&lt;=用語集!$B$23,"◎ 許容内","✗ 超過"),"—"))</f>
        <v/>
      </c>
      <c r="R79" s="396">
        <f>IFERROR(用語集!$B$23/P79,"")</f>
        <v/>
      </c>
    </row>
    <row r="80">
      <c r="A80" s="389" t="inlineStr">
        <is>
          <t>W7</t>
        </is>
      </c>
      <c r="B80" s="390" t="inlineStr">
        <is>
          <t>5/19–5/25</t>
        </is>
      </c>
      <c r="C80" s="390" t="inlineStr">
        <is>
          <t>配信なし</t>
        </is>
      </c>
      <c r="D80" s="397" t="n"/>
      <c r="E80" s="397" t="n"/>
      <c r="F80" s="397" t="n"/>
      <c r="G80" s="393">
        <f>IFERROR(E80/D80,"")</f>
        <v/>
      </c>
      <c r="H80" s="394">
        <f>IFERROR(C80/E80,"")</f>
        <v/>
      </c>
      <c r="I80" s="394">
        <f>IFERROR(C80/D80*1000,"")</f>
        <v/>
      </c>
      <c r="J80" s="393">
        <f>IFERROR(F80/E80,"")</f>
        <v/>
      </c>
      <c r="K80" s="394">
        <f>IFERROR(C80/F80,"")</f>
        <v/>
      </c>
      <c r="L80" s="392" t="n"/>
      <c r="M80" s="393">
        <f>IF(L80="","",IFERROR(L80/F80,""))</f>
        <v/>
      </c>
      <c r="N80" s="392" t="n"/>
      <c r="O80" s="393">
        <f>IF(N80="","",IFERROR(N80/L80,""))</f>
        <v/>
      </c>
      <c r="P80" s="394">
        <f>IF(N80=0,"",IFERROR(C80/N80,""))</f>
        <v/>
      </c>
      <c r="Q80" s="395">
        <f>IF(N80=0,"",IFERROR(IF(C80/N80&lt;=用語集!$B$23,"◎ 許容内","✗ 超過"),"—"))</f>
        <v/>
      </c>
      <c r="R80" s="396">
        <f>IFERROR(用語集!$B$23/P80,"")</f>
        <v/>
      </c>
    </row>
    <row r="81">
      <c r="A81" s="389" t="inlineStr">
        <is>
          <t>W8</t>
        </is>
      </c>
      <c r="B81" s="390" t="inlineStr">
        <is>
          <t>5/26–6/1</t>
        </is>
      </c>
      <c r="C81" s="390" t="inlineStr">
        <is>
          <t>配信なし</t>
        </is>
      </c>
      <c r="D81" s="397" t="n"/>
      <c r="E81" s="397" t="n"/>
      <c r="F81" s="397" t="n"/>
      <c r="G81" s="393">
        <f>IFERROR(E81/D81,"")</f>
        <v/>
      </c>
      <c r="H81" s="394">
        <f>IFERROR(C81/E81,"")</f>
        <v/>
      </c>
      <c r="I81" s="394">
        <f>IFERROR(C81/D81*1000,"")</f>
        <v/>
      </c>
      <c r="J81" s="393">
        <f>IFERROR(F81/E81,"")</f>
        <v/>
      </c>
      <c r="K81" s="394">
        <f>IFERROR(C81/F81,"")</f>
        <v/>
      </c>
      <c r="L81" s="392" t="n"/>
      <c r="M81" s="393">
        <f>IF(L81="","",IFERROR(L81/F81,""))</f>
        <v/>
      </c>
      <c r="N81" s="392" t="n"/>
      <c r="O81" s="393">
        <f>IF(N81="","",IFERROR(N81/L81,""))</f>
        <v/>
      </c>
      <c r="P81" s="394">
        <f>IF(N81=0,"",IFERROR(C81/N81,""))</f>
        <v/>
      </c>
      <c r="Q81" s="395">
        <f>IF(N81=0,"",IFERROR(IF(C81/N81&lt;=用語集!$B$23,"◎ 許容内","✗ 超過"),"—"))</f>
        <v/>
      </c>
      <c r="R81" s="396">
        <f>IFERROR(用語集!$B$23/P81,"")</f>
        <v/>
      </c>
    </row>
    <row r="82">
      <c r="A82" s="389" t="inlineStr">
        <is>
          <t>W9</t>
        </is>
      </c>
      <c r="B82" s="390" t="inlineStr">
        <is>
          <t>6/2–6/8</t>
        </is>
      </c>
      <c r="C82" s="390" t="inlineStr">
        <is>
          <t>配信なし</t>
        </is>
      </c>
      <c r="D82" s="397" t="n"/>
      <c r="E82" s="397" t="n"/>
      <c r="F82" s="397" t="n"/>
      <c r="G82" s="393">
        <f>IFERROR(E82/D82,"")</f>
        <v/>
      </c>
      <c r="H82" s="394">
        <f>IFERROR(C82/E82,"")</f>
        <v/>
      </c>
      <c r="I82" s="394">
        <f>IFERROR(C82/D82*1000,"")</f>
        <v/>
      </c>
      <c r="J82" s="393">
        <f>IFERROR(F82/E82,"")</f>
        <v/>
      </c>
      <c r="K82" s="394">
        <f>IFERROR(C82/F82,"")</f>
        <v/>
      </c>
      <c r="L82" s="392" t="n"/>
      <c r="M82" s="393">
        <f>IF(L82="","",IFERROR(L82/F82,""))</f>
        <v/>
      </c>
      <c r="N82" s="392" t="n"/>
      <c r="O82" s="393">
        <f>IF(N82="","",IFERROR(N82/L82,""))</f>
        <v/>
      </c>
      <c r="P82" s="394">
        <f>IF(N82=0,"",IFERROR(C82/N82,""))</f>
        <v/>
      </c>
      <c r="Q82" s="395">
        <f>IF(N82=0,"",IFERROR(IF(C82/N82&lt;=用語集!$B$23,"◎ 許容内","✗ 超過"),"—"))</f>
        <v/>
      </c>
      <c r="R82" s="396">
        <f>IFERROR(用語集!$B$23/P82,"")</f>
        <v/>
      </c>
    </row>
    <row r="83">
      <c r="A83" s="389" t="inlineStr">
        <is>
          <t>W10</t>
        </is>
      </c>
      <c r="B83" s="390" t="inlineStr">
        <is>
          <t>6/9–6/15</t>
        </is>
      </c>
      <c r="C83" s="398">
        <f>IF(COUNTIFS(日次入力!A:A,"&gt;="&amp;DATE(2026,6,9),日次入力!A:A,"&lt;="&amp;DATE(2026,6,15),日次入力!C:C,"Google常設")=0,"",SUMIFS(日次入力!D:D,日次入力!A:A,"&gt;="&amp;DATE(2026,6,9),日次入力!A:A,"&lt;="&amp;DATE(2026,6,15),日次入力!C:C,"Google常設"))</f>
        <v/>
      </c>
      <c r="D83" s="399">
        <f>IF(COUNTIFS(日次入力!A:A,"&gt;="&amp;DATE(2026,6,9),日次入力!A:A,"&lt;="&amp;DATE(2026,6,15),日次入力!C:C,"Google常設")=0,"",SUMIFS(日次入力!E:E,日次入力!A:A,"&gt;="&amp;DATE(2026,6,9),日次入力!A:A,"&lt;="&amp;DATE(2026,6,15),日次入力!C:C,"Google常設"))</f>
        <v/>
      </c>
      <c r="E83" s="399">
        <f>IF(COUNTIFS(日次入力!A:A,"&gt;="&amp;DATE(2026,6,9),日次入力!A:A,"&lt;="&amp;DATE(2026,6,15),日次入力!C:C,"Google常設")=0,"",SUMIFS(日次入力!F:F,日次入力!A:A,"&gt;="&amp;DATE(2026,6,9),日次入力!A:A,"&lt;="&amp;DATE(2026,6,15),日次入力!C:C,"Google常設"))</f>
        <v/>
      </c>
      <c r="F83" s="399">
        <f>IF(COUNTIFS(日次入力!A:A,"&gt;="&amp;DATE(2026,6,9),日次入力!A:A,"&lt;="&amp;DATE(2026,6,15),日次入力!C:C,"Google常設")=0,"",SUMIFS(日次入力!G:G,日次入力!A:A,"&gt;="&amp;DATE(2026,6,9),日次入力!A:A,"&lt;="&amp;DATE(2026,6,15),日次入力!C:C,"Google常設"))</f>
        <v/>
      </c>
      <c r="G83" s="393">
        <f>IFERROR(E83/D83,"")</f>
        <v/>
      </c>
      <c r="H83" s="394">
        <f>IFERROR(C83/E83,"")</f>
        <v/>
      </c>
      <c r="I83" s="394">
        <f>IFERROR(C83/D83*1000,"")</f>
        <v/>
      </c>
      <c r="J83" s="393">
        <f>IFERROR(F83/E83,"")</f>
        <v/>
      </c>
      <c r="K83" s="394">
        <f>IFERROR(C83/F83,"")</f>
        <v/>
      </c>
      <c r="L83" s="399">
        <f>IF(COUNTIFS(日次入力!A:A,"&gt;="&amp;DATE(2026,6,9),日次入力!A:A,"&lt;="&amp;DATE(2026,6,15),日次入力!C:C,"Google常設")=0,"",SUMIFS(日次入力!H:H,日次入力!A:A,"&gt;="&amp;DATE(2026,6,9),日次入力!A:A,"&lt;="&amp;DATE(2026,6,15),日次入力!C:C,"Google常設"))</f>
        <v/>
      </c>
      <c r="M83" s="393">
        <f>IF(L83="","",IFERROR(L83/F83,""))</f>
        <v/>
      </c>
      <c r="N83" s="399">
        <f>IF(COUNTIFS(日次入力!A:A,"&gt;="&amp;DATE(2026,6,9),日次入力!A:A,"&lt;="&amp;DATE(2026,6,15),日次入力!C:C,"Google常設")=0,"",SUMIFS(日次入力!I:I,日次入力!A:A,"&gt;="&amp;DATE(2026,6,9),日次入力!A:A,"&lt;="&amp;DATE(2026,6,15),日次入力!C:C,"Google常設"))</f>
        <v/>
      </c>
      <c r="O83" s="393">
        <f>IF(N83="","",IFERROR(N83/L83,""))</f>
        <v/>
      </c>
      <c r="P83" s="394">
        <f>IF(N83=0,"",IFERROR(C83/N83,""))</f>
        <v/>
      </c>
      <c r="Q83" s="395">
        <f>IF(N83=0,"",IFERROR(IF(C83/N83&lt;=用語集!$B$23,"◎ 許容内","✗ 超過"),"—"))</f>
        <v/>
      </c>
      <c r="R83" s="396">
        <f>IFERROR(用語集!$B$23/P83,"")</f>
        <v/>
      </c>
    </row>
    <row r="84">
      <c r="A84" s="389" t="inlineStr">
        <is>
          <t>W11</t>
        </is>
      </c>
      <c r="B84" s="390" t="inlineStr">
        <is>
          <t>6/16–6/22</t>
        </is>
      </c>
      <c r="C84" s="398">
        <f>IF(COUNTIFS(日次入力!A:A,"&gt;="&amp;DATE(2026,6,16),日次入力!A:A,"&lt;="&amp;DATE(2026,6,22),日次入力!C:C,"Google常設")=0,"",SUMIFS(日次入力!D:D,日次入力!A:A,"&gt;="&amp;DATE(2026,6,16),日次入力!A:A,"&lt;="&amp;DATE(2026,6,22),日次入力!C:C,"Google常設"))</f>
        <v/>
      </c>
      <c r="D84" s="399">
        <f>IF(COUNTIFS(日次入力!A:A,"&gt;="&amp;DATE(2026,6,16),日次入力!A:A,"&lt;="&amp;DATE(2026,6,22),日次入力!C:C,"Google常設")=0,"",SUMIFS(日次入力!E:E,日次入力!A:A,"&gt;="&amp;DATE(2026,6,16),日次入力!A:A,"&lt;="&amp;DATE(2026,6,22),日次入力!C:C,"Google常設"))</f>
        <v/>
      </c>
      <c r="E84" s="399">
        <f>IF(COUNTIFS(日次入力!A:A,"&gt;="&amp;DATE(2026,6,16),日次入力!A:A,"&lt;="&amp;DATE(2026,6,22),日次入力!C:C,"Google常設")=0,"",SUMIFS(日次入力!F:F,日次入力!A:A,"&gt;="&amp;DATE(2026,6,16),日次入力!A:A,"&lt;="&amp;DATE(2026,6,22),日次入力!C:C,"Google常設"))</f>
        <v/>
      </c>
      <c r="F84" s="399">
        <f>IF(COUNTIFS(日次入力!A:A,"&gt;="&amp;DATE(2026,6,16),日次入力!A:A,"&lt;="&amp;DATE(2026,6,22),日次入力!C:C,"Google常設")=0,"",SUMIFS(日次入力!G:G,日次入力!A:A,"&gt;="&amp;DATE(2026,6,16),日次入力!A:A,"&lt;="&amp;DATE(2026,6,22),日次入力!C:C,"Google常設"))</f>
        <v/>
      </c>
      <c r="G84" s="393">
        <f>IFERROR(E84/D84,"")</f>
        <v/>
      </c>
      <c r="H84" s="394">
        <f>IFERROR(C84/E84,"")</f>
        <v/>
      </c>
      <c r="I84" s="394">
        <f>IFERROR(C84/D84*1000,"")</f>
        <v/>
      </c>
      <c r="J84" s="393">
        <f>IFERROR(F84/E84,"")</f>
        <v/>
      </c>
      <c r="K84" s="394">
        <f>IFERROR(C84/F84,"")</f>
        <v/>
      </c>
      <c r="L84" s="399">
        <f>IF(COUNTIFS(日次入力!A:A,"&gt;="&amp;DATE(2026,6,16),日次入力!A:A,"&lt;="&amp;DATE(2026,6,22),日次入力!C:C,"Google常設")=0,"",SUMIFS(日次入力!H:H,日次入力!A:A,"&gt;="&amp;DATE(2026,6,16),日次入力!A:A,"&lt;="&amp;DATE(2026,6,22),日次入力!C:C,"Google常設"))</f>
        <v/>
      </c>
      <c r="M84" s="393">
        <f>IF(L84="","",IFERROR(L84/F84,""))</f>
        <v/>
      </c>
      <c r="N84" s="399">
        <f>IF(COUNTIFS(日次入力!A:A,"&gt;="&amp;DATE(2026,6,16),日次入力!A:A,"&lt;="&amp;DATE(2026,6,22),日次入力!C:C,"Google常設")=0,"",SUMIFS(日次入力!I:I,日次入力!A:A,"&gt;="&amp;DATE(2026,6,16),日次入力!A:A,"&lt;="&amp;DATE(2026,6,22),日次入力!C:C,"Google常設"))</f>
        <v/>
      </c>
      <c r="O84" s="393">
        <f>IF(N84="","",IFERROR(N84/L84,""))</f>
        <v/>
      </c>
      <c r="P84" s="394">
        <f>IF(N84=0,"",IFERROR(C84/N84,""))</f>
        <v/>
      </c>
      <c r="Q84" s="395">
        <f>IF(N84=0,"",IFERROR(IF(C84/N84&lt;=用語集!$B$23,"◎ 許容内","✗ 超過"),"—"))</f>
        <v/>
      </c>
      <c r="R84" s="396">
        <f>IFERROR(用語集!$B$23/P84,"")</f>
        <v/>
      </c>
    </row>
    <row r="85">
      <c r="A85" s="389" t="inlineStr">
        <is>
          <t>W12</t>
        </is>
      </c>
      <c r="B85" s="390" t="inlineStr">
        <is>
          <t>6/23–6/29</t>
        </is>
      </c>
      <c r="C85" s="398">
        <f>IF(COUNTIFS(日次入力!A:A,"&gt;="&amp;DATE(2026,6,23),日次入力!A:A,"&lt;="&amp;DATE(2026,6,29),日次入力!C:C,"Google常設")=0,"",SUMIFS(日次入力!D:D,日次入力!A:A,"&gt;="&amp;DATE(2026,6,23),日次入力!A:A,"&lt;="&amp;DATE(2026,6,29),日次入力!C:C,"Google常設"))</f>
        <v/>
      </c>
      <c r="D85" s="399">
        <f>IF(COUNTIFS(日次入力!A:A,"&gt;="&amp;DATE(2026,6,23),日次入力!A:A,"&lt;="&amp;DATE(2026,6,29),日次入力!C:C,"Google常設")=0,"",SUMIFS(日次入力!E:E,日次入力!A:A,"&gt;="&amp;DATE(2026,6,23),日次入力!A:A,"&lt;="&amp;DATE(2026,6,29),日次入力!C:C,"Google常設"))</f>
        <v/>
      </c>
      <c r="E85" s="399">
        <f>IF(COUNTIFS(日次入力!A:A,"&gt;="&amp;DATE(2026,6,23),日次入力!A:A,"&lt;="&amp;DATE(2026,6,29),日次入力!C:C,"Google常設")=0,"",SUMIFS(日次入力!F:F,日次入力!A:A,"&gt;="&amp;DATE(2026,6,23),日次入力!A:A,"&lt;="&amp;DATE(2026,6,29),日次入力!C:C,"Google常設"))</f>
        <v/>
      </c>
      <c r="F85" s="399">
        <f>IF(COUNTIFS(日次入力!A:A,"&gt;="&amp;DATE(2026,6,23),日次入力!A:A,"&lt;="&amp;DATE(2026,6,29),日次入力!C:C,"Google常設")=0,"",SUMIFS(日次入力!G:G,日次入力!A:A,"&gt;="&amp;DATE(2026,6,23),日次入力!A:A,"&lt;="&amp;DATE(2026,6,29),日次入力!C:C,"Google常設"))</f>
        <v/>
      </c>
      <c r="G85" s="393">
        <f>IFERROR(E85/D85,"")</f>
        <v/>
      </c>
      <c r="H85" s="394">
        <f>IFERROR(C85/E85,"")</f>
        <v/>
      </c>
      <c r="I85" s="394">
        <f>IFERROR(C85/D85*1000,"")</f>
        <v/>
      </c>
      <c r="J85" s="393">
        <f>IFERROR(F85/E85,"")</f>
        <v/>
      </c>
      <c r="K85" s="394">
        <f>IFERROR(C85/F85,"")</f>
        <v/>
      </c>
      <c r="L85" s="399">
        <f>IF(COUNTIFS(日次入力!A:A,"&gt;="&amp;DATE(2026,6,23),日次入力!A:A,"&lt;="&amp;DATE(2026,6,29),日次入力!C:C,"Google常設")=0,"",SUMIFS(日次入力!H:H,日次入力!A:A,"&gt;="&amp;DATE(2026,6,23),日次入力!A:A,"&lt;="&amp;DATE(2026,6,29),日次入力!C:C,"Google常設"))</f>
        <v/>
      </c>
      <c r="M85" s="393">
        <f>IF(L85="","",IFERROR(L85/F85,""))</f>
        <v/>
      </c>
      <c r="N85" s="399">
        <f>IF(COUNTIFS(日次入力!A:A,"&gt;="&amp;DATE(2026,6,23),日次入力!A:A,"&lt;="&amp;DATE(2026,6,29),日次入力!C:C,"Google常設")=0,"",SUMIFS(日次入力!I:I,日次入力!A:A,"&gt;="&amp;DATE(2026,6,23),日次入力!A:A,"&lt;="&amp;DATE(2026,6,29),日次入力!C:C,"Google常設"))</f>
        <v/>
      </c>
      <c r="O85" s="393">
        <f>IF(N85="","",IFERROR(N85/L85,""))</f>
        <v/>
      </c>
      <c r="P85" s="394">
        <f>IF(N85=0,"",IFERROR(C85/N85,""))</f>
        <v/>
      </c>
      <c r="Q85" s="395">
        <f>IF(N85=0,"",IFERROR(IF(C85/N85&lt;=用語集!$B$23,"◎ 許容内","✗ 超過"),"—"))</f>
        <v/>
      </c>
      <c r="R85" s="396">
        <f>IFERROR(用語集!$B$23/P85,"")</f>
        <v/>
      </c>
    </row>
    <row r="86">
      <c r="A86" s="389" t="inlineStr">
        <is>
          <t>W13</t>
        </is>
      </c>
      <c r="B86" s="390" t="inlineStr">
        <is>
          <t>6/30–7/6</t>
        </is>
      </c>
      <c r="C86" s="398">
        <f>IF(COUNTIFS(日次入力!A:A,"&gt;="&amp;DATE(2026,6,30),日次入力!A:A,"&lt;="&amp;DATE(2026,7,6),日次入力!C:C,"Google常設")=0,"",SUMIFS(日次入力!D:D,日次入力!A:A,"&gt;="&amp;DATE(2026,6,30),日次入力!A:A,"&lt;="&amp;DATE(2026,7,6),日次入力!C:C,"Google常設"))</f>
        <v/>
      </c>
      <c r="D86" s="399">
        <f>IF(COUNTIFS(日次入力!A:A,"&gt;="&amp;DATE(2026,6,30),日次入力!A:A,"&lt;="&amp;DATE(2026,7,6),日次入力!C:C,"Google常設")=0,"",SUMIFS(日次入力!E:E,日次入力!A:A,"&gt;="&amp;DATE(2026,6,30),日次入力!A:A,"&lt;="&amp;DATE(2026,7,6),日次入力!C:C,"Google常設"))</f>
        <v/>
      </c>
      <c r="E86" s="399">
        <f>IF(COUNTIFS(日次入力!A:A,"&gt;="&amp;DATE(2026,6,30),日次入力!A:A,"&lt;="&amp;DATE(2026,7,6),日次入力!C:C,"Google常設")=0,"",SUMIFS(日次入力!F:F,日次入力!A:A,"&gt;="&amp;DATE(2026,6,30),日次入力!A:A,"&lt;="&amp;DATE(2026,7,6),日次入力!C:C,"Google常設"))</f>
        <v/>
      </c>
      <c r="F86" s="399">
        <f>IF(COUNTIFS(日次入力!A:A,"&gt;="&amp;DATE(2026,6,30),日次入力!A:A,"&lt;="&amp;DATE(2026,7,6),日次入力!C:C,"Google常設")=0,"",SUMIFS(日次入力!G:G,日次入力!A:A,"&gt;="&amp;DATE(2026,6,30),日次入力!A:A,"&lt;="&amp;DATE(2026,7,6),日次入力!C:C,"Google常設"))</f>
        <v/>
      </c>
      <c r="G86" s="393">
        <f>IFERROR(E86/D86,"")</f>
        <v/>
      </c>
      <c r="H86" s="394">
        <f>IFERROR(C86/E86,"")</f>
        <v/>
      </c>
      <c r="I86" s="394">
        <f>IFERROR(C86/D86*1000,"")</f>
        <v/>
      </c>
      <c r="J86" s="393">
        <f>IFERROR(F86/E86,"")</f>
        <v/>
      </c>
      <c r="K86" s="394">
        <f>IFERROR(C86/F86,"")</f>
        <v/>
      </c>
      <c r="L86" s="399">
        <f>IF(COUNTIFS(日次入力!A:A,"&gt;="&amp;DATE(2026,6,30),日次入力!A:A,"&lt;="&amp;DATE(2026,7,6),日次入力!C:C,"Google常設")=0,"",SUMIFS(日次入力!H:H,日次入力!A:A,"&gt;="&amp;DATE(2026,6,30),日次入力!A:A,"&lt;="&amp;DATE(2026,7,6),日次入力!C:C,"Google常設"))</f>
        <v/>
      </c>
      <c r="M86" s="393">
        <f>IF(L86="","",IFERROR(L86/F86,""))</f>
        <v/>
      </c>
      <c r="N86" s="399">
        <f>IF(COUNTIFS(日次入力!A:A,"&gt;="&amp;DATE(2026,6,30),日次入力!A:A,"&lt;="&amp;DATE(2026,7,6),日次入力!C:C,"Google常設")=0,"",SUMIFS(日次入力!I:I,日次入力!A:A,"&gt;="&amp;DATE(2026,6,30),日次入力!A:A,"&lt;="&amp;DATE(2026,7,6),日次入力!C:C,"Google常設"))</f>
        <v/>
      </c>
      <c r="O86" s="393">
        <f>IF(N86="","",IFERROR(N86/L86,""))</f>
        <v/>
      </c>
      <c r="P86" s="394">
        <f>IF(N86=0,"",IFERROR(C86/N86,""))</f>
        <v/>
      </c>
      <c r="Q86" s="395">
        <f>IF(N86=0,"",IFERROR(IF(C86/N86&lt;=用語集!$B$23,"◎ 許容内","✗ 超過"),"—"))</f>
        <v/>
      </c>
      <c r="R86" s="396">
        <f>IFERROR(用語集!$B$23/P86,"")</f>
        <v/>
      </c>
    </row>
    <row r="87">
      <c r="A87" s="400" t="inlineStr">
        <is>
          <t>合計</t>
        </is>
      </c>
      <c r="B87" s="401" t="inlineStr"/>
      <c r="C87" s="402">
        <f>SUM(C74:C86)</f>
        <v/>
      </c>
      <c r="D87" s="403">
        <f>SUM(D74:D86)</f>
        <v/>
      </c>
      <c r="E87" s="403">
        <f>SUM(E74:E86)</f>
        <v/>
      </c>
      <c r="F87" s="403">
        <f>SUM(F74:F86)</f>
        <v/>
      </c>
      <c r="G87" s="404">
        <f>IFERROR(E87/D87,"")</f>
        <v/>
      </c>
      <c r="H87" s="402">
        <f>IFERROR(C87/E87,"")</f>
        <v/>
      </c>
      <c r="I87" s="402">
        <f>IFERROR(C87/D87*1000,"")</f>
        <v/>
      </c>
      <c r="J87" s="404">
        <f>IFERROR(F87/D87,"")</f>
        <v/>
      </c>
      <c r="K87" s="402">
        <f>IFERROR(C87/F87,"")</f>
        <v/>
      </c>
      <c r="L87" s="403">
        <f>SUM(L74:L86)</f>
        <v/>
      </c>
      <c r="M87" s="404">
        <f>IF(L87=0,"",IFERROR(L87/F87,""))</f>
        <v/>
      </c>
      <c r="N87" s="403">
        <f>SUM(N74:N86)</f>
        <v/>
      </c>
      <c r="O87" s="404">
        <f>IF(L87=0,"",IFERROR(N87/L87,""))</f>
        <v/>
      </c>
      <c r="P87" s="402">
        <f>IF(N87=0,"",IFERROR(C87/N87,""))</f>
        <v/>
      </c>
      <c r="Q87" s="400">
        <f>IF(N87=0,"",IFERROR(IF(C87/N87&lt;=用語集!$B$23,"◎ 許容内","✗ 超過"),"—"))</f>
        <v/>
      </c>
      <c r="R87" s="405">
        <f>IFERROR(用語集!$B$23/P87,"")</f>
        <v/>
      </c>
    </row>
    <row r="89">
      <c r="A89" s="388" t="inlineStr">
        <is>
          <t xml:space="preserve">　LINE ／ ウェビナー告知用　（目標CPL ¥11,374）</t>
        </is>
      </c>
      <c r="B89" s="162" t="n"/>
      <c r="C89" s="162" t="n"/>
      <c r="D89" s="162" t="n"/>
      <c r="E89" s="162" t="n"/>
      <c r="F89" s="162" t="n"/>
      <c r="G89" s="162" t="n"/>
      <c r="H89" s="162" t="n"/>
      <c r="I89" s="162" t="n"/>
      <c r="J89" s="162" t="n"/>
      <c r="K89" s="162" t="n"/>
      <c r="L89" s="162" t="n"/>
      <c r="M89" s="162" t="n"/>
      <c r="N89" s="162" t="n"/>
      <c r="O89" s="162" t="n"/>
      <c r="P89" s="162" t="n"/>
      <c r="Q89" s="162" t="n"/>
      <c r="R89" s="163" t="n"/>
    </row>
    <row r="90" ht="26" customHeight="1" s="68">
      <c r="A90" s="141" t="inlineStr">
        <is>
          <t>週</t>
        </is>
      </c>
      <c r="B90" s="141" t="inlineStr">
        <is>
          <t>期間</t>
        </is>
      </c>
      <c r="C90" s="141" t="inlineStr">
        <is>
          <t>消費金額</t>
        </is>
      </c>
      <c r="D90" s="141" t="inlineStr">
        <is>
          <t>IMP</t>
        </is>
      </c>
      <c r="E90" s="141" t="inlineStr">
        <is>
          <t>クリック</t>
        </is>
      </c>
      <c r="F90" s="141" t="inlineStr">
        <is>
          <t>CV</t>
        </is>
      </c>
      <c r="G90" s="141" t="inlineStr">
        <is>
          <t>CTR</t>
        </is>
      </c>
      <c r="H90" s="141" t="inlineStr">
        <is>
          <t>CPC</t>
        </is>
      </c>
      <c r="I90" s="141" t="inlineStr">
        <is>
          <t>CPM</t>
        </is>
      </c>
      <c r="J90" s="141" t="inlineStr">
        <is>
          <t>CVR</t>
        </is>
      </c>
      <c r="K90" s="141" t="inlineStr">
        <is>
          <t>CPL</t>
        </is>
      </c>
      <c r="L90" s="141" t="inlineStr">
        <is>
          <t>商談</t>
        </is>
      </c>
      <c r="M90" s="141" t="inlineStr">
        <is>
          <t>歩留まり</t>
        </is>
      </c>
      <c r="N90" s="141" t="inlineStr">
        <is>
          <t>成約</t>
        </is>
      </c>
      <c r="O90" s="141" t="inlineStr">
        <is>
          <t>成約率</t>
        </is>
      </c>
      <c r="P90" s="141" t="inlineStr">
        <is>
          <t>1成約広告費</t>
        </is>
      </c>
      <c r="Q90" s="141" t="inlineStr">
        <is>
          <t>対許容CPA</t>
        </is>
      </c>
      <c r="R90" s="141" t="inlineStr">
        <is>
          <t>余裕倍率</t>
        </is>
      </c>
    </row>
    <row r="91">
      <c r="A91" s="389" t="inlineStr">
        <is>
          <t>W1</t>
        </is>
      </c>
      <c r="B91" s="390" t="inlineStr">
        <is>
          <t>4/7–4/13</t>
        </is>
      </c>
      <c r="C91" s="391" t="n">
        <v>13144</v>
      </c>
      <c r="D91" s="392" t="n">
        <v>274591</v>
      </c>
      <c r="E91" s="392" t="n">
        <v>11891</v>
      </c>
      <c r="F91" s="392" t="n">
        <v>0</v>
      </c>
      <c r="G91" s="393">
        <f>IFERROR(E91/D91,"")</f>
        <v/>
      </c>
      <c r="H91" s="394">
        <f>IFERROR(C91/E91,"")</f>
        <v/>
      </c>
      <c r="I91" s="394">
        <f>IFERROR(C91/D91*1000,"")</f>
        <v/>
      </c>
      <c r="J91" s="393">
        <f>IFERROR(F91/E91,"")</f>
        <v/>
      </c>
      <c r="K91" s="394">
        <f>IFERROR(C91/F91,"")</f>
        <v/>
      </c>
      <c r="L91" s="392" t="n"/>
      <c r="M91" s="393">
        <f>IF(L91="","",IFERROR(L91/F91,""))</f>
        <v/>
      </c>
      <c r="N91" s="392" t="n"/>
      <c r="O91" s="393">
        <f>IF(N91="","",IFERROR(N91/L91,""))</f>
        <v/>
      </c>
      <c r="P91" s="394">
        <f>IF(N91=0,"",IFERROR(C91/N91,""))</f>
        <v/>
      </c>
      <c r="Q91" s="395">
        <f>IF(N91=0,"",IFERROR(IF(C91/N91&lt;=用語集!$B$23,"◎ 許容内","✗ 超過"),"—"))</f>
        <v/>
      </c>
      <c r="R91" s="396">
        <f>IFERROR(用語集!$B$23/P91,"")</f>
        <v/>
      </c>
    </row>
    <row r="92">
      <c r="A92" s="389" t="inlineStr">
        <is>
          <t>W2</t>
        </is>
      </c>
      <c r="B92" s="390" t="inlineStr">
        <is>
          <t>4/14–4/20</t>
        </is>
      </c>
      <c r="C92" s="391" t="n">
        <v>13490</v>
      </c>
      <c r="D92" s="392" t="n">
        <v>277527</v>
      </c>
      <c r="E92" s="392" t="n">
        <v>15130</v>
      </c>
      <c r="F92" s="392" t="n">
        <v>0</v>
      </c>
      <c r="G92" s="393">
        <f>IFERROR(E92/D92,"")</f>
        <v/>
      </c>
      <c r="H92" s="394">
        <f>IFERROR(C92/E92,"")</f>
        <v/>
      </c>
      <c r="I92" s="394">
        <f>IFERROR(C92/D92*1000,"")</f>
        <v/>
      </c>
      <c r="J92" s="393">
        <f>IFERROR(F92/E92,"")</f>
        <v/>
      </c>
      <c r="K92" s="394">
        <f>IFERROR(C92/F92,"")</f>
        <v/>
      </c>
      <c r="L92" s="392" t="n"/>
      <c r="M92" s="393">
        <f>IF(L92="","",IFERROR(L92/F92,""))</f>
        <v/>
      </c>
      <c r="N92" s="392" t="n"/>
      <c r="O92" s="393">
        <f>IF(N92="","",IFERROR(N92/L92,""))</f>
        <v/>
      </c>
      <c r="P92" s="394">
        <f>IF(N92=0,"",IFERROR(C92/N92,""))</f>
        <v/>
      </c>
      <c r="Q92" s="395">
        <f>IF(N92=0,"",IFERROR(IF(C92/N92&lt;=用語集!$B$23,"◎ 許容内","✗ 超過"),"—"))</f>
        <v/>
      </c>
      <c r="R92" s="396">
        <f>IFERROR(用語集!$B$23/P92,"")</f>
        <v/>
      </c>
    </row>
    <row r="93">
      <c r="A93" s="389" t="inlineStr">
        <is>
          <t>W3</t>
        </is>
      </c>
      <c r="B93" s="390" t="inlineStr">
        <is>
          <t>4/21–4/27</t>
        </is>
      </c>
      <c r="C93" s="391" t="n">
        <v>19971</v>
      </c>
      <c r="D93" s="392" t="n">
        <v>269611</v>
      </c>
      <c r="E93" s="392" t="n">
        <v>14256</v>
      </c>
      <c r="F93" s="392" t="n">
        <v>0</v>
      </c>
      <c r="G93" s="393">
        <f>IFERROR(E93/D93,"")</f>
        <v/>
      </c>
      <c r="H93" s="394">
        <f>IFERROR(C93/E93,"")</f>
        <v/>
      </c>
      <c r="I93" s="394">
        <f>IFERROR(C93/D93*1000,"")</f>
        <v/>
      </c>
      <c r="J93" s="393">
        <f>IFERROR(F93/E93,"")</f>
        <v/>
      </c>
      <c r="K93" s="394">
        <f>IFERROR(C93/F93,"")</f>
        <v/>
      </c>
      <c r="L93" s="392" t="n"/>
      <c r="M93" s="393">
        <f>IF(L93="","",IFERROR(L93/F93,""))</f>
        <v/>
      </c>
      <c r="N93" s="392" t="n"/>
      <c r="O93" s="393">
        <f>IF(N93="","",IFERROR(N93/L93,""))</f>
        <v/>
      </c>
      <c r="P93" s="394">
        <f>IF(N93=0,"",IFERROR(C93/N93,""))</f>
        <v/>
      </c>
      <c r="Q93" s="395">
        <f>IF(N93=0,"",IFERROR(IF(C93/N93&lt;=用語集!$B$23,"◎ 許容内","✗ 超過"),"—"))</f>
        <v/>
      </c>
      <c r="R93" s="396">
        <f>IFERROR(用語集!$B$23/P93,"")</f>
        <v/>
      </c>
    </row>
    <row r="94">
      <c r="A94" s="389" t="inlineStr">
        <is>
          <t>W4</t>
        </is>
      </c>
      <c r="B94" s="390" t="inlineStr">
        <is>
          <t>4/28–5/4</t>
        </is>
      </c>
      <c r="C94" s="390" t="inlineStr">
        <is>
          <t>配信なし</t>
        </is>
      </c>
      <c r="D94" s="397" t="n"/>
      <c r="E94" s="397" t="n"/>
      <c r="F94" s="397" t="n"/>
      <c r="G94" s="393">
        <f>IFERROR(E94/D94,"")</f>
        <v/>
      </c>
      <c r="H94" s="394">
        <f>IFERROR(C94/E94,"")</f>
        <v/>
      </c>
      <c r="I94" s="394">
        <f>IFERROR(C94/D94*1000,"")</f>
        <v/>
      </c>
      <c r="J94" s="393">
        <f>IFERROR(F94/E94,"")</f>
        <v/>
      </c>
      <c r="K94" s="394">
        <f>IFERROR(C94/F94,"")</f>
        <v/>
      </c>
      <c r="L94" s="392" t="n"/>
      <c r="M94" s="393">
        <f>IF(L94="","",IFERROR(L94/F94,""))</f>
        <v/>
      </c>
      <c r="N94" s="392" t="n"/>
      <c r="O94" s="393">
        <f>IF(N94="","",IFERROR(N94/L94,""))</f>
        <v/>
      </c>
      <c r="P94" s="394">
        <f>IF(N94=0,"",IFERROR(C94/N94,""))</f>
        <v/>
      </c>
      <c r="Q94" s="395">
        <f>IF(N94=0,"",IFERROR(IF(C94/N94&lt;=用語集!$B$23,"◎ 許容内","✗ 超過"),"—"))</f>
        <v/>
      </c>
      <c r="R94" s="396">
        <f>IFERROR(用語集!$B$23/P94,"")</f>
        <v/>
      </c>
    </row>
    <row r="95">
      <c r="A95" s="389" t="inlineStr">
        <is>
          <t>W5</t>
        </is>
      </c>
      <c r="B95" s="390" t="inlineStr">
        <is>
          <t>5/5–5/11</t>
        </is>
      </c>
      <c r="C95" s="390" t="inlineStr">
        <is>
          <t>配信なし</t>
        </is>
      </c>
      <c r="D95" s="397" t="n"/>
      <c r="E95" s="397" t="n"/>
      <c r="F95" s="397" t="n"/>
      <c r="G95" s="393">
        <f>IFERROR(E95/D95,"")</f>
        <v/>
      </c>
      <c r="H95" s="394">
        <f>IFERROR(C95/E95,"")</f>
        <v/>
      </c>
      <c r="I95" s="394">
        <f>IFERROR(C95/D95*1000,"")</f>
        <v/>
      </c>
      <c r="J95" s="393">
        <f>IFERROR(F95/E95,"")</f>
        <v/>
      </c>
      <c r="K95" s="394">
        <f>IFERROR(C95/F95,"")</f>
        <v/>
      </c>
      <c r="L95" s="392" t="n"/>
      <c r="M95" s="393">
        <f>IF(L95="","",IFERROR(L95/F95,""))</f>
        <v/>
      </c>
      <c r="N95" s="392" t="n"/>
      <c r="O95" s="393">
        <f>IF(N95="","",IFERROR(N95/L95,""))</f>
        <v/>
      </c>
      <c r="P95" s="394">
        <f>IF(N95=0,"",IFERROR(C95/N95,""))</f>
        <v/>
      </c>
      <c r="Q95" s="395">
        <f>IF(N95=0,"",IFERROR(IF(C95/N95&lt;=用語集!$B$23,"◎ 許容内","✗ 超過"),"—"))</f>
        <v/>
      </c>
      <c r="R95" s="396">
        <f>IFERROR(用語集!$B$23/P95,"")</f>
        <v/>
      </c>
    </row>
    <row r="96">
      <c r="A96" s="389" t="inlineStr">
        <is>
          <t>W6</t>
        </is>
      </c>
      <c r="B96" s="390" t="inlineStr">
        <is>
          <t>5/12–5/18</t>
        </is>
      </c>
      <c r="C96" s="390" t="inlineStr">
        <is>
          <t>配信なし</t>
        </is>
      </c>
      <c r="D96" s="397" t="n"/>
      <c r="E96" s="397" t="n"/>
      <c r="F96" s="397" t="n"/>
      <c r="G96" s="393">
        <f>IFERROR(E96/D96,"")</f>
        <v/>
      </c>
      <c r="H96" s="394">
        <f>IFERROR(C96/E96,"")</f>
        <v/>
      </c>
      <c r="I96" s="394">
        <f>IFERROR(C96/D96*1000,"")</f>
        <v/>
      </c>
      <c r="J96" s="393">
        <f>IFERROR(F96/E96,"")</f>
        <v/>
      </c>
      <c r="K96" s="394">
        <f>IFERROR(C96/F96,"")</f>
        <v/>
      </c>
      <c r="L96" s="392" t="n"/>
      <c r="M96" s="393">
        <f>IF(L96="","",IFERROR(L96/F96,""))</f>
        <v/>
      </c>
      <c r="N96" s="392" t="n"/>
      <c r="O96" s="393">
        <f>IF(N96="","",IFERROR(N96/L96,""))</f>
        <v/>
      </c>
      <c r="P96" s="394">
        <f>IF(N96=0,"",IFERROR(C96/N96,""))</f>
        <v/>
      </c>
      <c r="Q96" s="395">
        <f>IF(N96=0,"",IFERROR(IF(C96/N96&lt;=用語集!$B$23,"◎ 許容内","✗ 超過"),"—"))</f>
        <v/>
      </c>
      <c r="R96" s="396">
        <f>IFERROR(用語集!$B$23/P96,"")</f>
        <v/>
      </c>
    </row>
    <row r="97">
      <c r="A97" s="389" t="inlineStr">
        <is>
          <t>W7</t>
        </is>
      </c>
      <c r="B97" s="390" t="inlineStr">
        <is>
          <t>5/19–5/25</t>
        </is>
      </c>
      <c r="C97" s="390" t="inlineStr">
        <is>
          <t>配信なし</t>
        </is>
      </c>
      <c r="D97" s="397" t="n"/>
      <c r="E97" s="397" t="n"/>
      <c r="F97" s="397" t="n"/>
      <c r="G97" s="393">
        <f>IFERROR(E97/D97,"")</f>
        <v/>
      </c>
      <c r="H97" s="394">
        <f>IFERROR(C97/E97,"")</f>
        <v/>
      </c>
      <c r="I97" s="394">
        <f>IFERROR(C97/D97*1000,"")</f>
        <v/>
      </c>
      <c r="J97" s="393">
        <f>IFERROR(F97/E97,"")</f>
        <v/>
      </c>
      <c r="K97" s="394">
        <f>IFERROR(C97/F97,"")</f>
        <v/>
      </c>
      <c r="L97" s="392" t="n"/>
      <c r="M97" s="393">
        <f>IF(L97="","",IFERROR(L97/F97,""))</f>
        <v/>
      </c>
      <c r="N97" s="392" t="n"/>
      <c r="O97" s="393">
        <f>IF(N97="","",IFERROR(N97/L97,""))</f>
        <v/>
      </c>
      <c r="P97" s="394">
        <f>IF(N97=0,"",IFERROR(C97/N97,""))</f>
        <v/>
      </c>
      <c r="Q97" s="395">
        <f>IF(N97=0,"",IFERROR(IF(C97/N97&lt;=用語集!$B$23,"◎ 許容内","✗ 超過"),"—"))</f>
        <v/>
      </c>
      <c r="R97" s="396">
        <f>IFERROR(用語集!$B$23/P97,"")</f>
        <v/>
      </c>
    </row>
    <row r="98">
      <c r="A98" s="389" t="inlineStr">
        <is>
          <t>W8</t>
        </is>
      </c>
      <c r="B98" s="390" t="inlineStr">
        <is>
          <t>5/26–6/1</t>
        </is>
      </c>
      <c r="C98" s="390" t="inlineStr">
        <is>
          <t>配信なし</t>
        </is>
      </c>
      <c r="D98" s="397" t="n"/>
      <c r="E98" s="397" t="n"/>
      <c r="F98" s="397" t="n"/>
      <c r="G98" s="393">
        <f>IFERROR(E98/D98,"")</f>
        <v/>
      </c>
      <c r="H98" s="394">
        <f>IFERROR(C98/E98,"")</f>
        <v/>
      </c>
      <c r="I98" s="394">
        <f>IFERROR(C98/D98*1000,"")</f>
        <v/>
      </c>
      <c r="J98" s="393">
        <f>IFERROR(F98/E98,"")</f>
        <v/>
      </c>
      <c r="K98" s="394">
        <f>IFERROR(C98/F98,"")</f>
        <v/>
      </c>
      <c r="L98" s="392" t="n"/>
      <c r="M98" s="393">
        <f>IF(L98="","",IFERROR(L98/F98,""))</f>
        <v/>
      </c>
      <c r="N98" s="392" t="n"/>
      <c r="O98" s="393">
        <f>IF(N98="","",IFERROR(N98/L98,""))</f>
        <v/>
      </c>
      <c r="P98" s="394">
        <f>IF(N98=0,"",IFERROR(C98/N98,""))</f>
        <v/>
      </c>
      <c r="Q98" s="395">
        <f>IF(N98=0,"",IFERROR(IF(C98/N98&lt;=用語集!$B$23,"◎ 許容内","✗ 超過"),"—"))</f>
        <v/>
      </c>
      <c r="R98" s="396">
        <f>IFERROR(用語集!$B$23/P98,"")</f>
        <v/>
      </c>
    </row>
    <row r="99">
      <c r="A99" s="389" t="inlineStr">
        <is>
          <t>W9</t>
        </is>
      </c>
      <c r="B99" s="390" t="inlineStr">
        <is>
          <t>6/2–6/8</t>
        </is>
      </c>
      <c r="C99" s="390" t="inlineStr">
        <is>
          <t>配信なし</t>
        </is>
      </c>
      <c r="D99" s="397" t="n"/>
      <c r="E99" s="397" t="n"/>
      <c r="F99" s="397" t="n"/>
      <c r="G99" s="393">
        <f>IFERROR(E99/D99,"")</f>
        <v/>
      </c>
      <c r="H99" s="394">
        <f>IFERROR(C99/E99,"")</f>
        <v/>
      </c>
      <c r="I99" s="394">
        <f>IFERROR(C99/D99*1000,"")</f>
        <v/>
      </c>
      <c r="J99" s="393">
        <f>IFERROR(F99/E99,"")</f>
        <v/>
      </c>
      <c r="K99" s="394">
        <f>IFERROR(C99/F99,"")</f>
        <v/>
      </c>
      <c r="L99" s="392" t="n"/>
      <c r="M99" s="393">
        <f>IF(L99="","",IFERROR(L99/F99,""))</f>
        <v/>
      </c>
      <c r="N99" s="392" t="n"/>
      <c r="O99" s="393">
        <f>IF(N99="","",IFERROR(N99/L99,""))</f>
        <v/>
      </c>
      <c r="P99" s="394">
        <f>IF(N99=0,"",IFERROR(C99/N99,""))</f>
        <v/>
      </c>
      <c r="Q99" s="395">
        <f>IF(N99=0,"",IFERROR(IF(C99/N99&lt;=用語集!$B$23,"◎ 許容内","✗ 超過"),"—"))</f>
        <v/>
      </c>
      <c r="R99" s="396">
        <f>IFERROR(用語集!$B$23/P99,"")</f>
        <v/>
      </c>
    </row>
    <row r="100">
      <c r="A100" s="389" t="inlineStr">
        <is>
          <t>W10</t>
        </is>
      </c>
      <c r="B100" s="390" t="inlineStr">
        <is>
          <t>6/9–6/15</t>
        </is>
      </c>
      <c r="C100" s="398">
        <f>IF(COUNTIFS(日次入力!A:A,"&gt;="&amp;DATE(2026,6,9),日次入力!A:A,"&lt;="&amp;DATE(2026,6,15),日次入力!C:C,"LINEウェビナー")=0,"",SUMIFS(日次入力!D:D,日次入力!A:A,"&gt;="&amp;DATE(2026,6,9),日次入力!A:A,"&lt;="&amp;DATE(2026,6,15),日次入力!C:C,"LINEウェビナー"))</f>
        <v/>
      </c>
      <c r="D100" s="399">
        <f>IF(COUNTIFS(日次入力!A:A,"&gt;="&amp;DATE(2026,6,9),日次入力!A:A,"&lt;="&amp;DATE(2026,6,15),日次入力!C:C,"LINEウェビナー")=0,"",SUMIFS(日次入力!E:E,日次入力!A:A,"&gt;="&amp;DATE(2026,6,9),日次入力!A:A,"&lt;="&amp;DATE(2026,6,15),日次入力!C:C,"LINEウェビナー"))</f>
        <v/>
      </c>
      <c r="E100" s="399">
        <f>IF(COUNTIFS(日次入力!A:A,"&gt;="&amp;DATE(2026,6,9),日次入力!A:A,"&lt;="&amp;DATE(2026,6,15),日次入力!C:C,"LINEウェビナー")=0,"",SUMIFS(日次入力!F:F,日次入力!A:A,"&gt;="&amp;DATE(2026,6,9),日次入力!A:A,"&lt;="&amp;DATE(2026,6,15),日次入力!C:C,"LINEウェビナー"))</f>
        <v/>
      </c>
      <c r="F100" s="399">
        <f>IF(COUNTIFS(日次入力!A:A,"&gt;="&amp;DATE(2026,6,9),日次入力!A:A,"&lt;="&amp;DATE(2026,6,15),日次入力!C:C,"LINEウェビナー")=0,"",SUMIFS(日次入力!G:G,日次入力!A:A,"&gt;="&amp;DATE(2026,6,9),日次入力!A:A,"&lt;="&amp;DATE(2026,6,15),日次入力!C:C,"LINEウェビナー"))</f>
        <v/>
      </c>
      <c r="G100" s="393">
        <f>IFERROR(E100/D100,"")</f>
        <v/>
      </c>
      <c r="H100" s="394">
        <f>IFERROR(C100/E100,"")</f>
        <v/>
      </c>
      <c r="I100" s="394">
        <f>IFERROR(C100/D100*1000,"")</f>
        <v/>
      </c>
      <c r="J100" s="393">
        <f>IFERROR(F100/E100,"")</f>
        <v/>
      </c>
      <c r="K100" s="394">
        <f>IFERROR(C100/F100,"")</f>
        <v/>
      </c>
      <c r="L100" s="399">
        <f>IF(COUNTIFS(日次入力!A:A,"&gt;="&amp;DATE(2026,6,9),日次入力!A:A,"&lt;="&amp;DATE(2026,6,15),日次入力!C:C,"LINEウェビナー")=0,"",SUMIFS(日次入力!H:H,日次入力!A:A,"&gt;="&amp;DATE(2026,6,9),日次入力!A:A,"&lt;="&amp;DATE(2026,6,15),日次入力!C:C,"LINEウェビナー"))</f>
        <v/>
      </c>
      <c r="M100" s="393">
        <f>IF(L100="","",IFERROR(L100/F100,""))</f>
        <v/>
      </c>
      <c r="N100" s="399">
        <f>IF(COUNTIFS(日次入力!A:A,"&gt;="&amp;DATE(2026,6,9),日次入力!A:A,"&lt;="&amp;DATE(2026,6,15),日次入力!C:C,"LINEウェビナー")=0,"",SUMIFS(日次入力!I:I,日次入力!A:A,"&gt;="&amp;DATE(2026,6,9),日次入力!A:A,"&lt;="&amp;DATE(2026,6,15),日次入力!C:C,"LINEウェビナー"))</f>
        <v/>
      </c>
      <c r="O100" s="393">
        <f>IF(N100="","",IFERROR(N100/L100,""))</f>
        <v/>
      </c>
      <c r="P100" s="394">
        <f>IF(N100=0,"",IFERROR(C100/N100,""))</f>
        <v/>
      </c>
      <c r="Q100" s="395">
        <f>IF(N100=0,"",IFERROR(IF(C100/N100&lt;=用語集!$B$23,"◎ 許容内","✗ 超過"),"—"))</f>
        <v/>
      </c>
      <c r="R100" s="396">
        <f>IFERROR(用語集!$B$23/P100,"")</f>
        <v/>
      </c>
    </row>
    <row r="101">
      <c r="A101" s="389" t="inlineStr">
        <is>
          <t>W11</t>
        </is>
      </c>
      <c r="B101" s="390" t="inlineStr">
        <is>
          <t>6/16–6/22</t>
        </is>
      </c>
      <c r="C101" s="398">
        <f>IF(COUNTIFS(日次入力!A:A,"&gt;="&amp;DATE(2026,6,16),日次入力!A:A,"&lt;="&amp;DATE(2026,6,22),日次入力!C:C,"LINEウェビナー")=0,"",SUMIFS(日次入力!D:D,日次入力!A:A,"&gt;="&amp;DATE(2026,6,16),日次入力!A:A,"&lt;="&amp;DATE(2026,6,22),日次入力!C:C,"LINEウェビナー"))</f>
        <v/>
      </c>
      <c r="D101" s="399">
        <f>IF(COUNTIFS(日次入力!A:A,"&gt;="&amp;DATE(2026,6,16),日次入力!A:A,"&lt;="&amp;DATE(2026,6,22),日次入力!C:C,"LINEウェビナー")=0,"",SUMIFS(日次入力!E:E,日次入力!A:A,"&gt;="&amp;DATE(2026,6,16),日次入力!A:A,"&lt;="&amp;DATE(2026,6,22),日次入力!C:C,"LINEウェビナー"))</f>
        <v/>
      </c>
      <c r="E101" s="399">
        <f>IF(COUNTIFS(日次入力!A:A,"&gt;="&amp;DATE(2026,6,16),日次入力!A:A,"&lt;="&amp;DATE(2026,6,22),日次入力!C:C,"LINEウェビナー")=0,"",SUMIFS(日次入力!F:F,日次入力!A:A,"&gt;="&amp;DATE(2026,6,16),日次入力!A:A,"&lt;="&amp;DATE(2026,6,22),日次入力!C:C,"LINEウェビナー"))</f>
        <v/>
      </c>
      <c r="F101" s="399">
        <f>IF(COUNTIFS(日次入力!A:A,"&gt;="&amp;DATE(2026,6,16),日次入力!A:A,"&lt;="&amp;DATE(2026,6,22),日次入力!C:C,"LINEウェビナー")=0,"",SUMIFS(日次入力!G:G,日次入力!A:A,"&gt;="&amp;DATE(2026,6,16),日次入力!A:A,"&lt;="&amp;DATE(2026,6,22),日次入力!C:C,"LINEウェビナー"))</f>
        <v/>
      </c>
      <c r="G101" s="393">
        <f>IFERROR(E101/D101,"")</f>
        <v/>
      </c>
      <c r="H101" s="394">
        <f>IFERROR(C101/E101,"")</f>
        <v/>
      </c>
      <c r="I101" s="394">
        <f>IFERROR(C101/D101*1000,"")</f>
        <v/>
      </c>
      <c r="J101" s="393">
        <f>IFERROR(F101/E101,"")</f>
        <v/>
      </c>
      <c r="K101" s="394">
        <f>IFERROR(C101/F101,"")</f>
        <v/>
      </c>
      <c r="L101" s="399">
        <f>IF(COUNTIFS(日次入力!A:A,"&gt;="&amp;DATE(2026,6,16),日次入力!A:A,"&lt;="&amp;DATE(2026,6,22),日次入力!C:C,"LINEウェビナー")=0,"",SUMIFS(日次入力!H:H,日次入力!A:A,"&gt;="&amp;DATE(2026,6,16),日次入力!A:A,"&lt;="&amp;DATE(2026,6,22),日次入力!C:C,"LINEウェビナー"))</f>
        <v/>
      </c>
      <c r="M101" s="393">
        <f>IF(L101="","",IFERROR(L101/F101,""))</f>
        <v/>
      </c>
      <c r="N101" s="399">
        <f>IF(COUNTIFS(日次入力!A:A,"&gt;="&amp;DATE(2026,6,16),日次入力!A:A,"&lt;="&amp;DATE(2026,6,22),日次入力!C:C,"LINEウェビナー")=0,"",SUMIFS(日次入力!I:I,日次入力!A:A,"&gt;="&amp;DATE(2026,6,16),日次入力!A:A,"&lt;="&amp;DATE(2026,6,22),日次入力!C:C,"LINEウェビナー"))</f>
        <v/>
      </c>
      <c r="O101" s="393">
        <f>IF(N101="","",IFERROR(N101/L101,""))</f>
        <v/>
      </c>
      <c r="P101" s="394">
        <f>IF(N101=0,"",IFERROR(C101/N101,""))</f>
        <v/>
      </c>
      <c r="Q101" s="395">
        <f>IF(N101=0,"",IFERROR(IF(C101/N101&lt;=用語集!$B$23,"◎ 許容内","✗ 超過"),"—"))</f>
        <v/>
      </c>
      <c r="R101" s="396">
        <f>IFERROR(用語集!$B$23/P101,"")</f>
        <v/>
      </c>
    </row>
    <row r="102">
      <c r="A102" s="389" t="inlineStr">
        <is>
          <t>W12</t>
        </is>
      </c>
      <c r="B102" s="390" t="inlineStr">
        <is>
          <t>6/23–6/29</t>
        </is>
      </c>
      <c r="C102" s="398">
        <f>IF(COUNTIFS(日次入力!A:A,"&gt;="&amp;DATE(2026,6,23),日次入力!A:A,"&lt;="&amp;DATE(2026,6,29),日次入力!C:C,"LINEウェビナー")=0,"",SUMIFS(日次入力!D:D,日次入力!A:A,"&gt;="&amp;DATE(2026,6,23),日次入力!A:A,"&lt;="&amp;DATE(2026,6,29),日次入力!C:C,"LINEウェビナー"))</f>
        <v/>
      </c>
      <c r="D102" s="399">
        <f>IF(COUNTIFS(日次入力!A:A,"&gt;="&amp;DATE(2026,6,23),日次入力!A:A,"&lt;="&amp;DATE(2026,6,29),日次入力!C:C,"LINEウェビナー")=0,"",SUMIFS(日次入力!E:E,日次入力!A:A,"&gt;="&amp;DATE(2026,6,23),日次入力!A:A,"&lt;="&amp;DATE(2026,6,29),日次入力!C:C,"LINEウェビナー"))</f>
        <v/>
      </c>
      <c r="E102" s="399">
        <f>IF(COUNTIFS(日次入力!A:A,"&gt;="&amp;DATE(2026,6,23),日次入力!A:A,"&lt;="&amp;DATE(2026,6,29),日次入力!C:C,"LINEウェビナー")=0,"",SUMIFS(日次入力!F:F,日次入力!A:A,"&gt;="&amp;DATE(2026,6,23),日次入力!A:A,"&lt;="&amp;DATE(2026,6,29),日次入力!C:C,"LINEウェビナー"))</f>
        <v/>
      </c>
      <c r="F102" s="399">
        <f>IF(COUNTIFS(日次入力!A:A,"&gt;="&amp;DATE(2026,6,23),日次入力!A:A,"&lt;="&amp;DATE(2026,6,29),日次入力!C:C,"LINEウェビナー")=0,"",SUMIFS(日次入力!G:G,日次入力!A:A,"&gt;="&amp;DATE(2026,6,23),日次入力!A:A,"&lt;="&amp;DATE(2026,6,29),日次入力!C:C,"LINEウェビナー"))</f>
        <v/>
      </c>
      <c r="G102" s="393">
        <f>IFERROR(E102/D102,"")</f>
        <v/>
      </c>
      <c r="H102" s="394">
        <f>IFERROR(C102/E102,"")</f>
        <v/>
      </c>
      <c r="I102" s="394">
        <f>IFERROR(C102/D102*1000,"")</f>
        <v/>
      </c>
      <c r="J102" s="393">
        <f>IFERROR(F102/E102,"")</f>
        <v/>
      </c>
      <c r="K102" s="394">
        <f>IFERROR(C102/F102,"")</f>
        <v/>
      </c>
      <c r="L102" s="399">
        <f>IF(COUNTIFS(日次入力!A:A,"&gt;="&amp;DATE(2026,6,23),日次入力!A:A,"&lt;="&amp;DATE(2026,6,29),日次入力!C:C,"LINEウェビナー")=0,"",SUMIFS(日次入力!H:H,日次入力!A:A,"&gt;="&amp;DATE(2026,6,23),日次入力!A:A,"&lt;="&amp;DATE(2026,6,29),日次入力!C:C,"LINEウェビナー"))</f>
        <v/>
      </c>
      <c r="M102" s="393">
        <f>IF(L102="","",IFERROR(L102/F102,""))</f>
        <v/>
      </c>
      <c r="N102" s="399">
        <f>IF(COUNTIFS(日次入力!A:A,"&gt;="&amp;DATE(2026,6,23),日次入力!A:A,"&lt;="&amp;DATE(2026,6,29),日次入力!C:C,"LINEウェビナー")=0,"",SUMIFS(日次入力!I:I,日次入力!A:A,"&gt;="&amp;DATE(2026,6,23),日次入力!A:A,"&lt;="&amp;DATE(2026,6,29),日次入力!C:C,"LINEウェビナー"))</f>
        <v/>
      </c>
      <c r="O102" s="393">
        <f>IF(N102="","",IFERROR(N102/L102,""))</f>
        <v/>
      </c>
      <c r="P102" s="394">
        <f>IF(N102=0,"",IFERROR(C102/N102,""))</f>
        <v/>
      </c>
      <c r="Q102" s="395">
        <f>IF(N102=0,"",IFERROR(IF(C102/N102&lt;=用語集!$B$23,"◎ 許容内","✗ 超過"),"—"))</f>
        <v/>
      </c>
      <c r="R102" s="396">
        <f>IFERROR(用語集!$B$23/P102,"")</f>
        <v/>
      </c>
    </row>
    <row r="103">
      <c r="A103" s="389" t="inlineStr">
        <is>
          <t>W13</t>
        </is>
      </c>
      <c r="B103" s="390" t="inlineStr">
        <is>
          <t>6/30–7/6</t>
        </is>
      </c>
      <c r="C103" s="398">
        <f>IF(COUNTIFS(日次入力!A:A,"&gt;="&amp;DATE(2026,6,30),日次入力!A:A,"&lt;="&amp;DATE(2026,7,6),日次入力!C:C,"LINEウェビナー")=0,"",SUMIFS(日次入力!D:D,日次入力!A:A,"&gt;="&amp;DATE(2026,6,30),日次入力!A:A,"&lt;="&amp;DATE(2026,7,6),日次入力!C:C,"LINEウェビナー"))</f>
        <v/>
      </c>
      <c r="D103" s="399">
        <f>IF(COUNTIFS(日次入力!A:A,"&gt;="&amp;DATE(2026,6,30),日次入力!A:A,"&lt;="&amp;DATE(2026,7,6),日次入力!C:C,"LINEウェビナー")=0,"",SUMIFS(日次入力!E:E,日次入力!A:A,"&gt;="&amp;DATE(2026,6,30),日次入力!A:A,"&lt;="&amp;DATE(2026,7,6),日次入力!C:C,"LINEウェビナー"))</f>
        <v/>
      </c>
      <c r="E103" s="399">
        <f>IF(COUNTIFS(日次入力!A:A,"&gt;="&amp;DATE(2026,6,30),日次入力!A:A,"&lt;="&amp;DATE(2026,7,6),日次入力!C:C,"LINEウェビナー")=0,"",SUMIFS(日次入力!F:F,日次入力!A:A,"&gt;="&amp;DATE(2026,6,30),日次入力!A:A,"&lt;="&amp;DATE(2026,7,6),日次入力!C:C,"LINEウェビナー"))</f>
        <v/>
      </c>
      <c r="F103" s="399">
        <f>IF(COUNTIFS(日次入力!A:A,"&gt;="&amp;DATE(2026,6,30),日次入力!A:A,"&lt;="&amp;DATE(2026,7,6),日次入力!C:C,"LINEウェビナー")=0,"",SUMIFS(日次入力!G:G,日次入力!A:A,"&gt;="&amp;DATE(2026,6,30),日次入力!A:A,"&lt;="&amp;DATE(2026,7,6),日次入力!C:C,"LINEウェビナー"))</f>
        <v/>
      </c>
      <c r="G103" s="393">
        <f>IFERROR(E103/D103,"")</f>
        <v/>
      </c>
      <c r="H103" s="394">
        <f>IFERROR(C103/E103,"")</f>
        <v/>
      </c>
      <c r="I103" s="394">
        <f>IFERROR(C103/D103*1000,"")</f>
        <v/>
      </c>
      <c r="J103" s="393">
        <f>IFERROR(F103/E103,"")</f>
        <v/>
      </c>
      <c r="K103" s="394">
        <f>IFERROR(C103/F103,"")</f>
        <v/>
      </c>
      <c r="L103" s="399">
        <f>IF(COUNTIFS(日次入力!A:A,"&gt;="&amp;DATE(2026,6,30),日次入力!A:A,"&lt;="&amp;DATE(2026,7,6),日次入力!C:C,"LINEウェビナー")=0,"",SUMIFS(日次入力!H:H,日次入力!A:A,"&gt;="&amp;DATE(2026,6,30),日次入力!A:A,"&lt;="&amp;DATE(2026,7,6),日次入力!C:C,"LINEウェビナー"))</f>
        <v/>
      </c>
      <c r="M103" s="393">
        <f>IF(L103="","",IFERROR(L103/F103,""))</f>
        <v/>
      </c>
      <c r="N103" s="399">
        <f>IF(COUNTIFS(日次入力!A:A,"&gt;="&amp;DATE(2026,6,30),日次入力!A:A,"&lt;="&amp;DATE(2026,7,6),日次入力!C:C,"LINEウェビナー")=0,"",SUMIFS(日次入力!I:I,日次入力!A:A,"&gt;="&amp;DATE(2026,6,30),日次入力!A:A,"&lt;="&amp;DATE(2026,7,6),日次入力!C:C,"LINEウェビナー"))</f>
        <v/>
      </c>
      <c r="O103" s="393">
        <f>IF(N103="","",IFERROR(N103/L103,""))</f>
        <v/>
      </c>
      <c r="P103" s="394">
        <f>IF(N103=0,"",IFERROR(C103/N103,""))</f>
        <v/>
      </c>
      <c r="Q103" s="395">
        <f>IF(N103=0,"",IFERROR(IF(C103/N103&lt;=用語集!$B$23,"◎ 許容内","✗ 超過"),"—"))</f>
        <v/>
      </c>
      <c r="R103" s="396">
        <f>IFERROR(用語集!$B$23/P103,"")</f>
        <v/>
      </c>
    </row>
    <row r="104">
      <c r="A104" s="400" t="inlineStr">
        <is>
          <t>合計</t>
        </is>
      </c>
      <c r="B104" s="401" t="inlineStr"/>
      <c r="C104" s="402">
        <f>SUM(C91:C103)</f>
        <v/>
      </c>
      <c r="D104" s="403">
        <f>SUM(D91:D103)</f>
        <v/>
      </c>
      <c r="E104" s="403">
        <f>SUM(E91:E103)</f>
        <v/>
      </c>
      <c r="F104" s="403">
        <f>SUM(F91:F103)</f>
        <v/>
      </c>
      <c r="G104" s="404">
        <f>IFERROR(E104/D104,"")</f>
        <v/>
      </c>
      <c r="H104" s="402">
        <f>IFERROR(C104/E104,"")</f>
        <v/>
      </c>
      <c r="I104" s="402">
        <f>IFERROR(C104/D104*1000,"")</f>
        <v/>
      </c>
      <c r="J104" s="404">
        <f>IFERROR(F104/D104,"")</f>
        <v/>
      </c>
      <c r="K104" s="402">
        <f>IFERROR(C104/F104,"")</f>
        <v/>
      </c>
      <c r="L104" s="403">
        <f>SUM(L91:L103)</f>
        <v/>
      </c>
      <c r="M104" s="404">
        <f>IF(L104=0,"",IFERROR(L104/F104,""))</f>
        <v/>
      </c>
      <c r="N104" s="403">
        <f>SUM(N91:N103)</f>
        <v/>
      </c>
      <c r="O104" s="404">
        <f>IF(L104=0,"",IFERROR(N104/L104,""))</f>
        <v/>
      </c>
      <c r="P104" s="402">
        <f>IF(N104=0,"",IFERROR(C104/N104,""))</f>
        <v/>
      </c>
      <c r="Q104" s="400">
        <f>IF(N104=0,"",IFERROR(IF(C104/N104&lt;=用語集!$B$23,"◎ 許容内","✗ 超過"),"—"))</f>
        <v/>
      </c>
      <c r="R104" s="405">
        <f>IFERROR(用語集!$B$23/P104,"")</f>
        <v/>
      </c>
    </row>
    <row r="106">
      <c r="A106" s="388" t="inlineStr">
        <is>
          <t xml:space="preserve">　LINE ／ 常設広告用　（目標CPL ¥15,355）</t>
        </is>
      </c>
      <c r="B106" s="162" t="n"/>
      <c r="C106" s="162" t="n"/>
      <c r="D106" s="162" t="n"/>
      <c r="E106" s="162" t="n"/>
      <c r="F106" s="162" t="n"/>
      <c r="G106" s="162" t="n"/>
      <c r="H106" s="162" t="n"/>
      <c r="I106" s="162" t="n"/>
      <c r="J106" s="162" t="n"/>
      <c r="K106" s="162" t="n"/>
      <c r="L106" s="162" t="n"/>
      <c r="M106" s="162" t="n"/>
      <c r="N106" s="162" t="n"/>
      <c r="O106" s="162" t="n"/>
      <c r="P106" s="162" t="n"/>
      <c r="Q106" s="162" t="n"/>
      <c r="R106" s="163" t="n"/>
    </row>
    <row r="107" ht="26" customHeight="1" s="68">
      <c r="A107" s="141" t="inlineStr">
        <is>
          <t>週</t>
        </is>
      </c>
      <c r="B107" s="141" t="inlineStr">
        <is>
          <t>期間</t>
        </is>
      </c>
      <c r="C107" s="141" t="inlineStr">
        <is>
          <t>消費金額</t>
        </is>
      </c>
      <c r="D107" s="141" t="inlineStr">
        <is>
          <t>IMP</t>
        </is>
      </c>
      <c r="E107" s="141" t="inlineStr">
        <is>
          <t>クリック</t>
        </is>
      </c>
      <c r="F107" s="141" t="inlineStr">
        <is>
          <t>CV</t>
        </is>
      </c>
      <c r="G107" s="141" t="inlineStr">
        <is>
          <t>CTR</t>
        </is>
      </c>
      <c r="H107" s="141" t="inlineStr">
        <is>
          <t>CPC</t>
        </is>
      </c>
      <c r="I107" s="141" t="inlineStr">
        <is>
          <t>CPM</t>
        </is>
      </c>
      <c r="J107" s="141" t="inlineStr">
        <is>
          <t>CVR</t>
        </is>
      </c>
      <c r="K107" s="141" t="inlineStr">
        <is>
          <t>CPL</t>
        </is>
      </c>
      <c r="L107" s="141" t="inlineStr">
        <is>
          <t>商談</t>
        </is>
      </c>
      <c r="M107" s="141" t="inlineStr">
        <is>
          <t>歩留まり</t>
        </is>
      </c>
      <c r="N107" s="141" t="inlineStr">
        <is>
          <t>成約</t>
        </is>
      </c>
      <c r="O107" s="141" t="inlineStr">
        <is>
          <t>成約率</t>
        </is>
      </c>
      <c r="P107" s="141" t="inlineStr">
        <is>
          <t>1成約広告費</t>
        </is>
      </c>
      <c r="Q107" s="141" t="inlineStr">
        <is>
          <t>対許容CPA</t>
        </is>
      </c>
      <c r="R107" s="141" t="inlineStr">
        <is>
          <t>余裕倍率</t>
        </is>
      </c>
    </row>
    <row r="108">
      <c r="A108" s="389" t="inlineStr">
        <is>
          <t>W1</t>
        </is>
      </c>
      <c r="B108" s="390" t="inlineStr">
        <is>
          <t>4/7–4/13</t>
        </is>
      </c>
      <c r="C108" s="391" t="n">
        <v>26054</v>
      </c>
      <c r="D108" s="392" t="n">
        <v>435079</v>
      </c>
      <c r="E108" s="392" t="n">
        <v>23437</v>
      </c>
      <c r="F108" s="392" t="n">
        <v>0</v>
      </c>
      <c r="G108" s="393">
        <f>IFERROR(E108/D108,"")</f>
        <v/>
      </c>
      <c r="H108" s="394">
        <f>IFERROR(C108/E108,"")</f>
        <v/>
      </c>
      <c r="I108" s="394">
        <f>IFERROR(C108/D108*1000,"")</f>
        <v/>
      </c>
      <c r="J108" s="393">
        <f>IFERROR(F108/E108,"")</f>
        <v/>
      </c>
      <c r="K108" s="394">
        <f>IFERROR(C108/F108,"")</f>
        <v/>
      </c>
      <c r="L108" s="392" t="n"/>
      <c r="M108" s="393">
        <f>IF(L108="","",IFERROR(L108/F108,""))</f>
        <v/>
      </c>
      <c r="N108" s="392" t="n"/>
      <c r="O108" s="393">
        <f>IF(N108="","",IFERROR(N108/L108,""))</f>
        <v/>
      </c>
      <c r="P108" s="394">
        <f>IF(N108=0,"",IFERROR(C108/N108,""))</f>
        <v/>
      </c>
      <c r="Q108" s="395">
        <f>IF(N108=0,"",IFERROR(IF(C108/N108&lt;=用語集!$B$23,"◎ 許容内","✗ 超過"),"—"))</f>
        <v/>
      </c>
      <c r="R108" s="396">
        <f>IFERROR(用語集!$B$23/P108,"")</f>
        <v/>
      </c>
    </row>
    <row r="109">
      <c r="A109" s="389" t="inlineStr">
        <is>
          <t>W2</t>
        </is>
      </c>
      <c r="B109" s="390" t="inlineStr">
        <is>
          <t>4/14–4/20</t>
        </is>
      </c>
      <c r="C109" s="391" t="n">
        <v>28429</v>
      </c>
      <c r="D109" s="392" t="n">
        <v>686048</v>
      </c>
      <c r="E109" s="392" t="n">
        <v>19757</v>
      </c>
      <c r="F109" s="392" t="n">
        <v>0</v>
      </c>
      <c r="G109" s="393">
        <f>IFERROR(E109/D109,"")</f>
        <v/>
      </c>
      <c r="H109" s="394">
        <f>IFERROR(C109/E109,"")</f>
        <v/>
      </c>
      <c r="I109" s="394">
        <f>IFERROR(C109/D109*1000,"")</f>
        <v/>
      </c>
      <c r="J109" s="393">
        <f>IFERROR(F109/E109,"")</f>
        <v/>
      </c>
      <c r="K109" s="394">
        <f>IFERROR(C109/F109,"")</f>
        <v/>
      </c>
      <c r="L109" s="392" t="n"/>
      <c r="M109" s="393">
        <f>IF(L109="","",IFERROR(L109/F109,""))</f>
        <v/>
      </c>
      <c r="N109" s="392" t="n"/>
      <c r="O109" s="393">
        <f>IF(N109="","",IFERROR(N109/L109,""))</f>
        <v/>
      </c>
      <c r="P109" s="394">
        <f>IF(N109=0,"",IFERROR(C109/N109,""))</f>
        <v/>
      </c>
      <c r="Q109" s="395">
        <f>IF(N109=0,"",IFERROR(IF(C109/N109&lt;=用語集!$B$23,"◎ 許容内","✗ 超過"),"—"))</f>
        <v/>
      </c>
      <c r="R109" s="396">
        <f>IFERROR(用語集!$B$23/P109,"")</f>
        <v/>
      </c>
    </row>
    <row r="110">
      <c r="A110" s="389" t="inlineStr">
        <is>
          <t>W3</t>
        </is>
      </c>
      <c r="B110" s="390" t="inlineStr">
        <is>
          <t>4/21–4/27</t>
        </is>
      </c>
      <c r="C110" s="391" t="n">
        <v>13347</v>
      </c>
      <c r="D110" s="392" t="n">
        <v>299697</v>
      </c>
      <c r="E110" s="392" t="n">
        <v>9829</v>
      </c>
      <c r="F110" s="392" t="n">
        <v>0</v>
      </c>
      <c r="G110" s="393">
        <f>IFERROR(E110/D110,"")</f>
        <v/>
      </c>
      <c r="H110" s="394">
        <f>IFERROR(C110/E110,"")</f>
        <v/>
      </c>
      <c r="I110" s="394">
        <f>IFERROR(C110/D110*1000,"")</f>
        <v/>
      </c>
      <c r="J110" s="393">
        <f>IFERROR(F110/E110,"")</f>
        <v/>
      </c>
      <c r="K110" s="394">
        <f>IFERROR(C110/F110,"")</f>
        <v/>
      </c>
      <c r="L110" s="392" t="n"/>
      <c r="M110" s="393">
        <f>IF(L110="","",IFERROR(L110/F110,""))</f>
        <v/>
      </c>
      <c r="N110" s="392" t="n"/>
      <c r="O110" s="393">
        <f>IF(N110="","",IFERROR(N110/L110,""))</f>
        <v/>
      </c>
      <c r="P110" s="394">
        <f>IF(N110=0,"",IFERROR(C110/N110,""))</f>
        <v/>
      </c>
      <c r="Q110" s="395">
        <f>IF(N110=0,"",IFERROR(IF(C110/N110&lt;=用語集!$B$23,"◎ 許容内","✗ 超過"),"—"))</f>
        <v/>
      </c>
      <c r="R110" s="396">
        <f>IFERROR(用語集!$B$23/P110,"")</f>
        <v/>
      </c>
    </row>
    <row r="111">
      <c r="A111" s="389" t="inlineStr">
        <is>
          <t>W4</t>
        </is>
      </c>
      <c r="B111" s="390" t="inlineStr">
        <is>
          <t>4/28–5/4</t>
        </is>
      </c>
      <c r="C111" s="391" t="n">
        <v>12696</v>
      </c>
      <c r="D111" s="392" t="n">
        <v>221984</v>
      </c>
      <c r="E111" s="392" t="n">
        <v>8223</v>
      </c>
      <c r="F111" s="392" t="n">
        <v>0</v>
      </c>
      <c r="G111" s="393">
        <f>IFERROR(E111/D111,"")</f>
        <v/>
      </c>
      <c r="H111" s="394">
        <f>IFERROR(C111/E111,"")</f>
        <v/>
      </c>
      <c r="I111" s="394">
        <f>IFERROR(C111/D111*1000,"")</f>
        <v/>
      </c>
      <c r="J111" s="393">
        <f>IFERROR(F111/E111,"")</f>
        <v/>
      </c>
      <c r="K111" s="394">
        <f>IFERROR(C111/F111,"")</f>
        <v/>
      </c>
      <c r="L111" s="392" t="n"/>
      <c r="M111" s="393">
        <f>IF(L111="","",IFERROR(L111/F111,""))</f>
        <v/>
      </c>
      <c r="N111" s="392" t="n"/>
      <c r="O111" s="393">
        <f>IF(N111="","",IFERROR(N111/L111,""))</f>
        <v/>
      </c>
      <c r="P111" s="394">
        <f>IF(N111=0,"",IFERROR(C111/N111,""))</f>
        <v/>
      </c>
      <c r="Q111" s="395">
        <f>IF(N111=0,"",IFERROR(IF(C111/N111&lt;=用語集!$B$23,"◎ 許容内","✗ 超過"),"—"))</f>
        <v/>
      </c>
      <c r="R111" s="396">
        <f>IFERROR(用語集!$B$23/P111,"")</f>
        <v/>
      </c>
    </row>
    <row r="112">
      <c r="A112" s="389" t="inlineStr">
        <is>
          <t>W5</t>
        </is>
      </c>
      <c r="B112" s="390" t="inlineStr">
        <is>
          <t>5/5–5/11</t>
        </is>
      </c>
      <c r="C112" s="390" t="inlineStr">
        <is>
          <t>配信なし</t>
        </is>
      </c>
      <c r="D112" s="397" t="n"/>
      <c r="E112" s="397" t="n"/>
      <c r="F112" s="397" t="n"/>
      <c r="G112" s="393">
        <f>IFERROR(E112/D112,"")</f>
        <v/>
      </c>
      <c r="H112" s="394">
        <f>IFERROR(C112/E112,"")</f>
        <v/>
      </c>
      <c r="I112" s="394">
        <f>IFERROR(C112/D112*1000,"")</f>
        <v/>
      </c>
      <c r="J112" s="393">
        <f>IFERROR(F112/E112,"")</f>
        <v/>
      </c>
      <c r="K112" s="394">
        <f>IFERROR(C112/F112,"")</f>
        <v/>
      </c>
      <c r="L112" s="392" t="n"/>
      <c r="M112" s="393">
        <f>IF(L112="","",IFERROR(L112/F112,""))</f>
        <v/>
      </c>
      <c r="N112" s="392" t="n"/>
      <c r="O112" s="393">
        <f>IF(N112="","",IFERROR(N112/L112,""))</f>
        <v/>
      </c>
      <c r="P112" s="394">
        <f>IF(N112=0,"",IFERROR(C112/N112,""))</f>
        <v/>
      </c>
      <c r="Q112" s="395">
        <f>IF(N112=0,"",IFERROR(IF(C112/N112&lt;=用語集!$B$23,"◎ 許容内","✗ 超過"),"—"))</f>
        <v/>
      </c>
      <c r="R112" s="396">
        <f>IFERROR(用語集!$B$23/P112,"")</f>
        <v/>
      </c>
    </row>
    <row r="113">
      <c r="A113" s="389" t="inlineStr">
        <is>
          <t>W6</t>
        </is>
      </c>
      <c r="B113" s="390" t="inlineStr">
        <is>
          <t>5/12–5/18</t>
        </is>
      </c>
      <c r="C113" s="390" t="inlineStr">
        <is>
          <t>配信なし</t>
        </is>
      </c>
      <c r="D113" s="397" t="n"/>
      <c r="E113" s="397" t="n"/>
      <c r="F113" s="397" t="n"/>
      <c r="G113" s="393">
        <f>IFERROR(E113/D113,"")</f>
        <v/>
      </c>
      <c r="H113" s="394">
        <f>IFERROR(C113/E113,"")</f>
        <v/>
      </c>
      <c r="I113" s="394">
        <f>IFERROR(C113/D113*1000,"")</f>
        <v/>
      </c>
      <c r="J113" s="393">
        <f>IFERROR(F113/E113,"")</f>
        <v/>
      </c>
      <c r="K113" s="394">
        <f>IFERROR(C113/F113,"")</f>
        <v/>
      </c>
      <c r="L113" s="392" t="n"/>
      <c r="M113" s="393">
        <f>IF(L113="","",IFERROR(L113/F113,""))</f>
        <v/>
      </c>
      <c r="N113" s="392" t="n"/>
      <c r="O113" s="393">
        <f>IF(N113="","",IFERROR(N113/L113,""))</f>
        <v/>
      </c>
      <c r="P113" s="394">
        <f>IF(N113=0,"",IFERROR(C113/N113,""))</f>
        <v/>
      </c>
      <c r="Q113" s="395">
        <f>IF(N113=0,"",IFERROR(IF(C113/N113&lt;=用語集!$B$23,"◎ 許容内","✗ 超過"),"—"))</f>
        <v/>
      </c>
      <c r="R113" s="396">
        <f>IFERROR(用語集!$B$23/P113,"")</f>
        <v/>
      </c>
    </row>
    <row r="114">
      <c r="A114" s="389" t="inlineStr">
        <is>
          <t>W7</t>
        </is>
      </c>
      <c r="B114" s="390" t="inlineStr">
        <is>
          <t>5/19–5/25</t>
        </is>
      </c>
      <c r="C114" s="390" t="inlineStr">
        <is>
          <t>配信なし</t>
        </is>
      </c>
      <c r="D114" s="397" t="n"/>
      <c r="E114" s="397" t="n"/>
      <c r="F114" s="397" t="n"/>
      <c r="G114" s="393">
        <f>IFERROR(E114/D114,"")</f>
        <v/>
      </c>
      <c r="H114" s="394">
        <f>IFERROR(C114/E114,"")</f>
        <v/>
      </c>
      <c r="I114" s="394">
        <f>IFERROR(C114/D114*1000,"")</f>
        <v/>
      </c>
      <c r="J114" s="393">
        <f>IFERROR(F114/E114,"")</f>
        <v/>
      </c>
      <c r="K114" s="394">
        <f>IFERROR(C114/F114,"")</f>
        <v/>
      </c>
      <c r="L114" s="392" t="n"/>
      <c r="M114" s="393">
        <f>IF(L114="","",IFERROR(L114/F114,""))</f>
        <v/>
      </c>
      <c r="N114" s="392" t="n"/>
      <c r="O114" s="393">
        <f>IF(N114="","",IFERROR(N114/L114,""))</f>
        <v/>
      </c>
      <c r="P114" s="394">
        <f>IF(N114=0,"",IFERROR(C114/N114,""))</f>
        <v/>
      </c>
      <c r="Q114" s="395">
        <f>IF(N114=0,"",IFERROR(IF(C114/N114&lt;=用語集!$B$23,"◎ 許容内","✗ 超過"),"—"))</f>
        <v/>
      </c>
      <c r="R114" s="396">
        <f>IFERROR(用語集!$B$23/P114,"")</f>
        <v/>
      </c>
    </row>
    <row r="115">
      <c r="A115" s="389" t="inlineStr">
        <is>
          <t>W8</t>
        </is>
      </c>
      <c r="B115" s="390" t="inlineStr">
        <is>
          <t>5/26–6/1</t>
        </is>
      </c>
      <c r="C115" s="390" t="inlineStr">
        <is>
          <t>配信なし</t>
        </is>
      </c>
      <c r="D115" s="397" t="n"/>
      <c r="E115" s="397" t="n"/>
      <c r="F115" s="397" t="n"/>
      <c r="G115" s="393">
        <f>IFERROR(E115/D115,"")</f>
        <v/>
      </c>
      <c r="H115" s="394">
        <f>IFERROR(C115/E115,"")</f>
        <v/>
      </c>
      <c r="I115" s="394">
        <f>IFERROR(C115/D115*1000,"")</f>
        <v/>
      </c>
      <c r="J115" s="393">
        <f>IFERROR(F115/E115,"")</f>
        <v/>
      </c>
      <c r="K115" s="394">
        <f>IFERROR(C115/F115,"")</f>
        <v/>
      </c>
      <c r="L115" s="392" t="n"/>
      <c r="M115" s="393">
        <f>IF(L115="","",IFERROR(L115/F115,""))</f>
        <v/>
      </c>
      <c r="N115" s="392" t="n"/>
      <c r="O115" s="393">
        <f>IF(N115="","",IFERROR(N115/L115,""))</f>
        <v/>
      </c>
      <c r="P115" s="394">
        <f>IF(N115=0,"",IFERROR(C115/N115,""))</f>
        <v/>
      </c>
      <c r="Q115" s="395">
        <f>IF(N115=0,"",IFERROR(IF(C115/N115&lt;=用語集!$B$23,"◎ 許容内","✗ 超過"),"—"))</f>
        <v/>
      </c>
      <c r="R115" s="396">
        <f>IFERROR(用語集!$B$23/P115,"")</f>
        <v/>
      </c>
    </row>
    <row r="116">
      <c r="A116" s="389" t="inlineStr">
        <is>
          <t>W9</t>
        </is>
      </c>
      <c r="B116" s="390" t="inlineStr">
        <is>
          <t>6/2–6/8</t>
        </is>
      </c>
      <c r="C116" s="390" t="inlineStr">
        <is>
          <t>配信なし</t>
        </is>
      </c>
      <c r="D116" s="397" t="n"/>
      <c r="E116" s="397" t="n"/>
      <c r="F116" s="397" t="n"/>
      <c r="G116" s="393">
        <f>IFERROR(E116/D116,"")</f>
        <v/>
      </c>
      <c r="H116" s="394">
        <f>IFERROR(C116/E116,"")</f>
        <v/>
      </c>
      <c r="I116" s="394">
        <f>IFERROR(C116/D116*1000,"")</f>
        <v/>
      </c>
      <c r="J116" s="393">
        <f>IFERROR(F116/E116,"")</f>
        <v/>
      </c>
      <c r="K116" s="394">
        <f>IFERROR(C116/F116,"")</f>
        <v/>
      </c>
      <c r="L116" s="392" t="n"/>
      <c r="M116" s="393">
        <f>IF(L116="","",IFERROR(L116/F116,""))</f>
        <v/>
      </c>
      <c r="N116" s="392" t="n"/>
      <c r="O116" s="393">
        <f>IF(N116="","",IFERROR(N116/L116,""))</f>
        <v/>
      </c>
      <c r="P116" s="394">
        <f>IF(N116=0,"",IFERROR(C116/N116,""))</f>
        <v/>
      </c>
      <c r="Q116" s="395">
        <f>IF(N116=0,"",IFERROR(IF(C116/N116&lt;=用語集!$B$23,"◎ 許容内","✗ 超過"),"—"))</f>
        <v/>
      </c>
      <c r="R116" s="396">
        <f>IFERROR(用語集!$B$23/P116,"")</f>
        <v/>
      </c>
    </row>
    <row r="117">
      <c r="A117" s="389" t="inlineStr">
        <is>
          <t>W10</t>
        </is>
      </c>
      <c r="B117" s="390" t="inlineStr">
        <is>
          <t>6/9–6/15</t>
        </is>
      </c>
      <c r="C117" s="398">
        <f>IF(COUNTIFS(日次入力!A:A,"&gt;="&amp;DATE(2026,6,9),日次入力!A:A,"&lt;="&amp;DATE(2026,6,15),日次入力!C:C,"LINE常設")=0,"",SUMIFS(日次入力!D:D,日次入力!A:A,"&gt;="&amp;DATE(2026,6,9),日次入力!A:A,"&lt;="&amp;DATE(2026,6,15),日次入力!C:C,"LINE常設"))</f>
        <v/>
      </c>
      <c r="D117" s="399">
        <f>IF(COUNTIFS(日次入力!A:A,"&gt;="&amp;DATE(2026,6,9),日次入力!A:A,"&lt;="&amp;DATE(2026,6,15),日次入力!C:C,"LINE常設")=0,"",SUMIFS(日次入力!E:E,日次入力!A:A,"&gt;="&amp;DATE(2026,6,9),日次入力!A:A,"&lt;="&amp;DATE(2026,6,15),日次入力!C:C,"LINE常設"))</f>
        <v/>
      </c>
      <c r="E117" s="399">
        <f>IF(COUNTIFS(日次入力!A:A,"&gt;="&amp;DATE(2026,6,9),日次入力!A:A,"&lt;="&amp;DATE(2026,6,15),日次入力!C:C,"LINE常設")=0,"",SUMIFS(日次入力!F:F,日次入力!A:A,"&gt;="&amp;DATE(2026,6,9),日次入力!A:A,"&lt;="&amp;DATE(2026,6,15),日次入力!C:C,"LINE常設"))</f>
        <v/>
      </c>
      <c r="F117" s="399">
        <f>IF(COUNTIFS(日次入力!A:A,"&gt;="&amp;DATE(2026,6,9),日次入力!A:A,"&lt;="&amp;DATE(2026,6,15),日次入力!C:C,"LINE常設")=0,"",SUMIFS(日次入力!G:G,日次入力!A:A,"&gt;="&amp;DATE(2026,6,9),日次入力!A:A,"&lt;="&amp;DATE(2026,6,15),日次入力!C:C,"LINE常設"))</f>
        <v/>
      </c>
      <c r="G117" s="393">
        <f>IFERROR(E117/D117,"")</f>
        <v/>
      </c>
      <c r="H117" s="394">
        <f>IFERROR(C117/E117,"")</f>
        <v/>
      </c>
      <c r="I117" s="394">
        <f>IFERROR(C117/D117*1000,"")</f>
        <v/>
      </c>
      <c r="J117" s="393">
        <f>IFERROR(F117/E117,"")</f>
        <v/>
      </c>
      <c r="K117" s="394">
        <f>IFERROR(C117/F117,"")</f>
        <v/>
      </c>
      <c r="L117" s="399">
        <f>IF(COUNTIFS(日次入力!A:A,"&gt;="&amp;DATE(2026,6,9),日次入力!A:A,"&lt;="&amp;DATE(2026,6,15),日次入力!C:C,"LINE常設")=0,"",SUMIFS(日次入力!H:H,日次入力!A:A,"&gt;="&amp;DATE(2026,6,9),日次入力!A:A,"&lt;="&amp;DATE(2026,6,15),日次入力!C:C,"LINE常設"))</f>
        <v/>
      </c>
      <c r="M117" s="393">
        <f>IF(L117="","",IFERROR(L117/F117,""))</f>
        <v/>
      </c>
      <c r="N117" s="399">
        <f>IF(COUNTIFS(日次入力!A:A,"&gt;="&amp;DATE(2026,6,9),日次入力!A:A,"&lt;="&amp;DATE(2026,6,15),日次入力!C:C,"LINE常設")=0,"",SUMIFS(日次入力!I:I,日次入力!A:A,"&gt;="&amp;DATE(2026,6,9),日次入力!A:A,"&lt;="&amp;DATE(2026,6,15),日次入力!C:C,"LINE常設"))</f>
        <v/>
      </c>
      <c r="O117" s="393">
        <f>IF(N117="","",IFERROR(N117/L117,""))</f>
        <v/>
      </c>
      <c r="P117" s="394">
        <f>IF(N117=0,"",IFERROR(C117/N117,""))</f>
        <v/>
      </c>
      <c r="Q117" s="395">
        <f>IF(N117=0,"",IFERROR(IF(C117/N117&lt;=用語集!$B$23,"◎ 許容内","✗ 超過"),"—"))</f>
        <v/>
      </c>
      <c r="R117" s="396">
        <f>IFERROR(用語集!$B$23/P117,"")</f>
        <v/>
      </c>
    </row>
    <row r="118">
      <c r="A118" s="389" t="inlineStr">
        <is>
          <t>W11</t>
        </is>
      </c>
      <c r="B118" s="390" t="inlineStr">
        <is>
          <t>6/16–6/22</t>
        </is>
      </c>
      <c r="C118" s="398">
        <f>IF(COUNTIFS(日次入力!A:A,"&gt;="&amp;DATE(2026,6,16),日次入力!A:A,"&lt;="&amp;DATE(2026,6,22),日次入力!C:C,"LINE常設")=0,"",SUMIFS(日次入力!D:D,日次入力!A:A,"&gt;="&amp;DATE(2026,6,16),日次入力!A:A,"&lt;="&amp;DATE(2026,6,22),日次入力!C:C,"LINE常設"))</f>
        <v/>
      </c>
      <c r="D118" s="399">
        <f>IF(COUNTIFS(日次入力!A:A,"&gt;="&amp;DATE(2026,6,16),日次入力!A:A,"&lt;="&amp;DATE(2026,6,22),日次入力!C:C,"LINE常設")=0,"",SUMIFS(日次入力!E:E,日次入力!A:A,"&gt;="&amp;DATE(2026,6,16),日次入力!A:A,"&lt;="&amp;DATE(2026,6,22),日次入力!C:C,"LINE常設"))</f>
        <v/>
      </c>
      <c r="E118" s="399">
        <f>IF(COUNTIFS(日次入力!A:A,"&gt;="&amp;DATE(2026,6,16),日次入力!A:A,"&lt;="&amp;DATE(2026,6,22),日次入力!C:C,"LINE常設")=0,"",SUMIFS(日次入力!F:F,日次入力!A:A,"&gt;="&amp;DATE(2026,6,16),日次入力!A:A,"&lt;="&amp;DATE(2026,6,22),日次入力!C:C,"LINE常設"))</f>
        <v/>
      </c>
      <c r="F118" s="399">
        <f>IF(COUNTIFS(日次入力!A:A,"&gt;="&amp;DATE(2026,6,16),日次入力!A:A,"&lt;="&amp;DATE(2026,6,22),日次入力!C:C,"LINE常設")=0,"",SUMIFS(日次入力!G:G,日次入力!A:A,"&gt;="&amp;DATE(2026,6,16),日次入力!A:A,"&lt;="&amp;DATE(2026,6,22),日次入力!C:C,"LINE常設"))</f>
        <v/>
      </c>
      <c r="G118" s="393">
        <f>IFERROR(E118/D118,"")</f>
        <v/>
      </c>
      <c r="H118" s="394">
        <f>IFERROR(C118/E118,"")</f>
        <v/>
      </c>
      <c r="I118" s="394">
        <f>IFERROR(C118/D118*1000,"")</f>
        <v/>
      </c>
      <c r="J118" s="393">
        <f>IFERROR(F118/E118,"")</f>
        <v/>
      </c>
      <c r="K118" s="394">
        <f>IFERROR(C118/F118,"")</f>
        <v/>
      </c>
      <c r="L118" s="399">
        <f>IF(COUNTIFS(日次入力!A:A,"&gt;="&amp;DATE(2026,6,16),日次入力!A:A,"&lt;="&amp;DATE(2026,6,22),日次入力!C:C,"LINE常設")=0,"",SUMIFS(日次入力!H:H,日次入力!A:A,"&gt;="&amp;DATE(2026,6,16),日次入力!A:A,"&lt;="&amp;DATE(2026,6,22),日次入力!C:C,"LINE常設"))</f>
        <v/>
      </c>
      <c r="M118" s="393">
        <f>IF(L118="","",IFERROR(L118/F118,""))</f>
        <v/>
      </c>
      <c r="N118" s="399">
        <f>IF(COUNTIFS(日次入力!A:A,"&gt;="&amp;DATE(2026,6,16),日次入力!A:A,"&lt;="&amp;DATE(2026,6,22),日次入力!C:C,"LINE常設")=0,"",SUMIFS(日次入力!I:I,日次入力!A:A,"&gt;="&amp;DATE(2026,6,16),日次入力!A:A,"&lt;="&amp;DATE(2026,6,22),日次入力!C:C,"LINE常設"))</f>
        <v/>
      </c>
      <c r="O118" s="393">
        <f>IF(N118="","",IFERROR(N118/L118,""))</f>
        <v/>
      </c>
      <c r="P118" s="394">
        <f>IF(N118=0,"",IFERROR(C118/N118,""))</f>
        <v/>
      </c>
      <c r="Q118" s="395">
        <f>IF(N118=0,"",IFERROR(IF(C118/N118&lt;=用語集!$B$23,"◎ 許容内","✗ 超過"),"—"))</f>
        <v/>
      </c>
      <c r="R118" s="396">
        <f>IFERROR(用語集!$B$23/P118,"")</f>
        <v/>
      </c>
    </row>
    <row r="119">
      <c r="A119" s="389" t="inlineStr">
        <is>
          <t>W12</t>
        </is>
      </c>
      <c r="B119" s="390" t="inlineStr">
        <is>
          <t>6/23–6/29</t>
        </is>
      </c>
      <c r="C119" s="398">
        <f>IF(COUNTIFS(日次入力!A:A,"&gt;="&amp;DATE(2026,6,23),日次入力!A:A,"&lt;="&amp;DATE(2026,6,29),日次入力!C:C,"LINE常設")=0,"",SUMIFS(日次入力!D:D,日次入力!A:A,"&gt;="&amp;DATE(2026,6,23),日次入力!A:A,"&lt;="&amp;DATE(2026,6,29),日次入力!C:C,"LINE常設"))</f>
        <v/>
      </c>
      <c r="D119" s="399">
        <f>IF(COUNTIFS(日次入力!A:A,"&gt;="&amp;DATE(2026,6,23),日次入力!A:A,"&lt;="&amp;DATE(2026,6,29),日次入力!C:C,"LINE常設")=0,"",SUMIFS(日次入力!E:E,日次入力!A:A,"&gt;="&amp;DATE(2026,6,23),日次入力!A:A,"&lt;="&amp;DATE(2026,6,29),日次入力!C:C,"LINE常設"))</f>
        <v/>
      </c>
      <c r="E119" s="399">
        <f>IF(COUNTIFS(日次入力!A:A,"&gt;="&amp;DATE(2026,6,23),日次入力!A:A,"&lt;="&amp;DATE(2026,6,29),日次入力!C:C,"LINE常設")=0,"",SUMIFS(日次入力!F:F,日次入力!A:A,"&gt;="&amp;DATE(2026,6,23),日次入力!A:A,"&lt;="&amp;DATE(2026,6,29),日次入力!C:C,"LINE常設"))</f>
        <v/>
      </c>
      <c r="F119" s="399">
        <f>IF(COUNTIFS(日次入力!A:A,"&gt;="&amp;DATE(2026,6,23),日次入力!A:A,"&lt;="&amp;DATE(2026,6,29),日次入力!C:C,"LINE常設")=0,"",SUMIFS(日次入力!G:G,日次入力!A:A,"&gt;="&amp;DATE(2026,6,23),日次入力!A:A,"&lt;="&amp;DATE(2026,6,29),日次入力!C:C,"LINE常設"))</f>
        <v/>
      </c>
      <c r="G119" s="393">
        <f>IFERROR(E119/D119,"")</f>
        <v/>
      </c>
      <c r="H119" s="394">
        <f>IFERROR(C119/E119,"")</f>
        <v/>
      </c>
      <c r="I119" s="394">
        <f>IFERROR(C119/D119*1000,"")</f>
        <v/>
      </c>
      <c r="J119" s="393">
        <f>IFERROR(F119/E119,"")</f>
        <v/>
      </c>
      <c r="K119" s="394">
        <f>IFERROR(C119/F119,"")</f>
        <v/>
      </c>
      <c r="L119" s="399">
        <f>IF(COUNTIFS(日次入力!A:A,"&gt;="&amp;DATE(2026,6,23),日次入力!A:A,"&lt;="&amp;DATE(2026,6,29),日次入力!C:C,"LINE常設")=0,"",SUMIFS(日次入力!H:H,日次入力!A:A,"&gt;="&amp;DATE(2026,6,23),日次入力!A:A,"&lt;="&amp;DATE(2026,6,29),日次入力!C:C,"LINE常設"))</f>
        <v/>
      </c>
      <c r="M119" s="393">
        <f>IF(L119="","",IFERROR(L119/F119,""))</f>
        <v/>
      </c>
      <c r="N119" s="399">
        <f>IF(COUNTIFS(日次入力!A:A,"&gt;="&amp;DATE(2026,6,23),日次入力!A:A,"&lt;="&amp;DATE(2026,6,29),日次入力!C:C,"LINE常設")=0,"",SUMIFS(日次入力!I:I,日次入力!A:A,"&gt;="&amp;DATE(2026,6,23),日次入力!A:A,"&lt;="&amp;DATE(2026,6,29),日次入力!C:C,"LINE常設"))</f>
        <v/>
      </c>
      <c r="O119" s="393">
        <f>IF(N119="","",IFERROR(N119/L119,""))</f>
        <v/>
      </c>
      <c r="P119" s="394">
        <f>IF(N119=0,"",IFERROR(C119/N119,""))</f>
        <v/>
      </c>
      <c r="Q119" s="395">
        <f>IF(N119=0,"",IFERROR(IF(C119/N119&lt;=用語集!$B$23,"◎ 許容内","✗ 超過"),"—"))</f>
        <v/>
      </c>
      <c r="R119" s="396">
        <f>IFERROR(用語集!$B$23/P119,"")</f>
        <v/>
      </c>
    </row>
    <row r="120">
      <c r="A120" s="389" t="inlineStr">
        <is>
          <t>W13</t>
        </is>
      </c>
      <c r="B120" s="390" t="inlineStr">
        <is>
          <t>6/30–7/6</t>
        </is>
      </c>
      <c r="C120" s="398">
        <f>IF(COUNTIFS(日次入力!A:A,"&gt;="&amp;DATE(2026,6,30),日次入力!A:A,"&lt;="&amp;DATE(2026,7,6),日次入力!C:C,"LINE常設")=0,"",SUMIFS(日次入力!D:D,日次入力!A:A,"&gt;="&amp;DATE(2026,6,30),日次入力!A:A,"&lt;="&amp;DATE(2026,7,6),日次入力!C:C,"LINE常設"))</f>
        <v/>
      </c>
      <c r="D120" s="399">
        <f>IF(COUNTIFS(日次入力!A:A,"&gt;="&amp;DATE(2026,6,30),日次入力!A:A,"&lt;="&amp;DATE(2026,7,6),日次入力!C:C,"LINE常設")=0,"",SUMIFS(日次入力!E:E,日次入力!A:A,"&gt;="&amp;DATE(2026,6,30),日次入力!A:A,"&lt;="&amp;DATE(2026,7,6),日次入力!C:C,"LINE常設"))</f>
        <v/>
      </c>
      <c r="E120" s="399">
        <f>IF(COUNTIFS(日次入力!A:A,"&gt;="&amp;DATE(2026,6,30),日次入力!A:A,"&lt;="&amp;DATE(2026,7,6),日次入力!C:C,"LINE常設")=0,"",SUMIFS(日次入力!F:F,日次入力!A:A,"&gt;="&amp;DATE(2026,6,30),日次入力!A:A,"&lt;="&amp;DATE(2026,7,6),日次入力!C:C,"LINE常設"))</f>
        <v/>
      </c>
      <c r="F120" s="399">
        <f>IF(COUNTIFS(日次入力!A:A,"&gt;="&amp;DATE(2026,6,30),日次入力!A:A,"&lt;="&amp;DATE(2026,7,6),日次入力!C:C,"LINE常設")=0,"",SUMIFS(日次入力!G:G,日次入力!A:A,"&gt;="&amp;DATE(2026,6,30),日次入力!A:A,"&lt;="&amp;DATE(2026,7,6),日次入力!C:C,"LINE常設"))</f>
        <v/>
      </c>
      <c r="G120" s="393">
        <f>IFERROR(E120/D120,"")</f>
        <v/>
      </c>
      <c r="H120" s="394">
        <f>IFERROR(C120/E120,"")</f>
        <v/>
      </c>
      <c r="I120" s="394">
        <f>IFERROR(C120/D120*1000,"")</f>
        <v/>
      </c>
      <c r="J120" s="393">
        <f>IFERROR(F120/E120,"")</f>
        <v/>
      </c>
      <c r="K120" s="394">
        <f>IFERROR(C120/F120,"")</f>
        <v/>
      </c>
      <c r="L120" s="399">
        <f>IF(COUNTIFS(日次入力!A:A,"&gt;="&amp;DATE(2026,6,30),日次入力!A:A,"&lt;="&amp;DATE(2026,7,6),日次入力!C:C,"LINE常設")=0,"",SUMIFS(日次入力!H:H,日次入力!A:A,"&gt;="&amp;DATE(2026,6,30),日次入力!A:A,"&lt;="&amp;DATE(2026,7,6),日次入力!C:C,"LINE常設"))</f>
        <v/>
      </c>
      <c r="M120" s="393">
        <f>IF(L120="","",IFERROR(L120/F120,""))</f>
        <v/>
      </c>
      <c r="N120" s="399">
        <f>IF(COUNTIFS(日次入力!A:A,"&gt;="&amp;DATE(2026,6,30),日次入力!A:A,"&lt;="&amp;DATE(2026,7,6),日次入力!C:C,"LINE常設")=0,"",SUMIFS(日次入力!I:I,日次入力!A:A,"&gt;="&amp;DATE(2026,6,30),日次入力!A:A,"&lt;="&amp;DATE(2026,7,6),日次入力!C:C,"LINE常設"))</f>
        <v/>
      </c>
      <c r="O120" s="393">
        <f>IF(N120="","",IFERROR(N120/L120,""))</f>
        <v/>
      </c>
      <c r="P120" s="394">
        <f>IF(N120=0,"",IFERROR(C120/N120,""))</f>
        <v/>
      </c>
      <c r="Q120" s="395">
        <f>IF(N120=0,"",IFERROR(IF(C120/N120&lt;=用語集!$B$23,"◎ 許容内","✗ 超過"),"—"))</f>
        <v/>
      </c>
      <c r="R120" s="396">
        <f>IFERROR(用語集!$B$23/P120,"")</f>
        <v/>
      </c>
    </row>
    <row r="121">
      <c r="A121" s="400" t="inlineStr">
        <is>
          <t>合計</t>
        </is>
      </c>
      <c r="B121" s="401" t="inlineStr"/>
      <c r="C121" s="402">
        <f>SUM(C108:C120)</f>
        <v/>
      </c>
      <c r="D121" s="403">
        <f>SUM(D108:D120)</f>
        <v/>
      </c>
      <c r="E121" s="403">
        <f>SUM(E108:E120)</f>
        <v/>
      </c>
      <c r="F121" s="403">
        <f>SUM(F108:F120)</f>
        <v/>
      </c>
      <c r="G121" s="404">
        <f>IFERROR(E121/D121,"")</f>
        <v/>
      </c>
      <c r="H121" s="402">
        <f>IFERROR(C121/E121,"")</f>
        <v/>
      </c>
      <c r="I121" s="402">
        <f>IFERROR(C121/D121*1000,"")</f>
        <v/>
      </c>
      <c r="J121" s="404">
        <f>IFERROR(F121/D121,"")</f>
        <v/>
      </c>
      <c r="K121" s="402">
        <f>IFERROR(C121/F121,"")</f>
        <v/>
      </c>
      <c r="L121" s="403">
        <f>SUM(L108:L120)</f>
        <v/>
      </c>
      <c r="M121" s="404">
        <f>IF(L121=0,"",IFERROR(L121/F121,""))</f>
        <v/>
      </c>
      <c r="N121" s="403">
        <f>SUM(N108:N120)</f>
        <v/>
      </c>
      <c r="O121" s="404">
        <f>IF(L121=0,"",IFERROR(N121/L121,""))</f>
        <v/>
      </c>
      <c r="P121" s="402">
        <f>IF(N121=0,"",IFERROR(C121/N121,""))</f>
        <v/>
      </c>
      <c r="Q121" s="400">
        <f>IF(N121=0,"",IFERROR(IF(C121/N121&lt;=用語集!$B$23,"◎ 許容内","✗ 超過"),"—"))</f>
        <v/>
      </c>
      <c r="R121" s="405">
        <f>IFERROR(用語集!$B$23/P121,"")</f>
        <v/>
      </c>
    </row>
    <row r="123">
      <c r="A123" s="388" t="inlineStr">
        <is>
          <t xml:space="preserve">　広告外（紹介・オーガニック・展示会 等）　（広告費なし・CV・商談・成約を入力）</t>
        </is>
      </c>
      <c r="B123" s="162" t="n"/>
      <c r="C123" s="162" t="n"/>
      <c r="D123" s="162" t="n"/>
      <c r="E123" s="162" t="n"/>
      <c r="F123" s="162" t="n"/>
      <c r="G123" s="162" t="n"/>
      <c r="H123" s="162" t="n"/>
      <c r="I123" s="162" t="n"/>
      <c r="J123" s="162" t="n"/>
      <c r="K123" s="162" t="n"/>
      <c r="L123" s="162" t="n"/>
      <c r="M123" s="162" t="n"/>
      <c r="N123" s="162" t="n"/>
      <c r="O123" s="162" t="n"/>
      <c r="P123" s="162" t="n"/>
      <c r="Q123" s="162" t="n"/>
      <c r="R123" s="163" t="n"/>
    </row>
    <row r="124" ht="26" customHeight="1" s="68">
      <c r="A124" s="141" t="inlineStr">
        <is>
          <t>週</t>
        </is>
      </c>
      <c r="B124" s="141" t="inlineStr">
        <is>
          <t>期間</t>
        </is>
      </c>
      <c r="C124" s="141" t="inlineStr">
        <is>
          <t>消費金額</t>
        </is>
      </c>
      <c r="D124" s="141" t="inlineStr">
        <is>
          <t>IMP</t>
        </is>
      </c>
      <c r="E124" s="141" t="inlineStr">
        <is>
          <t>クリック</t>
        </is>
      </c>
      <c r="F124" s="141" t="inlineStr">
        <is>
          <t>CV</t>
        </is>
      </c>
      <c r="G124" s="141" t="inlineStr">
        <is>
          <t>CTR</t>
        </is>
      </c>
      <c r="H124" s="141" t="inlineStr">
        <is>
          <t>CPC</t>
        </is>
      </c>
      <c r="I124" s="141" t="inlineStr">
        <is>
          <t>CPM</t>
        </is>
      </c>
      <c r="J124" s="141" t="inlineStr">
        <is>
          <t>CVR</t>
        </is>
      </c>
      <c r="K124" s="141" t="inlineStr">
        <is>
          <t>CPL</t>
        </is>
      </c>
      <c r="L124" s="141" t="inlineStr">
        <is>
          <t>商談</t>
        </is>
      </c>
      <c r="M124" s="141" t="inlineStr">
        <is>
          <t>歩留まり</t>
        </is>
      </c>
      <c r="N124" s="141" t="inlineStr">
        <is>
          <t>成約</t>
        </is>
      </c>
      <c r="O124" s="141" t="inlineStr">
        <is>
          <t>成約率</t>
        </is>
      </c>
      <c r="P124" s="141" t="inlineStr">
        <is>
          <t>1成約広告費</t>
        </is>
      </c>
      <c r="Q124" s="141" t="inlineStr">
        <is>
          <t>対許容CPA</t>
        </is>
      </c>
      <c r="R124" s="141" t="inlineStr">
        <is>
          <t>余裕倍率</t>
        </is>
      </c>
    </row>
    <row r="125">
      <c r="A125" s="406" t="inlineStr">
        <is>
          <t>開始前</t>
        </is>
      </c>
      <c r="B125" s="407" t="inlineStr">
        <is>
          <t>〜4/6</t>
        </is>
      </c>
      <c r="C125" s="408" t="inlineStr">
        <is>
          <t>—</t>
        </is>
      </c>
      <c r="D125" s="408" t="inlineStr">
        <is>
          <t>—</t>
        </is>
      </c>
      <c r="E125" s="408" t="inlineStr">
        <is>
          <t>—</t>
        </is>
      </c>
      <c r="F125" s="392" t="n"/>
      <c r="G125" s="393">
        <f>IFERROR(E125/D125,"")</f>
        <v/>
      </c>
      <c r="H125" s="394">
        <f>IFERROR(C125/E125,"")</f>
        <v/>
      </c>
      <c r="I125" s="394">
        <f>IFERROR(C125/D125*1000,"")</f>
        <v/>
      </c>
      <c r="J125" s="393">
        <f>IFERROR(F125/E125,"")</f>
        <v/>
      </c>
      <c r="K125" s="394">
        <f>IFERROR(C125/F125,"")</f>
        <v/>
      </c>
      <c r="L125" s="392" t="n"/>
      <c r="M125" s="393">
        <f>IF(L125="","",IFERROR(L125/F125,""))</f>
        <v/>
      </c>
      <c r="N125" s="392" t="n"/>
      <c r="O125" s="393">
        <f>IF(N125="","",IFERROR(N125/L125,""))</f>
        <v/>
      </c>
      <c r="P125" s="394">
        <f>IF(N125=0,"",IFERROR(C125/N125,""))</f>
        <v/>
      </c>
      <c r="Q125" s="395">
        <f>IF(N125=0,"",IFERROR(IF(C125/N125&lt;=用語集!$B$23,"◎ 許容内","✗ 超過"),"—"))</f>
        <v/>
      </c>
      <c r="R125" s="409">
        <f>IFERROR(用語集!$B$23/P125,"")</f>
        <v/>
      </c>
    </row>
    <row r="126">
      <c r="A126" s="389" t="inlineStr">
        <is>
          <t>W1</t>
        </is>
      </c>
      <c r="B126" s="390" t="inlineStr">
        <is>
          <t>4/7–4/13</t>
        </is>
      </c>
      <c r="C126" s="408" t="inlineStr">
        <is>
          <t>—</t>
        </is>
      </c>
      <c r="D126" s="408" t="inlineStr">
        <is>
          <t>—</t>
        </is>
      </c>
      <c r="E126" s="408" t="inlineStr">
        <is>
          <t>—</t>
        </is>
      </c>
      <c r="F126" s="392" t="n"/>
      <c r="G126" s="393">
        <f>IFERROR(E126/D126,"")</f>
        <v/>
      </c>
      <c r="H126" s="394">
        <f>IFERROR(C126/E126,"")</f>
        <v/>
      </c>
      <c r="I126" s="394">
        <f>IFERROR(C126/D126*1000,"")</f>
        <v/>
      </c>
      <c r="J126" s="393">
        <f>IFERROR(F126/E126,"")</f>
        <v/>
      </c>
      <c r="K126" s="394">
        <f>IFERROR(C126/F126,"")</f>
        <v/>
      </c>
      <c r="L126" s="392" t="n"/>
      <c r="M126" s="393">
        <f>IF(L126="","",IFERROR(L126/F126,""))</f>
        <v/>
      </c>
      <c r="N126" s="392" t="n"/>
      <c r="O126" s="393">
        <f>IF(N126="","",IFERROR(N126/L126,""))</f>
        <v/>
      </c>
      <c r="P126" s="394">
        <f>IF(N126=0,"",IFERROR(C126/N126,""))</f>
        <v/>
      </c>
      <c r="Q126" s="395">
        <f>IF(N126=0,"",IFERROR(IF(C126/N126&lt;=用語集!$B$23,"◎ 許容内","✗ 超過"),"—"))</f>
        <v/>
      </c>
      <c r="R126" s="396">
        <f>IFERROR(用語集!$B$23/P126,"")</f>
        <v/>
      </c>
    </row>
    <row r="127">
      <c r="A127" s="389" t="inlineStr">
        <is>
          <t>W2</t>
        </is>
      </c>
      <c r="B127" s="390" t="inlineStr">
        <is>
          <t>4/14–4/20</t>
        </is>
      </c>
      <c r="C127" s="408" t="inlineStr">
        <is>
          <t>—</t>
        </is>
      </c>
      <c r="D127" s="408" t="inlineStr">
        <is>
          <t>—</t>
        </is>
      </c>
      <c r="E127" s="408" t="inlineStr">
        <is>
          <t>—</t>
        </is>
      </c>
      <c r="F127" s="392" t="n"/>
      <c r="G127" s="393">
        <f>IFERROR(E127/D127,"")</f>
        <v/>
      </c>
      <c r="H127" s="394">
        <f>IFERROR(C127/E127,"")</f>
        <v/>
      </c>
      <c r="I127" s="394">
        <f>IFERROR(C127/D127*1000,"")</f>
        <v/>
      </c>
      <c r="J127" s="393">
        <f>IFERROR(F127/E127,"")</f>
        <v/>
      </c>
      <c r="K127" s="394">
        <f>IFERROR(C127/F127,"")</f>
        <v/>
      </c>
      <c r="L127" s="392" t="n"/>
      <c r="M127" s="393">
        <f>IF(L127="","",IFERROR(L127/F127,""))</f>
        <v/>
      </c>
      <c r="N127" s="392" t="n"/>
      <c r="O127" s="393">
        <f>IF(N127="","",IFERROR(N127/L127,""))</f>
        <v/>
      </c>
      <c r="P127" s="394">
        <f>IF(N127=0,"",IFERROR(C127/N127,""))</f>
        <v/>
      </c>
      <c r="Q127" s="395">
        <f>IF(N127=0,"",IFERROR(IF(C127/N127&lt;=用語集!$B$23,"◎ 許容内","✗ 超過"),"—"))</f>
        <v/>
      </c>
      <c r="R127" s="396">
        <f>IFERROR(用語集!$B$23/P127,"")</f>
        <v/>
      </c>
    </row>
    <row r="128">
      <c r="A128" s="389" t="inlineStr">
        <is>
          <t>W3</t>
        </is>
      </c>
      <c r="B128" s="390" t="inlineStr">
        <is>
          <t>4/21–4/27</t>
        </is>
      </c>
      <c r="C128" s="408" t="inlineStr">
        <is>
          <t>—</t>
        </is>
      </c>
      <c r="D128" s="408" t="inlineStr">
        <is>
          <t>—</t>
        </is>
      </c>
      <c r="E128" s="408" t="inlineStr">
        <is>
          <t>—</t>
        </is>
      </c>
      <c r="F128" s="392" t="n"/>
      <c r="G128" s="393">
        <f>IFERROR(E128/D128,"")</f>
        <v/>
      </c>
      <c r="H128" s="394">
        <f>IFERROR(C128/E128,"")</f>
        <v/>
      </c>
      <c r="I128" s="394">
        <f>IFERROR(C128/D128*1000,"")</f>
        <v/>
      </c>
      <c r="J128" s="393">
        <f>IFERROR(F128/E128,"")</f>
        <v/>
      </c>
      <c r="K128" s="394">
        <f>IFERROR(C128/F128,"")</f>
        <v/>
      </c>
      <c r="L128" s="392" t="n"/>
      <c r="M128" s="393">
        <f>IF(L128="","",IFERROR(L128/F128,""))</f>
        <v/>
      </c>
      <c r="N128" s="392" t="n"/>
      <c r="O128" s="393">
        <f>IF(N128="","",IFERROR(N128/L128,""))</f>
        <v/>
      </c>
      <c r="P128" s="394">
        <f>IF(N128=0,"",IFERROR(C128/N128,""))</f>
        <v/>
      </c>
      <c r="Q128" s="395">
        <f>IF(N128=0,"",IFERROR(IF(C128/N128&lt;=用語集!$B$23,"◎ 許容内","✗ 超過"),"—"))</f>
        <v/>
      </c>
      <c r="R128" s="396">
        <f>IFERROR(用語集!$B$23/P128,"")</f>
        <v/>
      </c>
    </row>
    <row r="129">
      <c r="A129" s="389" t="inlineStr">
        <is>
          <t>W4</t>
        </is>
      </c>
      <c r="B129" s="390" t="inlineStr">
        <is>
          <t>4/28–5/4</t>
        </is>
      </c>
      <c r="C129" s="408" t="inlineStr">
        <is>
          <t>—</t>
        </is>
      </c>
      <c r="D129" s="408" t="inlineStr">
        <is>
          <t>—</t>
        </is>
      </c>
      <c r="E129" s="408" t="inlineStr">
        <is>
          <t>—</t>
        </is>
      </c>
      <c r="F129" s="392" t="n"/>
      <c r="G129" s="393">
        <f>IFERROR(E129/D129,"")</f>
        <v/>
      </c>
      <c r="H129" s="394">
        <f>IFERROR(C129/E129,"")</f>
        <v/>
      </c>
      <c r="I129" s="394">
        <f>IFERROR(C129/D129*1000,"")</f>
        <v/>
      </c>
      <c r="J129" s="393">
        <f>IFERROR(F129/E129,"")</f>
        <v/>
      </c>
      <c r="K129" s="394">
        <f>IFERROR(C129/F129,"")</f>
        <v/>
      </c>
      <c r="L129" s="392" t="n"/>
      <c r="M129" s="393">
        <f>IF(L129="","",IFERROR(L129/F129,""))</f>
        <v/>
      </c>
      <c r="N129" s="392" t="n"/>
      <c r="O129" s="393">
        <f>IF(N129="","",IFERROR(N129/L129,""))</f>
        <v/>
      </c>
      <c r="P129" s="394">
        <f>IF(N129=0,"",IFERROR(C129/N129,""))</f>
        <v/>
      </c>
      <c r="Q129" s="395">
        <f>IF(N129=0,"",IFERROR(IF(C129/N129&lt;=用語集!$B$23,"◎ 許容内","✗ 超過"),"—"))</f>
        <v/>
      </c>
      <c r="R129" s="396">
        <f>IFERROR(用語集!$B$23/P129,"")</f>
        <v/>
      </c>
    </row>
    <row r="130">
      <c r="A130" s="389" t="inlineStr">
        <is>
          <t>W5</t>
        </is>
      </c>
      <c r="B130" s="390" t="inlineStr">
        <is>
          <t>5/5–5/11</t>
        </is>
      </c>
      <c r="C130" s="408" t="inlineStr">
        <is>
          <t>—</t>
        </is>
      </c>
      <c r="D130" s="408" t="inlineStr">
        <is>
          <t>—</t>
        </is>
      </c>
      <c r="E130" s="408" t="inlineStr">
        <is>
          <t>—</t>
        </is>
      </c>
      <c r="F130" s="392" t="n"/>
      <c r="G130" s="393">
        <f>IFERROR(E130/D130,"")</f>
        <v/>
      </c>
      <c r="H130" s="394">
        <f>IFERROR(C130/E130,"")</f>
        <v/>
      </c>
      <c r="I130" s="394">
        <f>IFERROR(C130/D130*1000,"")</f>
        <v/>
      </c>
      <c r="J130" s="393">
        <f>IFERROR(F130/E130,"")</f>
        <v/>
      </c>
      <c r="K130" s="394">
        <f>IFERROR(C130/F130,"")</f>
        <v/>
      </c>
      <c r="L130" s="392" t="n"/>
      <c r="M130" s="393">
        <f>IF(L130="","",IFERROR(L130/F130,""))</f>
        <v/>
      </c>
      <c r="N130" s="392" t="n"/>
      <c r="O130" s="393">
        <f>IF(N130="","",IFERROR(N130/L130,""))</f>
        <v/>
      </c>
      <c r="P130" s="394">
        <f>IF(N130=0,"",IFERROR(C130/N130,""))</f>
        <v/>
      </c>
      <c r="Q130" s="395">
        <f>IF(N130=0,"",IFERROR(IF(C130/N130&lt;=用語集!$B$23,"◎ 許容内","✗ 超過"),"—"))</f>
        <v/>
      </c>
      <c r="R130" s="396">
        <f>IFERROR(用語集!$B$23/P130,"")</f>
        <v/>
      </c>
    </row>
    <row r="131">
      <c r="A131" s="389" t="inlineStr">
        <is>
          <t>W6</t>
        </is>
      </c>
      <c r="B131" s="390" t="inlineStr">
        <is>
          <t>5/12–5/18</t>
        </is>
      </c>
      <c r="C131" s="408" t="inlineStr">
        <is>
          <t>—</t>
        </is>
      </c>
      <c r="D131" s="408" t="inlineStr">
        <is>
          <t>—</t>
        </is>
      </c>
      <c r="E131" s="408" t="inlineStr">
        <is>
          <t>—</t>
        </is>
      </c>
      <c r="F131" s="392" t="n"/>
      <c r="G131" s="393">
        <f>IFERROR(E131/D131,"")</f>
        <v/>
      </c>
      <c r="H131" s="394">
        <f>IFERROR(C131/E131,"")</f>
        <v/>
      </c>
      <c r="I131" s="394">
        <f>IFERROR(C131/D131*1000,"")</f>
        <v/>
      </c>
      <c r="J131" s="393">
        <f>IFERROR(F131/E131,"")</f>
        <v/>
      </c>
      <c r="K131" s="394">
        <f>IFERROR(C131/F131,"")</f>
        <v/>
      </c>
      <c r="L131" s="392" t="n"/>
      <c r="M131" s="393">
        <f>IF(L131="","",IFERROR(L131/F131,""))</f>
        <v/>
      </c>
      <c r="N131" s="392" t="n"/>
      <c r="O131" s="393">
        <f>IF(N131="","",IFERROR(N131/L131,""))</f>
        <v/>
      </c>
      <c r="P131" s="394">
        <f>IF(N131=0,"",IFERROR(C131/N131,""))</f>
        <v/>
      </c>
      <c r="Q131" s="395">
        <f>IF(N131=0,"",IFERROR(IF(C131/N131&lt;=用語集!$B$23,"◎ 許容内","✗ 超過"),"—"))</f>
        <v/>
      </c>
      <c r="R131" s="396">
        <f>IFERROR(用語集!$B$23/P131,"")</f>
        <v/>
      </c>
    </row>
    <row r="132">
      <c r="A132" s="389" t="inlineStr">
        <is>
          <t>W7</t>
        </is>
      </c>
      <c r="B132" s="390" t="inlineStr">
        <is>
          <t>5/19–5/25</t>
        </is>
      </c>
      <c r="C132" s="408" t="inlineStr">
        <is>
          <t>—</t>
        </is>
      </c>
      <c r="D132" s="408" t="inlineStr">
        <is>
          <t>—</t>
        </is>
      </c>
      <c r="E132" s="408" t="inlineStr">
        <is>
          <t>—</t>
        </is>
      </c>
      <c r="F132" s="392" t="n"/>
      <c r="G132" s="393">
        <f>IFERROR(E132/D132,"")</f>
        <v/>
      </c>
      <c r="H132" s="394">
        <f>IFERROR(C132/E132,"")</f>
        <v/>
      </c>
      <c r="I132" s="394">
        <f>IFERROR(C132/D132*1000,"")</f>
        <v/>
      </c>
      <c r="J132" s="393">
        <f>IFERROR(F132/E132,"")</f>
        <v/>
      </c>
      <c r="K132" s="394">
        <f>IFERROR(C132/F132,"")</f>
        <v/>
      </c>
      <c r="L132" s="392" t="n"/>
      <c r="M132" s="393">
        <f>IF(L132="","",IFERROR(L132/F132,""))</f>
        <v/>
      </c>
      <c r="N132" s="392" t="n"/>
      <c r="O132" s="393">
        <f>IF(N132="","",IFERROR(N132/L132,""))</f>
        <v/>
      </c>
      <c r="P132" s="394">
        <f>IF(N132=0,"",IFERROR(C132/N132,""))</f>
        <v/>
      </c>
      <c r="Q132" s="395">
        <f>IF(N132=0,"",IFERROR(IF(C132/N132&lt;=用語集!$B$23,"◎ 許容内","✗ 超過"),"—"))</f>
        <v/>
      </c>
      <c r="R132" s="396">
        <f>IFERROR(用語集!$B$23/P132,"")</f>
        <v/>
      </c>
    </row>
    <row r="133">
      <c r="A133" s="389" t="inlineStr">
        <is>
          <t>W8</t>
        </is>
      </c>
      <c r="B133" s="390" t="inlineStr">
        <is>
          <t>5/26–6/1</t>
        </is>
      </c>
      <c r="C133" s="408" t="inlineStr">
        <is>
          <t>—</t>
        </is>
      </c>
      <c r="D133" s="408" t="inlineStr">
        <is>
          <t>—</t>
        </is>
      </c>
      <c r="E133" s="408" t="inlineStr">
        <is>
          <t>—</t>
        </is>
      </c>
      <c r="F133" s="392" t="n"/>
      <c r="G133" s="393">
        <f>IFERROR(E133/D133,"")</f>
        <v/>
      </c>
      <c r="H133" s="394">
        <f>IFERROR(C133/E133,"")</f>
        <v/>
      </c>
      <c r="I133" s="394">
        <f>IFERROR(C133/D133*1000,"")</f>
        <v/>
      </c>
      <c r="J133" s="393">
        <f>IFERROR(F133/E133,"")</f>
        <v/>
      </c>
      <c r="K133" s="394">
        <f>IFERROR(C133/F133,"")</f>
        <v/>
      </c>
      <c r="L133" s="392" t="n"/>
      <c r="M133" s="393">
        <f>IF(L133="","",IFERROR(L133/F133,""))</f>
        <v/>
      </c>
      <c r="N133" s="392" t="n"/>
      <c r="O133" s="393">
        <f>IF(N133="","",IFERROR(N133/L133,""))</f>
        <v/>
      </c>
      <c r="P133" s="394">
        <f>IF(N133=0,"",IFERROR(C133/N133,""))</f>
        <v/>
      </c>
      <c r="Q133" s="395">
        <f>IF(N133=0,"",IFERROR(IF(C133/N133&lt;=用語集!$B$23,"◎ 許容内","✗ 超過"),"—"))</f>
        <v/>
      </c>
      <c r="R133" s="396">
        <f>IFERROR(用語集!$B$23/P133,"")</f>
        <v/>
      </c>
    </row>
    <row r="134">
      <c r="A134" s="389" t="inlineStr">
        <is>
          <t>W9</t>
        </is>
      </c>
      <c r="B134" s="390" t="inlineStr">
        <is>
          <t>6/2–6/8</t>
        </is>
      </c>
      <c r="C134" s="408" t="inlineStr">
        <is>
          <t>—</t>
        </is>
      </c>
      <c r="D134" s="408" t="inlineStr">
        <is>
          <t>—</t>
        </is>
      </c>
      <c r="E134" s="408" t="inlineStr">
        <is>
          <t>—</t>
        </is>
      </c>
      <c r="F134" s="392" t="n"/>
      <c r="G134" s="393">
        <f>IFERROR(E134/D134,"")</f>
        <v/>
      </c>
      <c r="H134" s="394">
        <f>IFERROR(C134/E134,"")</f>
        <v/>
      </c>
      <c r="I134" s="394">
        <f>IFERROR(C134/D134*1000,"")</f>
        <v/>
      </c>
      <c r="J134" s="393">
        <f>IFERROR(F134/E134,"")</f>
        <v/>
      </c>
      <c r="K134" s="394">
        <f>IFERROR(C134/F134,"")</f>
        <v/>
      </c>
      <c r="L134" s="392" t="n"/>
      <c r="M134" s="393">
        <f>IF(L134="","",IFERROR(L134/F134,""))</f>
        <v/>
      </c>
      <c r="N134" s="392" t="n"/>
      <c r="O134" s="393">
        <f>IF(N134="","",IFERROR(N134/L134,""))</f>
        <v/>
      </c>
      <c r="P134" s="394">
        <f>IF(N134=0,"",IFERROR(C134/N134,""))</f>
        <v/>
      </c>
      <c r="Q134" s="395">
        <f>IF(N134=0,"",IFERROR(IF(C134/N134&lt;=用語集!$B$23,"◎ 許容内","✗ 超過"),"—"))</f>
        <v/>
      </c>
      <c r="R134" s="396">
        <f>IFERROR(用語集!$B$23/P134,"")</f>
        <v/>
      </c>
    </row>
    <row r="135">
      <c r="A135" s="389" t="inlineStr">
        <is>
          <t>W10</t>
        </is>
      </c>
      <c r="B135" s="390" t="inlineStr">
        <is>
          <t>6/9–6/15</t>
        </is>
      </c>
      <c r="C135" s="408" t="inlineStr">
        <is>
          <t>—</t>
        </is>
      </c>
      <c r="D135" s="408" t="inlineStr">
        <is>
          <t>—</t>
        </is>
      </c>
      <c r="E135" s="408" t="inlineStr">
        <is>
          <t>—</t>
        </is>
      </c>
      <c r="F135" s="399">
        <f>IF(COUNTIFS(日次入力!A:A,"&gt;="&amp;DATE(2026,6,9),日次入力!A:A,"&lt;="&amp;DATE(2026,6,15),日次入力!C:C,"広告外")=0,"",SUMIFS(日次入力!G:G,日次入力!A:A,"&gt;="&amp;DATE(2026,6,9),日次入力!A:A,"&lt;="&amp;DATE(2026,6,15),日次入力!C:C,"広告外"))</f>
        <v/>
      </c>
      <c r="G135" s="393">
        <f>IFERROR(E135/D135,"")</f>
        <v/>
      </c>
      <c r="H135" s="394">
        <f>IFERROR(C135/E135,"")</f>
        <v/>
      </c>
      <c r="I135" s="394">
        <f>IFERROR(C135/D135*1000,"")</f>
        <v/>
      </c>
      <c r="J135" s="393">
        <f>IFERROR(F135/E135,"")</f>
        <v/>
      </c>
      <c r="K135" s="394">
        <f>IFERROR(C135/F135,"")</f>
        <v/>
      </c>
      <c r="L135" s="399">
        <f>IF(COUNTIFS(日次入力!A:A,"&gt;="&amp;DATE(2026,6,9),日次入力!A:A,"&lt;="&amp;DATE(2026,6,15),日次入力!C:C,"広告外")=0,"",SUMIFS(日次入力!H:H,日次入力!A:A,"&gt;="&amp;DATE(2026,6,9),日次入力!A:A,"&lt;="&amp;DATE(2026,6,15),日次入力!C:C,"広告外"))</f>
        <v/>
      </c>
      <c r="M135" s="393">
        <f>IF(L135="","",IFERROR(L135/F135,""))</f>
        <v/>
      </c>
      <c r="N135" s="399">
        <f>IF(COUNTIFS(日次入力!A:A,"&gt;="&amp;DATE(2026,6,9),日次入力!A:A,"&lt;="&amp;DATE(2026,6,15),日次入力!C:C,"広告外")=0,"",SUMIFS(日次入力!I:I,日次入力!A:A,"&gt;="&amp;DATE(2026,6,9),日次入力!A:A,"&lt;="&amp;DATE(2026,6,15),日次入力!C:C,"広告外"))</f>
        <v/>
      </c>
      <c r="O135" s="393">
        <f>IF(N135="","",IFERROR(N135/L135,""))</f>
        <v/>
      </c>
      <c r="P135" s="394">
        <f>IF(N135=0,"",IFERROR(C135/N135,""))</f>
        <v/>
      </c>
      <c r="Q135" s="395">
        <f>IF(N135=0,"",IFERROR(IF(C135/N135&lt;=用語集!$B$23,"◎ 許容内","✗ 超過"),"—"))</f>
        <v/>
      </c>
      <c r="R135" s="396">
        <f>IFERROR(用語集!$B$23/P135,"")</f>
        <v/>
      </c>
    </row>
    <row r="136">
      <c r="A136" s="389" t="inlineStr">
        <is>
          <t>W11</t>
        </is>
      </c>
      <c r="B136" s="390" t="inlineStr">
        <is>
          <t>6/16–6/22</t>
        </is>
      </c>
      <c r="C136" s="408" t="inlineStr">
        <is>
          <t>—</t>
        </is>
      </c>
      <c r="D136" s="408" t="inlineStr">
        <is>
          <t>—</t>
        </is>
      </c>
      <c r="E136" s="408" t="inlineStr">
        <is>
          <t>—</t>
        </is>
      </c>
      <c r="F136" s="399">
        <f>IF(COUNTIFS(日次入力!A:A,"&gt;="&amp;DATE(2026,6,16),日次入力!A:A,"&lt;="&amp;DATE(2026,6,22),日次入力!C:C,"広告外")=0,"",SUMIFS(日次入力!G:G,日次入力!A:A,"&gt;="&amp;DATE(2026,6,16),日次入力!A:A,"&lt;="&amp;DATE(2026,6,22),日次入力!C:C,"広告外"))</f>
        <v/>
      </c>
      <c r="G136" s="393">
        <f>IFERROR(E136/D136,"")</f>
        <v/>
      </c>
      <c r="H136" s="394">
        <f>IFERROR(C136/E136,"")</f>
        <v/>
      </c>
      <c r="I136" s="394">
        <f>IFERROR(C136/D136*1000,"")</f>
        <v/>
      </c>
      <c r="J136" s="393">
        <f>IFERROR(F136/E136,"")</f>
        <v/>
      </c>
      <c r="K136" s="394">
        <f>IFERROR(C136/F136,"")</f>
        <v/>
      </c>
      <c r="L136" s="399">
        <f>IF(COUNTIFS(日次入力!A:A,"&gt;="&amp;DATE(2026,6,16),日次入力!A:A,"&lt;="&amp;DATE(2026,6,22),日次入力!C:C,"広告外")=0,"",SUMIFS(日次入力!H:H,日次入力!A:A,"&gt;="&amp;DATE(2026,6,16),日次入力!A:A,"&lt;="&amp;DATE(2026,6,22),日次入力!C:C,"広告外"))</f>
        <v/>
      </c>
      <c r="M136" s="393">
        <f>IF(L136="","",IFERROR(L136/F136,""))</f>
        <v/>
      </c>
      <c r="N136" s="399">
        <f>IF(COUNTIFS(日次入力!A:A,"&gt;="&amp;DATE(2026,6,16),日次入力!A:A,"&lt;="&amp;DATE(2026,6,22),日次入力!C:C,"広告外")=0,"",SUMIFS(日次入力!I:I,日次入力!A:A,"&gt;="&amp;DATE(2026,6,16),日次入力!A:A,"&lt;="&amp;DATE(2026,6,22),日次入力!C:C,"広告外"))</f>
        <v/>
      </c>
      <c r="O136" s="393">
        <f>IF(N136="","",IFERROR(N136/L136,""))</f>
        <v/>
      </c>
      <c r="P136" s="394">
        <f>IF(N136=0,"",IFERROR(C136/N136,""))</f>
        <v/>
      </c>
      <c r="Q136" s="395">
        <f>IF(N136=0,"",IFERROR(IF(C136/N136&lt;=用語集!$B$23,"◎ 許容内","✗ 超過"),"—"))</f>
        <v/>
      </c>
      <c r="R136" s="396">
        <f>IFERROR(用語集!$B$23/P136,"")</f>
        <v/>
      </c>
    </row>
    <row r="137">
      <c r="A137" s="389" t="inlineStr">
        <is>
          <t>W12</t>
        </is>
      </c>
      <c r="B137" s="390" t="inlineStr">
        <is>
          <t>6/23–6/29</t>
        </is>
      </c>
      <c r="C137" s="408" t="inlineStr">
        <is>
          <t>—</t>
        </is>
      </c>
      <c r="D137" s="408" t="inlineStr">
        <is>
          <t>—</t>
        </is>
      </c>
      <c r="E137" s="408" t="inlineStr">
        <is>
          <t>—</t>
        </is>
      </c>
      <c r="F137" s="399">
        <f>IF(COUNTIFS(日次入力!A:A,"&gt;="&amp;DATE(2026,6,23),日次入力!A:A,"&lt;="&amp;DATE(2026,6,29),日次入力!C:C,"広告外")=0,"",SUMIFS(日次入力!G:G,日次入力!A:A,"&gt;="&amp;DATE(2026,6,23),日次入力!A:A,"&lt;="&amp;DATE(2026,6,29),日次入力!C:C,"広告外"))</f>
        <v/>
      </c>
      <c r="G137" s="393">
        <f>IFERROR(E137/D137,"")</f>
        <v/>
      </c>
      <c r="H137" s="394">
        <f>IFERROR(C137/E137,"")</f>
        <v/>
      </c>
      <c r="I137" s="394">
        <f>IFERROR(C137/D137*1000,"")</f>
        <v/>
      </c>
      <c r="J137" s="393">
        <f>IFERROR(F137/E137,"")</f>
        <v/>
      </c>
      <c r="K137" s="394">
        <f>IFERROR(C137/F137,"")</f>
        <v/>
      </c>
      <c r="L137" s="399">
        <f>IF(COUNTIFS(日次入力!A:A,"&gt;="&amp;DATE(2026,6,23),日次入力!A:A,"&lt;="&amp;DATE(2026,6,29),日次入力!C:C,"広告外")=0,"",SUMIFS(日次入力!H:H,日次入力!A:A,"&gt;="&amp;DATE(2026,6,23),日次入力!A:A,"&lt;="&amp;DATE(2026,6,29),日次入力!C:C,"広告外"))</f>
        <v/>
      </c>
      <c r="M137" s="393">
        <f>IF(L137="","",IFERROR(L137/F137,""))</f>
        <v/>
      </c>
      <c r="N137" s="399">
        <f>IF(COUNTIFS(日次入力!A:A,"&gt;="&amp;DATE(2026,6,23),日次入力!A:A,"&lt;="&amp;DATE(2026,6,29),日次入力!C:C,"広告外")=0,"",SUMIFS(日次入力!I:I,日次入力!A:A,"&gt;="&amp;DATE(2026,6,23),日次入力!A:A,"&lt;="&amp;DATE(2026,6,29),日次入力!C:C,"広告外"))</f>
        <v/>
      </c>
      <c r="O137" s="393">
        <f>IF(N137="","",IFERROR(N137/L137,""))</f>
        <v/>
      </c>
      <c r="P137" s="394">
        <f>IF(N137=0,"",IFERROR(C137/N137,""))</f>
        <v/>
      </c>
      <c r="Q137" s="395">
        <f>IF(N137=0,"",IFERROR(IF(C137/N137&lt;=用語集!$B$23,"◎ 許容内","✗ 超過"),"—"))</f>
        <v/>
      </c>
      <c r="R137" s="396">
        <f>IFERROR(用語集!$B$23/P137,"")</f>
        <v/>
      </c>
    </row>
    <row r="138">
      <c r="A138" s="389" t="inlineStr">
        <is>
          <t>W13</t>
        </is>
      </c>
      <c r="B138" s="390" t="inlineStr">
        <is>
          <t>6/30–7/6</t>
        </is>
      </c>
      <c r="C138" s="408" t="inlineStr">
        <is>
          <t>—</t>
        </is>
      </c>
      <c r="D138" s="408" t="inlineStr">
        <is>
          <t>—</t>
        </is>
      </c>
      <c r="E138" s="408" t="inlineStr">
        <is>
          <t>—</t>
        </is>
      </c>
      <c r="F138" s="399">
        <f>IF(COUNTIFS(日次入力!A:A,"&gt;="&amp;DATE(2026,6,30),日次入力!A:A,"&lt;="&amp;DATE(2026,7,6),日次入力!C:C,"広告外")=0,"",SUMIFS(日次入力!G:G,日次入力!A:A,"&gt;="&amp;DATE(2026,6,30),日次入力!A:A,"&lt;="&amp;DATE(2026,7,6),日次入力!C:C,"広告外"))</f>
        <v/>
      </c>
      <c r="G138" s="393">
        <f>IFERROR(E138/D138,"")</f>
        <v/>
      </c>
      <c r="H138" s="394">
        <f>IFERROR(C138/E138,"")</f>
        <v/>
      </c>
      <c r="I138" s="394">
        <f>IFERROR(C138/D138*1000,"")</f>
        <v/>
      </c>
      <c r="J138" s="393">
        <f>IFERROR(F138/E138,"")</f>
        <v/>
      </c>
      <c r="K138" s="394">
        <f>IFERROR(C138/F138,"")</f>
        <v/>
      </c>
      <c r="L138" s="399">
        <f>IF(COUNTIFS(日次入力!A:A,"&gt;="&amp;DATE(2026,6,30),日次入力!A:A,"&lt;="&amp;DATE(2026,7,6),日次入力!C:C,"広告外")=0,"",SUMIFS(日次入力!H:H,日次入力!A:A,"&gt;="&amp;DATE(2026,6,30),日次入力!A:A,"&lt;="&amp;DATE(2026,7,6),日次入力!C:C,"広告外"))</f>
        <v/>
      </c>
      <c r="M138" s="393">
        <f>IF(L138="","",IFERROR(L138/F138,""))</f>
        <v/>
      </c>
      <c r="N138" s="399">
        <f>IF(COUNTIFS(日次入力!A:A,"&gt;="&amp;DATE(2026,6,30),日次入力!A:A,"&lt;="&amp;DATE(2026,7,6),日次入力!C:C,"広告外")=0,"",SUMIFS(日次入力!I:I,日次入力!A:A,"&gt;="&amp;DATE(2026,6,30),日次入力!A:A,"&lt;="&amp;DATE(2026,7,6),日次入力!C:C,"広告外"))</f>
        <v/>
      </c>
      <c r="O138" s="393">
        <f>IF(N138="","",IFERROR(N138/L138,""))</f>
        <v/>
      </c>
      <c r="P138" s="394">
        <f>IF(N138=0,"",IFERROR(C138/N138,""))</f>
        <v/>
      </c>
      <c r="Q138" s="395">
        <f>IF(N138=0,"",IFERROR(IF(C138/N138&lt;=用語集!$B$23,"◎ 許容内","✗ 超過"),"—"))</f>
        <v/>
      </c>
      <c r="R138" s="396">
        <f>IFERROR(用語集!$B$23/P138,"")</f>
        <v/>
      </c>
    </row>
    <row r="139">
      <c r="A139" s="400" t="inlineStr">
        <is>
          <t>合計</t>
        </is>
      </c>
      <c r="B139" s="401" t="inlineStr"/>
      <c r="C139" s="402">
        <f>SUM(C125:C138)</f>
        <v/>
      </c>
      <c r="D139" s="403">
        <f>SUM(D125:D138)</f>
        <v/>
      </c>
      <c r="E139" s="403">
        <f>SUM(E125:E138)</f>
        <v/>
      </c>
      <c r="F139" s="403">
        <f>SUM(F125:F138)</f>
        <v/>
      </c>
      <c r="G139" s="404">
        <f>IFERROR(E139/D139,"")</f>
        <v/>
      </c>
      <c r="H139" s="402">
        <f>IFERROR(C139/E139,"")</f>
        <v/>
      </c>
      <c r="I139" s="402">
        <f>IFERROR(C139/D139*1000,"")</f>
        <v/>
      </c>
      <c r="J139" s="404">
        <f>IFERROR(F139/D139,"")</f>
        <v/>
      </c>
      <c r="K139" s="402">
        <f>IFERROR(C139/F139,"")</f>
        <v/>
      </c>
      <c r="L139" s="403">
        <f>SUM(L125:L138)</f>
        <v/>
      </c>
      <c r="M139" s="404">
        <f>IF(L139=0,"",IFERROR(L139/F139,""))</f>
        <v/>
      </c>
      <c r="N139" s="403">
        <f>SUM(N125:N138)</f>
        <v/>
      </c>
      <c r="O139" s="404">
        <f>IF(L139=0,"",IFERROR(N139/L139,""))</f>
        <v/>
      </c>
      <c r="P139" s="402">
        <f>IF(N139=0,"",IFERROR(C139/N139,""))</f>
        <v/>
      </c>
      <c r="Q139" s="400">
        <f>IF(N139=0,"",IFERROR(IF(C139/N139&lt;=用語集!$B$23,"◎ 許容内","✗ 超過"),"—"))</f>
        <v/>
      </c>
      <c r="R139" s="405">
        <f>IFERROR(用語集!$B$23/P139,"")</f>
        <v/>
      </c>
    </row>
  </sheetData>
  <mergeCells count="10">
    <mergeCell ref="A21:R21"/>
    <mergeCell ref="A72:R72"/>
    <mergeCell ref="A55:R55"/>
    <mergeCell ref="A38:R38"/>
    <mergeCell ref="A2:R2"/>
    <mergeCell ref="A123:R123"/>
    <mergeCell ref="A1:R1"/>
    <mergeCell ref="A106:R106"/>
    <mergeCell ref="A89:R89"/>
    <mergeCell ref="A4:R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21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style="68" min="1" max="1"/>
    <col width="11" customWidth="1" style="68" min="2" max="2"/>
    <col width="11" customWidth="1" style="68" min="3" max="3"/>
    <col width="9" customWidth="1" style="68" min="4" max="4"/>
    <col width="9" customWidth="1" style="68" min="5" max="5"/>
    <col width="7" customWidth="1" style="68" min="6" max="6"/>
    <col width="8" customWidth="1" style="68" min="7" max="7"/>
    <col width="8" customWidth="1" style="68" min="8" max="8"/>
    <col width="8" customWidth="1" style="68" min="9" max="9"/>
    <col width="8" customWidth="1" style="68" min="10" max="10"/>
    <col width="9" customWidth="1" style="68" min="11" max="11"/>
    <col width="8" customWidth="1" style="68" min="12" max="12"/>
    <col width="8" customWidth="1" style="68" min="13" max="13"/>
    <col width="8" customWidth="1" style="68" min="14" max="14"/>
    <col width="9" customWidth="1" style="68" min="15" max="15"/>
    <col width="11" customWidth="1" style="68" min="16" max="16"/>
    <col width="10" customWidth="1" style="68" min="17" max="17"/>
    <col width="9" customWidth="1" style="68" min="18" max="18"/>
    <col width="8" customWidth="1" style="68" min="19" max="19"/>
    <col width="9" customWidth="1" style="68" min="20" max="20"/>
    <col width="8" customWidth="1" style="68" min="21" max="21"/>
    <col width="8" customWidth="1" style="68" min="22" max="22"/>
  </cols>
  <sheetData>
    <row r="1">
      <c r="A1" s="385" t="inlineStr">
        <is>
          <t>全体集計（週次）── 広告ファネル（広告経由のみ） と 全体成果（広告＋広告外）</t>
        </is>
      </c>
      <c r="B1" s="162" t="n"/>
      <c r="C1" s="162" t="n"/>
      <c r="D1" s="162" t="n"/>
      <c r="E1" s="162" t="n"/>
      <c r="F1" s="162" t="n"/>
      <c r="G1" s="162" t="n"/>
      <c r="H1" s="162" t="n"/>
      <c r="I1" s="162" t="n"/>
      <c r="J1" s="162" t="n"/>
      <c r="K1" s="162" t="n"/>
      <c r="L1" s="162" t="n"/>
      <c r="M1" s="162" t="n"/>
      <c r="N1" s="162" t="n"/>
      <c r="O1" s="162" t="n"/>
      <c r="P1" s="162" t="n"/>
      <c r="Q1" s="162" t="n"/>
      <c r="R1" s="162" t="n"/>
      <c r="S1" s="162" t="n"/>
      <c r="T1" s="162" t="n"/>
      <c r="U1" s="162" t="n"/>
      <c r="V1" s="163" t="n"/>
    </row>
    <row r="2">
      <c r="A2" s="386" t="inlineStr">
        <is>
          <t>左＝広告経由のみ（商談化率・成約率・CPL・広告CPAは広告効率）／右＝広告＋広告外の総数（事業成果）。すべて媒体別シートから自動集計。</t>
        </is>
      </c>
      <c r="B2" s="162" t="n"/>
      <c r="C2" s="162" t="n"/>
      <c r="D2" s="162" t="n"/>
      <c r="E2" s="162" t="n"/>
      <c r="F2" s="162" t="n"/>
      <c r="G2" s="162" t="n"/>
      <c r="H2" s="162" t="n"/>
      <c r="I2" s="162" t="n"/>
      <c r="J2" s="162" t="n"/>
      <c r="K2" s="162" t="n"/>
      <c r="L2" s="162" t="n"/>
      <c r="M2" s="162" t="n"/>
      <c r="N2" s="162" t="n"/>
      <c r="O2" s="162" t="n"/>
      <c r="P2" s="162" t="n"/>
      <c r="Q2" s="162" t="n"/>
      <c r="R2" s="162" t="n"/>
      <c r="S2" s="162" t="n"/>
      <c r="T2" s="162" t="n"/>
      <c r="U2" s="162" t="n"/>
      <c r="V2" s="163" t="n"/>
    </row>
    <row r="3">
      <c r="C3" s="410" t="inlineStr">
        <is>
          <t>◀ 広告ファネル（広告経由のみ）</t>
        </is>
      </c>
      <c r="D3" s="162" t="n"/>
      <c r="E3" s="162" t="n"/>
      <c r="F3" s="162" t="n"/>
      <c r="G3" s="162" t="n"/>
      <c r="H3" s="162" t="n"/>
      <c r="I3" s="162" t="n"/>
      <c r="J3" s="162" t="n"/>
      <c r="K3" s="162" t="n"/>
      <c r="L3" s="162" t="n"/>
      <c r="M3" s="162" t="n"/>
      <c r="N3" s="162" t="n"/>
      <c r="O3" s="162" t="n"/>
      <c r="P3" s="162" t="n"/>
      <c r="Q3" s="163" t="n"/>
      <c r="R3" s="411" t="inlineStr">
        <is>
          <t>全体成果（広告＋広告外）▶</t>
        </is>
      </c>
      <c r="S3" s="162" t="n"/>
      <c r="T3" s="162" t="n"/>
      <c r="U3" s="162" t="n"/>
      <c r="V3" s="163" t="n"/>
    </row>
    <row r="4" ht="30" customHeight="1" s="68">
      <c r="A4" s="141" t="inlineStr">
        <is>
          <t>週</t>
        </is>
      </c>
      <c r="B4" s="141" t="inlineStr">
        <is>
          <t>期間</t>
        </is>
      </c>
      <c r="C4" s="141" t="inlineStr">
        <is>
          <t>消費金額</t>
        </is>
      </c>
      <c r="D4" s="141" t="inlineStr">
        <is>
          <t>IMP</t>
        </is>
      </c>
      <c r="E4" s="141" t="inlineStr">
        <is>
          <t>クリック</t>
        </is>
      </c>
      <c r="F4" s="141" t="inlineStr">
        <is>
          <t>CV</t>
        </is>
      </c>
      <c r="G4" s="141" t="inlineStr">
        <is>
          <t>CPM</t>
        </is>
      </c>
      <c r="H4" s="141" t="inlineStr">
        <is>
          <t>CTR</t>
        </is>
      </c>
      <c r="I4" s="141" t="inlineStr">
        <is>
          <t>CPC</t>
        </is>
      </c>
      <c r="J4" s="141" t="inlineStr">
        <is>
          <t>CVR</t>
        </is>
      </c>
      <c r="K4" s="141" t="inlineStr">
        <is>
          <t>CPL</t>
        </is>
      </c>
      <c r="L4" s="141" t="inlineStr">
        <is>
          <t>広告商談</t>
        </is>
      </c>
      <c r="M4" s="141" t="inlineStr">
        <is>
          <t>商談化率</t>
        </is>
      </c>
      <c r="N4" s="141" t="inlineStr">
        <is>
          <t>広告成約</t>
        </is>
      </c>
      <c r="O4" s="141" t="inlineStr">
        <is>
          <t>広告成約率</t>
        </is>
      </c>
      <c r="P4" s="141" t="inlineStr">
        <is>
          <t>広告CPA</t>
        </is>
      </c>
      <c r="Q4" s="141" t="inlineStr">
        <is>
          <t>対許容CPA</t>
        </is>
      </c>
      <c r="R4" s="141" t="inlineStr">
        <is>
          <t>広告外商談</t>
        </is>
      </c>
      <c r="S4" s="141" t="inlineStr">
        <is>
          <t>総商談</t>
        </is>
      </c>
      <c r="T4" s="141" t="inlineStr">
        <is>
          <t>広告外成約</t>
        </is>
      </c>
      <c r="U4" s="141" t="inlineStr">
        <is>
          <t>総成約</t>
        </is>
      </c>
      <c r="V4" s="141" t="inlineStr">
        <is>
          <t>総成約率</t>
        </is>
      </c>
    </row>
    <row r="5">
      <c r="A5" s="406" t="inlineStr">
        <is>
          <t>開始前</t>
        </is>
      </c>
      <c r="B5" s="407" t="inlineStr">
        <is>
          <t>〜4/6</t>
        </is>
      </c>
      <c r="C5" s="394" t="n"/>
      <c r="D5" s="397" t="n"/>
      <c r="E5" s="397" t="n"/>
      <c r="F5" s="397" t="n"/>
      <c r="G5" s="394">
        <f>IFERROR(C5/D5*1000,"")</f>
        <v/>
      </c>
      <c r="H5" s="393">
        <f>IFERROR(E5/D5,"")</f>
        <v/>
      </c>
      <c r="I5" s="394">
        <f>IFERROR(C5/E5,"")</f>
        <v/>
      </c>
      <c r="J5" s="393">
        <f>IFERROR(F5/E5,"")</f>
        <v/>
      </c>
      <c r="K5" s="394">
        <f>IFERROR(C5/F5,"")</f>
        <v/>
      </c>
      <c r="L5" s="397" t="n"/>
      <c r="M5" s="393">
        <f>IF(L5=0,"",IFERROR(L5/F5,""))</f>
        <v/>
      </c>
      <c r="N5" s="397" t="n"/>
      <c r="O5" s="393">
        <f>IF(L5=0,"",IFERROR(N5/L5,""))</f>
        <v/>
      </c>
      <c r="P5" s="394">
        <f>IF(N5=0,"",C5/N5)</f>
        <v/>
      </c>
      <c r="Q5" s="389">
        <f>IF(N5=0,"",IF(C5/N5&lt;=用語集!$B$23,"◎ 許容内","✗ 超過"))</f>
        <v/>
      </c>
      <c r="R5" s="397">
        <f>週次_媒体別CP!L125</f>
        <v/>
      </c>
      <c r="S5" s="397">
        <f>L5+R5</f>
        <v/>
      </c>
      <c r="T5" s="397">
        <f>週次_媒体別CP!N125</f>
        <v/>
      </c>
      <c r="U5" s="397">
        <f>N5+T5</f>
        <v/>
      </c>
      <c r="V5" s="393">
        <f>IF(S5=0,"",IFERROR(U5/S5,""))</f>
        <v/>
      </c>
    </row>
    <row r="6">
      <c r="A6" s="389" t="inlineStr">
        <is>
          <t>W1</t>
        </is>
      </c>
      <c r="B6" s="390" t="inlineStr">
        <is>
          <t>4/7–4/13</t>
        </is>
      </c>
      <c r="C6" s="394">
        <f>SUM(週次_媒体別CP!C6,週次_媒体別CP!C23,週次_媒体別CP!C40,週次_媒体別CP!C57,週次_媒体別CP!C74,週次_媒体別CP!C91,週次_媒体別CP!C108)</f>
        <v/>
      </c>
      <c r="D6" s="397">
        <f>SUM(週次_媒体別CP!D6,週次_媒体別CP!D23,週次_媒体別CP!D40,週次_媒体別CP!D57,週次_媒体別CP!D74,週次_媒体別CP!D91,週次_媒体別CP!D108)</f>
        <v/>
      </c>
      <c r="E6" s="397">
        <f>SUM(週次_媒体別CP!E6,週次_媒体別CP!E23,週次_媒体別CP!E40,週次_媒体別CP!E57,週次_媒体別CP!E74,週次_媒体別CP!E91,週次_媒体別CP!E108)</f>
        <v/>
      </c>
      <c r="F6" s="397">
        <f>SUM(週次_媒体別CP!F6,週次_媒体別CP!F23,週次_媒体別CP!F40,週次_媒体別CP!F57,週次_媒体別CP!F74,週次_媒体別CP!F91,週次_媒体別CP!F108)</f>
        <v/>
      </c>
      <c r="G6" s="394">
        <f>IFERROR(C6/D6*1000,"")</f>
        <v/>
      </c>
      <c r="H6" s="393">
        <f>IFERROR(E6/D6,"")</f>
        <v/>
      </c>
      <c r="I6" s="394">
        <f>IFERROR(C6/E6,"")</f>
        <v/>
      </c>
      <c r="J6" s="393">
        <f>IFERROR(F6/E6,"")</f>
        <v/>
      </c>
      <c r="K6" s="394">
        <f>IFERROR(C6/F6,"")</f>
        <v/>
      </c>
      <c r="L6" s="397">
        <f>SUM(週次_媒体別CP!L6,週次_媒体別CP!L23,週次_媒体別CP!L40,週次_媒体別CP!L57,週次_媒体別CP!L74,週次_媒体別CP!L91,週次_媒体別CP!L108)</f>
        <v/>
      </c>
      <c r="M6" s="393">
        <f>IF(L6=0,"",IFERROR(L6/F6,""))</f>
        <v/>
      </c>
      <c r="N6" s="397">
        <f>SUM(週次_媒体別CP!N6,週次_媒体別CP!N23,週次_媒体別CP!N40,週次_媒体別CP!N57,週次_媒体別CP!N74,週次_媒体別CP!N91,週次_媒体別CP!N108)</f>
        <v/>
      </c>
      <c r="O6" s="393">
        <f>IF(L6=0,"",IFERROR(N6/L6,""))</f>
        <v/>
      </c>
      <c r="P6" s="394">
        <f>IF(N6=0,"",C6/N6)</f>
        <v/>
      </c>
      <c r="Q6" s="389">
        <f>IF(N6=0,"",IF(C6/N6&lt;=用語集!$B$23,"◎ 許容内","✗ 超過"))</f>
        <v/>
      </c>
      <c r="R6" s="397">
        <f>週次_媒体別CP!L126</f>
        <v/>
      </c>
      <c r="S6" s="397">
        <f>L6+R6</f>
        <v/>
      </c>
      <c r="T6" s="397">
        <f>週次_媒体別CP!N126</f>
        <v/>
      </c>
      <c r="U6" s="397">
        <f>N6+T6</f>
        <v/>
      </c>
      <c r="V6" s="393">
        <f>IF(S6=0,"",IFERROR(U6/S6,""))</f>
        <v/>
      </c>
    </row>
    <row r="7">
      <c r="A7" s="389" t="inlineStr">
        <is>
          <t>W2</t>
        </is>
      </c>
      <c r="B7" s="390" t="inlineStr">
        <is>
          <t>4/14–4/20</t>
        </is>
      </c>
      <c r="C7" s="394">
        <f>SUM(週次_媒体別CP!C7,週次_媒体別CP!C24,週次_媒体別CP!C41,週次_媒体別CP!C58,週次_媒体別CP!C75,週次_媒体別CP!C92,週次_媒体別CP!C109)</f>
        <v/>
      </c>
      <c r="D7" s="397">
        <f>SUM(週次_媒体別CP!D7,週次_媒体別CP!D24,週次_媒体別CP!D41,週次_媒体別CP!D58,週次_媒体別CP!D75,週次_媒体別CP!D92,週次_媒体別CP!D109)</f>
        <v/>
      </c>
      <c r="E7" s="397">
        <f>SUM(週次_媒体別CP!E7,週次_媒体別CP!E24,週次_媒体別CP!E41,週次_媒体別CP!E58,週次_媒体別CP!E75,週次_媒体別CP!E92,週次_媒体別CP!E109)</f>
        <v/>
      </c>
      <c r="F7" s="397">
        <f>SUM(週次_媒体別CP!F7,週次_媒体別CP!F24,週次_媒体別CP!F41,週次_媒体別CP!F58,週次_媒体別CP!F75,週次_媒体別CP!F92,週次_媒体別CP!F109)</f>
        <v/>
      </c>
      <c r="G7" s="394">
        <f>IFERROR(C7/D7*1000,"")</f>
        <v/>
      </c>
      <c r="H7" s="393">
        <f>IFERROR(E7/D7,"")</f>
        <v/>
      </c>
      <c r="I7" s="394">
        <f>IFERROR(C7/E7,"")</f>
        <v/>
      </c>
      <c r="J7" s="393">
        <f>IFERROR(F7/E7,"")</f>
        <v/>
      </c>
      <c r="K7" s="394">
        <f>IFERROR(C7/F7,"")</f>
        <v/>
      </c>
      <c r="L7" s="397">
        <f>SUM(週次_媒体別CP!L7,週次_媒体別CP!L24,週次_媒体別CP!L41,週次_媒体別CP!L58,週次_媒体別CP!L75,週次_媒体別CP!L92,週次_媒体別CP!L109)</f>
        <v/>
      </c>
      <c r="M7" s="393">
        <f>IF(L7=0,"",IFERROR(L7/F7,""))</f>
        <v/>
      </c>
      <c r="N7" s="397">
        <f>SUM(週次_媒体別CP!N7,週次_媒体別CP!N24,週次_媒体別CP!N41,週次_媒体別CP!N58,週次_媒体別CP!N75,週次_媒体別CP!N92,週次_媒体別CP!N109)</f>
        <v/>
      </c>
      <c r="O7" s="393">
        <f>IF(L7=0,"",IFERROR(N7/L7,""))</f>
        <v/>
      </c>
      <c r="P7" s="394">
        <f>IF(N7=0,"",C7/N7)</f>
        <v/>
      </c>
      <c r="Q7" s="389">
        <f>IF(N7=0,"",IF(C7/N7&lt;=用語集!$B$23,"◎ 許容内","✗ 超過"))</f>
        <v/>
      </c>
      <c r="R7" s="397">
        <f>週次_媒体別CP!L127</f>
        <v/>
      </c>
      <c r="S7" s="397">
        <f>L7+R7</f>
        <v/>
      </c>
      <c r="T7" s="397">
        <f>週次_媒体別CP!N127</f>
        <v/>
      </c>
      <c r="U7" s="397">
        <f>N7+T7</f>
        <v/>
      </c>
      <c r="V7" s="393">
        <f>IF(S7=0,"",IFERROR(U7/S7,""))</f>
        <v/>
      </c>
    </row>
    <row r="8">
      <c r="A8" s="389" t="inlineStr">
        <is>
          <t>W3</t>
        </is>
      </c>
      <c r="B8" s="390" t="inlineStr">
        <is>
          <t>4/21–4/27</t>
        </is>
      </c>
      <c r="C8" s="394">
        <f>SUM(週次_媒体別CP!C8,週次_媒体別CP!C25,週次_媒体別CP!C42,週次_媒体別CP!C59,週次_媒体別CP!C76,週次_媒体別CP!C93,週次_媒体別CP!C110)</f>
        <v/>
      </c>
      <c r="D8" s="397">
        <f>SUM(週次_媒体別CP!D8,週次_媒体別CP!D25,週次_媒体別CP!D42,週次_媒体別CP!D59,週次_媒体別CP!D76,週次_媒体別CP!D93,週次_媒体別CP!D110)</f>
        <v/>
      </c>
      <c r="E8" s="397">
        <f>SUM(週次_媒体別CP!E8,週次_媒体別CP!E25,週次_媒体別CP!E42,週次_媒体別CP!E59,週次_媒体別CP!E76,週次_媒体別CP!E93,週次_媒体別CP!E110)</f>
        <v/>
      </c>
      <c r="F8" s="397">
        <f>SUM(週次_媒体別CP!F8,週次_媒体別CP!F25,週次_媒体別CP!F42,週次_媒体別CP!F59,週次_媒体別CP!F76,週次_媒体別CP!F93,週次_媒体別CP!F110)</f>
        <v/>
      </c>
      <c r="G8" s="394">
        <f>IFERROR(C8/D8*1000,"")</f>
        <v/>
      </c>
      <c r="H8" s="393">
        <f>IFERROR(E8/D8,"")</f>
        <v/>
      </c>
      <c r="I8" s="394">
        <f>IFERROR(C8/E8,"")</f>
        <v/>
      </c>
      <c r="J8" s="393">
        <f>IFERROR(F8/E8,"")</f>
        <v/>
      </c>
      <c r="K8" s="394">
        <f>IFERROR(C8/F8,"")</f>
        <v/>
      </c>
      <c r="L8" s="397">
        <f>SUM(週次_媒体別CP!L8,週次_媒体別CP!L25,週次_媒体別CP!L42,週次_媒体別CP!L59,週次_媒体別CP!L76,週次_媒体別CP!L93,週次_媒体別CP!L110)</f>
        <v/>
      </c>
      <c r="M8" s="393">
        <f>IF(L8=0,"",IFERROR(L8/F8,""))</f>
        <v/>
      </c>
      <c r="N8" s="397">
        <f>SUM(週次_媒体別CP!N8,週次_媒体別CP!N25,週次_媒体別CP!N42,週次_媒体別CP!N59,週次_媒体別CP!N76,週次_媒体別CP!N93,週次_媒体別CP!N110)</f>
        <v/>
      </c>
      <c r="O8" s="393">
        <f>IF(L8=0,"",IFERROR(N8/L8,""))</f>
        <v/>
      </c>
      <c r="P8" s="394">
        <f>IF(N8=0,"",C8/N8)</f>
        <v/>
      </c>
      <c r="Q8" s="389">
        <f>IF(N8=0,"",IF(C8/N8&lt;=用語集!$B$23,"◎ 許容内","✗ 超過"))</f>
        <v/>
      </c>
      <c r="R8" s="397">
        <f>週次_媒体別CP!L128</f>
        <v/>
      </c>
      <c r="S8" s="397">
        <f>L8+R8</f>
        <v/>
      </c>
      <c r="T8" s="397">
        <f>週次_媒体別CP!N128</f>
        <v/>
      </c>
      <c r="U8" s="397">
        <f>N8+T8</f>
        <v/>
      </c>
      <c r="V8" s="393">
        <f>IF(S8=0,"",IFERROR(U8/S8,""))</f>
        <v/>
      </c>
    </row>
    <row r="9">
      <c r="A9" s="389" t="inlineStr">
        <is>
          <t>W4</t>
        </is>
      </c>
      <c r="B9" s="390" t="inlineStr">
        <is>
          <t>4/28–5/4</t>
        </is>
      </c>
      <c r="C9" s="394">
        <f>SUM(週次_媒体別CP!C9,週次_媒体別CP!C26,週次_媒体別CP!C43,週次_媒体別CP!C60,週次_媒体別CP!C77,週次_媒体別CP!C94,週次_媒体別CP!C111)</f>
        <v/>
      </c>
      <c r="D9" s="397">
        <f>SUM(週次_媒体別CP!D9,週次_媒体別CP!D26,週次_媒体別CP!D43,週次_媒体別CP!D60,週次_媒体別CP!D77,週次_媒体別CP!D94,週次_媒体別CP!D111)</f>
        <v/>
      </c>
      <c r="E9" s="397">
        <f>SUM(週次_媒体別CP!E9,週次_媒体別CP!E26,週次_媒体別CP!E43,週次_媒体別CP!E60,週次_媒体別CP!E77,週次_媒体別CP!E94,週次_媒体別CP!E111)</f>
        <v/>
      </c>
      <c r="F9" s="397">
        <f>SUM(週次_媒体別CP!F9,週次_媒体別CP!F26,週次_媒体別CP!F43,週次_媒体別CP!F60,週次_媒体別CP!F77,週次_媒体別CP!F94,週次_媒体別CP!F111)</f>
        <v/>
      </c>
      <c r="G9" s="394">
        <f>IFERROR(C9/D9*1000,"")</f>
        <v/>
      </c>
      <c r="H9" s="393">
        <f>IFERROR(E9/D9,"")</f>
        <v/>
      </c>
      <c r="I9" s="394">
        <f>IFERROR(C9/E9,"")</f>
        <v/>
      </c>
      <c r="J9" s="393">
        <f>IFERROR(F9/E9,"")</f>
        <v/>
      </c>
      <c r="K9" s="394">
        <f>IFERROR(C9/F9,"")</f>
        <v/>
      </c>
      <c r="L9" s="397">
        <f>SUM(週次_媒体別CP!L9,週次_媒体別CP!L26,週次_媒体別CP!L43,週次_媒体別CP!L60,週次_媒体別CP!L77,週次_媒体別CP!L94,週次_媒体別CP!L111)</f>
        <v/>
      </c>
      <c r="M9" s="393">
        <f>IF(L9=0,"",IFERROR(L9/F9,""))</f>
        <v/>
      </c>
      <c r="N9" s="397">
        <f>SUM(週次_媒体別CP!N9,週次_媒体別CP!N26,週次_媒体別CP!N43,週次_媒体別CP!N60,週次_媒体別CP!N77,週次_媒体別CP!N94,週次_媒体別CP!N111)</f>
        <v/>
      </c>
      <c r="O9" s="393">
        <f>IF(L9=0,"",IFERROR(N9/L9,""))</f>
        <v/>
      </c>
      <c r="P9" s="394">
        <f>IF(N9=0,"",C9/N9)</f>
        <v/>
      </c>
      <c r="Q9" s="389">
        <f>IF(N9=0,"",IF(C9/N9&lt;=用語集!$B$23,"◎ 許容内","✗ 超過"))</f>
        <v/>
      </c>
      <c r="R9" s="397">
        <f>週次_媒体別CP!L129</f>
        <v/>
      </c>
      <c r="S9" s="397">
        <f>L9+R9</f>
        <v/>
      </c>
      <c r="T9" s="397">
        <f>週次_媒体別CP!N129</f>
        <v/>
      </c>
      <c r="U9" s="397">
        <f>N9+T9</f>
        <v/>
      </c>
      <c r="V9" s="393">
        <f>IF(S9=0,"",IFERROR(U9/S9,""))</f>
        <v/>
      </c>
    </row>
    <row r="10">
      <c r="A10" s="389" t="inlineStr">
        <is>
          <t>W5</t>
        </is>
      </c>
      <c r="B10" s="390" t="inlineStr">
        <is>
          <t>5/5–5/11</t>
        </is>
      </c>
      <c r="C10" s="394">
        <f>SUM(週次_媒体別CP!C10,週次_媒体別CP!C27,週次_媒体別CP!C44,週次_媒体別CP!C61,週次_媒体別CP!C78,週次_媒体別CP!C95,週次_媒体別CP!C112)</f>
        <v/>
      </c>
      <c r="D10" s="397">
        <f>SUM(週次_媒体別CP!D10,週次_媒体別CP!D27,週次_媒体別CP!D44,週次_媒体別CP!D61,週次_媒体別CP!D78,週次_媒体別CP!D95,週次_媒体別CP!D112)</f>
        <v/>
      </c>
      <c r="E10" s="397">
        <f>SUM(週次_媒体別CP!E10,週次_媒体別CP!E27,週次_媒体別CP!E44,週次_媒体別CP!E61,週次_媒体別CP!E78,週次_媒体別CP!E95,週次_媒体別CP!E112)</f>
        <v/>
      </c>
      <c r="F10" s="397">
        <f>SUM(週次_媒体別CP!F10,週次_媒体別CP!F27,週次_媒体別CP!F44,週次_媒体別CP!F61,週次_媒体別CP!F78,週次_媒体別CP!F95,週次_媒体別CP!F112)</f>
        <v/>
      </c>
      <c r="G10" s="394">
        <f>IFERROR(C10/D10*1000,"")</f>
        <v/>
      </c>
      <c r="H10" s="393">
        <f>IFERROR(E10/D10,"")</f>
        <v/>
      </c>
      <c r="I10" s="394">
        <f>IFERROR(C10/E10,"")</f>
        <v/>
      </c>
      <c r="J10" s="393">
        <f>IFERROR(F10/E10,"")</f>
        <v/>
      </c>
      <c r="K10" s="394">
        <f>IFERROR(C10/F10,"")</f>
        <v/>
      </c>
      <c r="L10" s="397">
        <f>SUM(週次_媒体別CP!L10,週次_媒体別CP!L27,週次_媒体別CP!L44,週次_媒体別CP!L61,週次_媒体別CP!L78,週次_媒体別CP!L95,週次_媒体別CP!L112)</f>
        <v/>
      </c>
      <c r="M10" s="393">
        <f>IF(L10=0,"",IFERROR(L10/F10,""))</f>
        <v/>
      </c>
      <c r="N10" s="397">
        <f>SUM(週次_媒体別CP!N10,週次_媒体別CP!N27,週次_媒体別CP!N44,週次_媒体別CP!N61,週次_媒体別CP!N78,週次_媒体別CP!N95,週次_媒体別CP!N112)</f>
        <v/>
      </c>
      <c r="O10" s="393">
        <f>IF(L10=0,"",IFERROR(N10/L10,""))</f>
        <v/>
      </c>
      <c r="P10" s="394">
        <f>IF(N10=0,"",C10/N10)</f>
        <v/>
      </c>
      <c r="Q10" s="389">
        <f>IF(N10=0,"",IF(C10/N10&lt;=用語集!$B$23,"◎ 許容内","✗ 超過"))</f>
        <v/>
      </c>
      <c r="R10" s="397">
        <f>週次_媒体別CP!L130</f>
        <v/>
      </c>
      <c r="S10" s="397">
        <f>L10+R10</f>
        <v/>
      </c>
      <c r="T10" s="397">
        <f>週次_媒体別CP!N130</f>
        <v/>
      </c>
      <c r="U10" s="397">
        <f>N10+T10</f>
        <v/>
      </c>
      <c r="V10" s="393">
        <f>IF(S10=0,"",IFERROR(U10/S10,""))</f>
        <v/>
      </c>
    </row>
    <row r="11">
      <c r="A11" s="389" t="inlineStr">
        <is>
          <t>W6</t>
        </is>
      </c>
      <c r="B11" s="390" t="inlineStr">
        <is>
          <t>5/12–5/18</t>
        </is>
      </c>
      <c r="C11" s="394">
        <f>SUM(週次_媒体別CP!C11,週次_媒体別CP!C28,週次_媒体別CP!C45,週次_媒体別CP!C62,週次_媒体別CP!C79,週次_媒体別CP!C96,週次_媒体別CP!C113)</f>
        <v/>
      </c>
      <c r="D11" s="397">
        <f>SUM(週次_媒体別CP!D11,週次_媒体別CP!D28,週次_媒体別CP!D45,週次_媒体別CP!D62,週次_媒体別CP!D79,週次_媒体別CP!D96,週次_媒体別CP!D113)</f>
        <v/>
      </c>
      <c r="E11" s="397">
        <f>SUM(週次_媒体別CP!E11,週次_媒体別CP!E28,週次_媒体別CP!E45,週次_媒体別CP!E62,週次_媒体別CP!E79,週次_媒体別CP!E96,週次_媒体別CP!E113)</f>
        <v/>
      </c>
      <c r="F11" s="397">
        <f>SUM(週次_媒体別CP!F11,週次_媒体別CP!F28,週次_媒体別CP!F45,週次_媒体別CP!F62,週次_媒体別CP!F79,週次_媒体別CP!F96,週次_媒体別CP!F113)</f>
        <v/>
      </c>
      <c r="G11" s="394">
        <f>IFERROR(C11/D11*1000,"")</f>
        <v/>
      </c>
      <c r="H11" s="393">
        <f>IFERROR(E11/D11,"")</f>
        <v/>
      </c>
      <c r="I11" s="394">
        <f>IFERROR(C11/E11,"")</f>
        <v/>
      </c>
      <c r="J11" s="393">
        <f>IFERROR(F11/E11,"")</f>
        <v/>
      </c>
      <c r="K11" s="394">
        <f>IFERROR(C11/F11,"")</f>
        <v/>
      </c>
      <c r="L11" s="397">
        <f>SUM(週次_媒体別CP!L11,週次_媒体別CP!L28,週次_媒体別CP!L45,週次_媒体別CP!L62,週次_媒体別CP!L79,週次_媒体別CP!L96,週次_媒体別CP!L113)</f>
        <v/>
      </c>
      <c r="M11" s="393">
        <f>IF(L11=0,"",IFERROR(L11/F11,""))</f>
        <v/>
      </c>
      <c r="N11" s="397">
        <f>SUM(週次_媒体別CP!N11,週次_媒体別CP!N28,週次_媒体別CP!N45,週次_媒体別CP!N62,週次_媒体別CP!N79,週次_媒体別CP!N96,週次_媒体別CP!N113)</f>
        <v/>
      </c>
      <c r="O11" s="393">
        <f>IF(L11=0,"",IFERROR(N11/L11,""))</f>
        <v/>
      </c>
      <c r="P11" s="394">
        <f>IF(N11=0,"",C11/N11)</f>
        <v/>
      </c>
      <c r="Q11" s="389">
        <f>IF(N11=0,"",IF(C11/N11&lt;=用語集!$B$23,"◎ 許容内","✗ 超過"))</f>
        <v/>
      </c>
      <c r="R11" s="397">
        <f>週次_媒体別CP!L131</f>
        <v/>
      </c>
      <c r="S11" s="397">
        <f>L11+R11</f>
        <v/>
      </c>
      <c r="T11" s="397">
        <f>週次_媒体別CP!N131</f>
        <v/>
      </c>
      <c r="U11" s="397">
        <f>N11+T11</f>
        <v/>
      </c>
      <c r="V11" s="393">
        <f>IF(S11=0,"",IFERROR(U11/S11,""))</f>
        <v/>
      </c>
    </row>
    <row r="12">
      <c r="A12" s="389" t="inlineStr">
        <is>
          <t>W7</t>
        </is>
      </c>
      <c r="B12" s="390" t="inlineStr">
        <is>
          <t>5/19–5/25</t>
        </is>
      </c>
      <c r="C12" s="394">
        <f>SUM(週次_媒体別CP!C12,週次_媒体別CP!C29,週次_媒体別CP!C46,週次_媒体別CP!C63,週次_媒体別CP!C80,週次_媒体別CP!C97,週次_媒体別CP!C114)</f>
        <v/>
      </c>
      <c r="D12" s="397">
        <f>SUM(週次_媒体別CP!D12,週次_媒体別CP!D29,週次_媒体別CP!D46,週次_媒体別CP!D63,週次_媒体別CP!D80,週次_媒体別CP!D97,週次_媒体別CP!D114)</f>
        <v/>
      </c>
      <c r="E12" s="397">
        <f>SUM(週次_媒体別CP!E12,週次_媒体別CP!E29,週次_媒体別CP!E46,週次_媒体別CP!E63,週次_媒体別CP!E80,週次_媒体別CP!E97,週次_媒体別CP!E114)</f>
        <v/>
      </c>
      <c r="F12" s="397">
        <f>SUM(週次_媒体別CP!F12,週次_媒体別CP!F29,週次_媒体別CP!F46,週次_媒体別CP!F63,週次_媒体別CP!F80,週次_媒体別CP!F97,週次_媒体別CP!F114)</f>
        <v/>
      </c>
      <c r="G12" s="394">
        <f>IFERROR(C12/D12*1000,"")</f>
        <v/>
      </c>
      <c r="H12" s="393">
        <f>IFERROR(E12/D12,"")</f>
        <v/>
      </c>
      <c r="I12" s="394">
        <f>IFERROR(C12/E12,"")</f>
        <v/>
      </c>
      <c r="J12" s="393">
        <f>IFERROR(F12/E12,"")</f>
        <v/>
      </c>
      <c r="K12" s="394">
        <f>IFERROR(C12/F12,"")</f>
        <v/>
      </c>
      <c r="L12" s="397">
        <f>SUM(週次_媒体別CP!L12,週次_媒体別CP!L29,週次_媒体別CP!L46,週次_媒体別CP!L63,週次_媒体別CP!L80,週次_媒体別CP!L97,週次_媒体別CP!L114)</f>
        <v/>
      </c>
      <c r="M12" s="393">
        <f>IF(L12=0,"",IFERROR(L12/F12,""))</f>
        <v/>
      </c>
      <c r="N12" s="397">
        <f>SUM(週次_媒体別CP!N12,週次_媒体別CP!N29,週次_媒体別CP!N46,週次_媒体別CP!N63,週次_媒体別CP!N80,週次_媒体別CP!N97,週次_媒体別CP!N114)</f>
        <v/>
      </c>
      <c r="O12" s="393">
        <f>IF(L12=0,"",IFERROR(N12/L12,""))</f>
        <v/>
      </c>
      <c r="P12" s="394">
        <f>IF(N12=0,"",C12/N12)</f>
        <v/>
      </c>
      <c r="Q12" s="389">
        <f>IF(N12=0,"",IF(C12/N12&lt;=用語集!$B$23,"◎ 許容内","✗ 超過"))</f>
        <v/>
      </c>
      <c r="R12" s="397">
        <f>週次_媒体別CP!L132</f>
        <v/>
      </c>
      <c r="S12" s="397">
        <f>L12+R12</f>
        <v/>
      </c>
      <c r="T12" s="397">
        <f>週次_媒体別CP!N132</f>
        <v/>
      </c>
      <c r="U12" s="397">
        <f>N12+T12</f>
        <v/>
      </c>
      <c r="V12" s="393">
        <f>IF(S12=0,"",IFERROR(U12/S12,""))</f>
        <v/>
      </c>
    </row>
    <row r="13">
      <c r="A13" s="389" t="inlineStr">
        <is>
          <t>W8</t>
        </is>
      </c>
      <c r="B13" s="390" t="inlineStr">
        <is>
          <t>5/26–6/1</t>
        </is>
      </c>
      <c r="C13" s="394">
        <f>SUM(週次_媒体別CP!C13,週次_媒体別CP!C30,週次_媒体別CP!C47,週次_媒体別CP!C64,週次_媒体別CP!C81,週次_媒体別CP!C98,週次_媒体別CP!C115)</f>
        <v/>
      </c>
      <c r="D13" s="397">
        <f>SUM(週次_媒体別CP!D13,週次_媒体別CP!D30,週次_媒体別CP!D47,週次_媒体別CP!D64,週次_媒体別CP!D81,週次_媒体別CP!D98,週次_媒体別CP!D115)</f>
        <v/>
      </c>
      <c r="E13" s="397">
        <f>SUM(週次_媒体別CP!E13,週次_媒体別CP!E30,週次_媒体別CP!E47,週次_媒体別CP!E64,週次_媒体別CP!E81,週次_媒体別CP!E98,週次_媒体別CP!E115)</f>
        <v/>
      </c>
      <c r="F13" s="397">
        <f>SUM(週次_媒体別CP!F13,週次_媒体別CP!F30,週次_媒体別CP!F47,週次_媒体別CP!F64,週次_媒体別CP!F81,週次_媒体別CP!F98,週次_媒体別CP!F115)</f>
        <v/>
      </c>
      <c r="G13" s="394">
        <f>IFERROR(C13/D13*1000,"")</f>
        <v/>
      </c>
      <c r="H13" s="393">
        <f>IFERROR(E13/D13,"")</f>
        <v/>
      </c>
      <c r="I13" s="394">
        <f>IFERROR(C13/E13,"")</f>
        <v/>
      </c>
      <c r="J13" s="393">
        <f>IFERROR(F13/E13,"")</f>
        <v/>
      </c>
      <c r="K13" s="394">
        <f>IFERROR(C13/F13,"")</f>
        <v/>
      </c>
      <c r="L13" s="397">
        <f>SUM(週次_媒体別CP!L13,週次_媒体別CP!L30,週次_媒体別CP!L47,週次_媒体別CP!L64,週次_媒体別CP!L81,週次_媒体別CP!L98,週次_媒体別CP!L115)</f>
        <v/>
      </c>
      <c r="M13" s="393">
        <f>IF(L13=0,"",IFERROR(L13/F13,""))</f>
        <v/>
      </c>
      <c r="N13" s="397">
        <f>SUM(週次_媒体別CP!N13,週次_媒体別CP!N30,週次_媒体別CP!N47,週次_媒体別CP!N64,週次_媒体別CP!N81,週次_媒体別CP!N98,週次_媒体別CP!N115)</f>
        <v/>
      </c>
      <c r="O13" s="393">
        <f>IF(L13=0,"",IFERROR(N13/L13,""))</f>
        <v/>
      </c>
      <c r="P13" s="394">
        <f>IF(N13=0,"",C13/N13)</f>
        <v/>
      </c>
      <c r="Q13" s="389">
        <f>IF(N13=0,"",IF(C13/N13&lt;=用語集!$B$23,"◎ 許容内","✗ 超過"))</f>
        <v/>
      </c>
      <c r="R13" s="397">
        <f>週次_媒体別CP!L133</f>
        <v/>
      </c>
      <c r="S13" s="397">
        <f>L13+R13</f>
        <v/>
      </c>
      <c r="T13" s="397">
        <f>週次_媒体別CP!N133</f>
        <v/>
      </c>
      <c r="U13" s="397">
        <f>N13+T13</f>
        <v/>
      </c>
      <c r="V13" s="393">
        <f>IF(S13=0,"",IFERROR(U13/S13,""))</f>
        <v/>
      </c>
    </row>
    <row r="14">
      <c r="A14" s="389" t="inlineStr">
        <is>
          <t>W9</t>
        </is>
      </c>
      <c r="B14" s="390" t="inlineStr">
        <is>
          <t>6/2–6/8</t>
        </is>
      </c>
      <c r="C14" s="394">
        <f>SUM(週次_媒体別CP!C14,週次_媒体別CP!C31,週次_媒体別CP!C48,週次_媒体別CP!C65,週次_媒体別CP!C82,週次_媒体別CP!C99,週次_媒体別CP!C116)</f>
        <v/>
      </c>
      <c r="D14" s="397">
        <f>SUM(週次_媒体別CP!D14,週次_媒体別CP!D31,週次_媒体別CP!D48,週次_媒体別CP!D65,週次_媒体別CP!D82,週次_媒体別CP!D99,週次_媒体別CP!D116)</f>
        <v/>
      </c>
      <c r="E14" s="397">
        <f>SUM(週次_媒体別CP!E14,週次_媒体別CP!E31,週次_媒体別CP!E48,週次_媒体別CP!E65,週次_媒体別CP!E82,週次_媒体別CP!E99,週次_媒体別CP!E116)</f>
        <v/>
      </c>
      <c r="F14" s="397">
        <f>SUM(週次_媒体別CP!F14,週次_媒体別CP!F31,週次_媒体別CP!F48,週次_媒体別CP!F65,週次_媒体別CP!F82,週次_媒体別CP!F99,週次_媒体別CP!F116)</f>
        <v/>
      </c>
      <c r="G14" s="394">
        <f>IFERROR(C14/D14*1000,"")</f>
        <v/>
      </c>
      <c r="H14" s="393">
        <f>IFERROR(E14/D14,"")</f>
        <v/>
      </c>
      <c r="I14" s="394">
        <f>IFERROR(C14/E14,"")</f>
        <v/>
      </c>
      <c r="J14" s="393">
        <f>IFERROR(F14/E14,"")</f>
        <v/>
      </c>
      <c r="K14" s="394">
        <f>IFERROR(C14/F14,"")</f>
        <v/>
      </c>
      <c r="L14" s="397">
        <f>SUM(週次_媒体別CP!L14,週次_媒体別CP!L31,週次_媒体別CP!L48,週次_媒体別CP!L65,週次_媒体別CP!L82,週次_媒体別CP!L99,週次_媒体別CP!L116)</f>
        <v/>
      </c>
      <c r="M14" s="393">
        <f>IF(L14=0,"",IFERROR(L14/F14,""))</f>
        <v/>
      </c>
      <c r="N14" s="397">
        <f>SUM(週次_媒体別CP!N14,週次_媒体別CP!N31,週次_媒体別CP!N48,週次_媒体別CP!N65,週次_媒体別CP!N82,週次_媒体別CP!N99,週次_媒体別CP!N116)</f>
        <v/>
      </c>
      <c r="O14" s="393">
        <f>IF(L14=0,"",IFERROR(N14/L14,""))</f>
        <v/>
      </c>
      <c r="P14" s="394">
        <f>IF(N14=0,"",C14/N14)</f>
        <v/>
      </c>
      <c r="Q14" s="389">
        <f>IF(N14=0,"",IF(C14/N14&lt;=用語集!$B$23,"◎ 許容内","✗ 超過"))</f>
        <v/>
      </c>
      <c r="R14" s="397">
        <f>週次_媒体別CP!L134</f>
        <v/>
      </c>
      <c r="S14" s="397">
        <f>L14+R14</f>
        <v/>
      </c>
      <c r="T14" s="397">
        <f>週次_媒体別CP!N134</f>
        <v/>
      </c>
      <c r="U14" s="397">
        <f>N14+T14</f>
        <v/>
      </c>
      <c r="V14" s="393">
        <f>IF(S14=0,"",IFERROR(U14/S14,""))</f>
        <v/>
      </c>
    </row>
    <row r="15">
      <c r="A15" s="389" t="inlineStr">
        <is>
          <t>W10</t>
        </is>
      </c>
      <c r="B15" s="390" t="inlineStr"/>
      <c r="C15" s="394">
        <f>SUM(週次_媒体別CP!C15,週次_媒体別CP!C32,週次_媒体別CP!C49,週次_媒体別CP!C66,週次_媒体別CP!C83,週次_媒体別CP!C100,週次_媒体別CP!C117)</f>
        <v/>
      </c>
      <c r="D15" s="397">
        <f>SUM(週次_媒体別CP!D15,週次_媒体別CP!D32,週次_媒体別CP!D49,週次_媒体別CP!D66,週次_媒体別CP!D83,週次_媒体別CP!D100,週次_媒体別CP!D117)</f>
        <v/>
      </c>
      <c r="E15" s="397">
        <f>SUM(週次_媒体別CP!E15,週次_媒体別CP!E32,週次_媒体別CP!E49,週次_媒体別CP!E66,週次_媒体別CP!E83,週次_媒体別CP!E100,週次_媒体別CP!E117)</f>
        <v/>
      </c>
      <c r="F15" s="397">
        <f>SUM(週次_媒体別CP!F15,週次_媒体別CP!F32,週次_媒体別CP!F49,週次_媒体別CP!F66,週次_媒体別CP!F83,週次_媒体別CP!F100,週次_媒体別CP!F117)</f>
        <v/>
      </c>
      <c r="G15" s="394">
        <f>IFERROR(C15/D15*1000,"")</f>
        <v/>
      </c>
      <c r="H15" s="393">
        <f>IFERROR(E15/D15,"")</f>
        <v/>
      </c>
      <c r="I15" s="394">
        <f>IFERROR(C15/E15,"")</f>
        <v/>
      </c>
      <c r="J15" s="393">
        <f>IFERROR(F15/E15,"")</f>
        <v/>
      </c>
      <c r="K15" s="394">
        <f>IFERROR(C15/F15,"")</f>
        <v/>
      </c>
      <c r="L15" s="397">
        <f>SUM(週次_媒体別CP!L15,週次_媒体別CP!L32,週次_媒体別CP!L49,週次_媒体別CP!L66,週次_媒体別CP!L83,週次_媒体別CP!L100,週次_媒体別CP!L117)</f>
        <v/>
      </c>
      <c r="M15" s="393">
        <f>IF(L15=0,"",IFERROR(L15/F15,""))</f>
        <v/>
      </c>
      <c r="N15" s="397">
        <f>SUM(週次_媒体別CP!N15,週次_媒体別CP!N32,週次_媒体別CP!N49,週次_媒体別CP!N66,週次_媒体別CP!N83,週次_媒体別CP!N100,週次_媒体別CP!N117)</f>
        <v/>
      </c>
      <c r="O15" s="393">
        <f>IF(L15=0,"",IFERROR(N15/L15,""))</f>
        <v/>
      </c>
      <c r="P15" s="394">
        <f>IF(N15=0,"",C15/N15)</f>
        <v/>
      </c>
      <c r="Q15" s="389">
        <f>IF(N15=0,"",IF(C15/N15&lt;=用語集!$B$23,"◎ 許容内","✗ 超過"))</f>
        <v/>
      </c>
      <c r="R15" s="397">
        <f>週次_媒体別CP!L135</f>
        <v/>
      </c>
      <c r="S15" s="397">
        <f>L15+R15</f>
        <v/>
      </c>
      <c r="T15" s="397">
        <f>週次_媒体別CP!N135</f>
        <v/>
      </c>
      <c r="U15" s="397">
        <f>N15+T15</f>
        <v/>
      </c>
      <c r="V15" s="393">
        <f>IF(S15=0,"",IFERROR(U15/S15,""))</f>
        <v/>
      </c>
    </row>
    <row r="16">
      <c r="A16" s="389" t="inlineStr">
        <is>
          <t>W11</t>
        </is>
      </c>
      <c r="B16" s="390" t="inlineStr"/>
      <c r="C16" s="394">
        <f>SUM(週次_媒体別CP!C16,週次_媒体別CP!C33,週次_媒体別CP!C50,週次_媒体別CP!C67,週次_媒体別CP!C84,週次_媒体別CP!C101,週次_媒体別CP!C118)</f>
        <v/>
      </c>
      <c r="D16" s="397">
        <f>SUM(週次_媒体別CP!D16,週次_媒体別CP!D33,週次_媒体別CP!D50,週次_媒体別CP!D67,週次_媒体別CP!D84,週次_媒体別CP!D101,週次_媒体別CP!D118)</f>
        <v/>
      </c>
      <c r="E16" s="397">
        <f>SUM(週次_媒体別CP!E16,週次_媒体別CP!E33,週次_媒体別CP!E50,週次_媒体別CP!E67,週次_媒体別CP!E84,週次_媒体別CP!E101,週次_媒体別CP!E118)</f>
        <v/>
      </c>
      <c r="F16" s="397">
        <f>SUM(週次_媒体別CP!F16,週次_媒体別CP!F33,週次_媒体別CP!F50,週次_媒体別CP!F67,週次_媒体別CP!F84,週次_媒体別CP!F101,週次_媒体別CP!F118)</f>
        <v/>
      </c>
      <c r="G16" s="394">
        <f>IFERROR(C16/D16*1000,"")</f>
        <v/>
      </c>
      <c r="H16" s="393">
        <f>IFERROR(E16/D16,"")</f>
        <v/>
      </c>
      <c r="I16" s="394">
        <f>IFERROR(C16/E16,"")</f>
        <v/>
      </c>
      <c r="J16" s="393">
        <f>IFERROR(F16/E16,"")</f>
        <v/>
      </c>
      <c r="K16" s="394">
        <f>IFERROR(C16/F16,"")</f>
        <v/>
      </c>
      <c r="L16" s="397">
        <f>SUM(週次_媒体別CP!L16,週次_媒体別CP!L33,週次_媒体別CP!L50,週次_媒体別CP!L67,週次_媒体別CP!L84,週次_媒体別CP!L101,週次_媒体別CP!L118)</f>
        <v/>
      </c>
      <c r="M16" s="393">
        <f>IF(L16=0,"",IFERROR(L16/F16,""))</f>
        <v/>
      </c>
      <c r="N16" s="397">
        <f>SUM(週次_媒体別CP!N16,週次_媒体別CP!N33,週次_媒体別CP!N50,週次_媒体別CP!N67,週次_媒体別CP!N84,週次_媒体別CP!N101,週次_媒体別CP!N118)</f>
        <v/>
      </c>
      <c r="O16" s="393">
        <f>IF(L16=0,"",IFERROR(N16/L16,""))</f>
        <v/>
      </c>
      <c r="P16" s="394">
        <f>IF(N16=0,"",C16/N16)</f>
        <v/>
      </c>
      <c r="Q16" s="389">
        <f>IF(N16=0,"",IF(C16/N16&lt;=用語集!$B$23,"◎ 許容内","✗ 超過"))</f>
        <v/>
      </c>
      <c r="R16" s="397">
        <f>週次_媒体別CP!L136</f>
        <v/>
      </c>
      <c r="S16" s="397">
        <f>L16+R16</f>
        <v/>
      </c>
      <c r="T16" s="397">
        <f>週次_媒体別CP!N136</f>
        <v/>
      </c>
      <c r="U16" s="397">
        <f>N16+T16</f>
        <v/>
      </c>
      <c r="V16" s="393">
        <f>IF(S16=0,"",IFERROR(U16/S16,""))</f>
        <v/>
      </c>
    </row>
    <row r="17">
      <c r="A17" s="389" t="inlineStr">
        <is>
          <t>W12</t>
        </is>
      </c>
      <c r="B17" s="390" t="inlineStr"/>
      <c r="C17" s="394">
        <f>SUM(週次_媒体別CP!C17,週次_媒体別CP!C34,週次_媒体別CP!C51,週次_媒体別CP!C68,週次_媒体別CP!C85,週次_媒体別CP!C102,週次_媒体別CP!C119)</f>
        <v/>
      </c>
      <c r="D17" s="397">
        <f>SUM(週次_媒体別CP!D17,週次_媒体別CP!D34,週次_媒体別CP!D51,週次_媒体別CP!D68,週次_媒体別CP!D85,週次_媒体別CP!D102,週次_媒体別CP!D119)</f>
        <v/>
      </c>
      <c r="E17" s="397">
        <f>SUM(週次_媒体別CP!E17,週次_媒体別CP!E34,週次_媒体別CP!E51,週次_媒体別CP!E68,週次_媒体別CP!E85,週次_媒体別CP!E102,週次_媒体別CP!E119)</f>
        <v/>
      </c>
      <c r="F17" s="397">
        <f>SUM(週次_媒体別CP!F17,週次_媒体別CP!F34,週次_媒体別CP!F51,週次_媒体別CP!F68,週次_媒体別CP!F85,週次_媒体別CP!F102,週次_媒体別CP!F119)</f>
        <v/>
      </c>
      <c r="G17" s="394">
        <f>IFERROR(C17/D17*1000,"")</f>
        <v/>
      </c>
      <c r="H17" s="393">
        <f>IFERROR(E17/D17,"")</f>
        <v/>
      </c>
      <c r="I17" s="394">
        <f>IFERROR(C17/E17,"")</f>
        <v/>
      </c>
      <c r="J17" s="393">
        <f>IFERROR(F17/E17,"")</f>
        <v/>
      </c>
      <c r="K17" s="394">
        <f>IFERROR(C17/F17,"")</f>
        <v/>
      </c>
      <c r="L17" s="397">
        <f>SUM(週次_媒体別CP!L17,週次_媒体別CP!L34,週次_媒体別CP!L51,週次_媒体別CP!L68,週次_媒体別CP!L85,週次_媒体別CP!L102,週次_媒体別CP!L119)</f>
        <v/>
      </c>
      <c r="M17" s="393">
        <f>IF(L17=0,"",IFERROR(L17/F17,""))</f>
        <v/>
      </c>
      <c r="N17" s="397">
        <f>SUM(週次_媒体別CP!N17,週次_媒体別CP!N34,週次_媒体別CP!N51,週次_媒体別CP!N68,週次_媒体別CP!N85,週次_媒体別CP!N102,週次_媒体別CP!N119)</f>
        <v/>
      </c>
      <c r="O17" s="393">
        <f>IF(L17=0,"",IFERROR(N17/L17,""))</f>
        <v/>
      </c>
      <c r="P17" s="394">
        <f>IF(N17=0,"",C17/N17)</f>
        <v/>
      </c>
      <c r="Q17" s="389">
        <f>IF(N17=0,"",IF(C17/N17&lt;=用語集!$B$23,"◎ 許容内","✗ 超過"))</f>
        <v/>
      </c>
      <c r="R17" s="397">
        <f>週次_媒体別CP!L137</f>
        <v/>
      </c>
      <c r="S17" s="397">
        <f>L17+R17</f>
        <v/>
      </c>
      <c r="T17" s="397">
        <f>週次_媒体別CP!N137</f>
        <v/>
      </c>
      <c r="U17" s="397">
        <f>N17+T17</f>
        <v/>
      </c>
      <c r="V17" s="393">
        <f>IF(S17=0,"",IFERROR(U17/S17,""))</f>
        <v/>
      </c>
    </row>
    <row r="18">
      <c r="A18" s="389" t="inlineStr">
        <is>
          <t>W13</t>
        </is>
      </c>
      <c r="B18" s="390" t="inlineStr"/>
      <c r="C18" s="394">
        <f>SUM(週次_媒体別CP!C18,週次_媒体別CP!C35,週次_媒体別CP!C52,週次_媒体別CP!C69,週次_媒体別CP!C86,週次_媒体別CP!C103,週次_媒体別CP!C120)</f>
        <v/>
      </c>
      <c r="D18" s="397">
        <f>SUM(週次_媒体別CP!D18,週次_媒体別CP!D35,週次_媒体別CP!D52,週次_媒体別CP!D69,週次_媒体別CP!D86,週次_媒体別CP!D103,週次_媒体別CP!D120)</f>
        <v/>
      </c>
      <c r="E18" s="397">
        <f>SUM(週次_媒体別CP!E18,週次_媒体別CP!E35,週次_媒体別CP!E52,週次_媒体別CP!E69,週次_媒体別CP!E86,週次_媒体別CP!E103,週次_媒体別CP!E120)</f>
        <v/>
      </c>
      <c r="F18" s="397">
        <f>SUM(週次_媒体別CP!F18,週次_媒体別CP!F35,週次_媒体別CP!F52,週次_媒体別CP!F69,週次_媒体別CP!F86,週次_媒体別CP!F103,週次_媒体別CP!F120)</f>
        <v/>
      </c>
      <c r="G18" s="394">
        <f>IFERROR(C18/D18*1000,"")</f>
        <v/>
      </c>
      <c r="H18" s="393">
        <f>IFERROR(E18/D18,"")</f>
        <v/>
      </c>
      <c r="I18" s="394">
        <f>IFERROR(C18/E18,"")</f>
        <v/>
      </c>
      <c r="J18" s="393">
        <f>IFERROR(F18/E18,"")</f>
        <v/>
      </c>
      <c r="K18" s="394">
        <f>IFERROR(C18/F18,"")</f>
        <v/>
      </c>
      <c r="L18" s="397">
        <f>SUM(週次_媒体別CP!L18,週次_媒体別CP!L35,週次_媒体別CP!L52,週次_媒体別CP!L69,週次_媒体別CP!L86,週次_媒体別CP!L103,週次_媒体別CP!L120)</f>
        <v/>
      </c>
      <c r="M18" s="393">
        <f>IF(L18=0,"",IFERROR(L18/F18,""))</f>
        <v/>
      </c>
      <c r="N18" s="397">
        <f>SUM(週次_媒体別CP!N18,週次_媒体別CP!N35,週次_媒体別CP!N52,週次_媒体別CP!N69,週次_媒体別CP!N86,週次_媒体別CP!N103,週次_媒体別CP!N120)</f>
        <v/>
      </c>
      <c r="O18" s="393">
        <f>IF(L18=0,"",IFERROR(N18/L18,""))</f>
        <v/>
      </c>
      <c r="P18" s="394">
        <f>IF(N18=0,"",C18/N18)</f>
        <v/>
      </c>
      <c r="Q18" s="389">
        <f>IF(N18=0,"",IF(C18/N18&lt;=用語集!$B$23,"◎ 許容内","✗ 超過"))</f>
        <v/>
      </c>
      <c r="R18" s="397">
        <f>週次_媒体別CP!L138</f>
        <v/>
      </c>
      <c r="S18" s="397">
        <f>L18+R18</f>
        <v/>
      </c>
      <c r="T18" s="397">
        <f>週次_媒体別CP!N138</f>
        <v/>
      </c>
      <c r="U18" s="397">
        <f>N18+T18</f>
        <v/>
      </c>
      <c r="V18" s="393">
        <f>IF(S18=0,"",IFERROR(U18/S18,""))</f>
        <v/>
      </c>
    </row>
    <row r="19">
      <c r="A19" s="412" t="inlineStr">
        <is>
          <t>累計</t>
        </is>
      </c>
      <c r="B19" s="413" t="inlineStr"/>
      <c r="C19" s="414">
        <f>SUM(C5:C18)</f>
        <v/>
      </c>
      <c r="D19" s="415">
        <f>SUM(D5:D18)</f>
        <v/>
      </c>
      <c r="E19" s="415">
        <f>SUM(E5:E18)</f>
        <v/>
      </c>
      <c r="F19" s="415">
        <f>SUM(F5:F18)</f>
        <v/>
      </c>
      <c r="G19" s="414">
        <f>IFERROR(C19/D19*1000,"")</f>
        <v/>
      </c>
      <c r="H19" s="416">
        <f>IFERROR(E19/D19,"")</f>
        <v/>
      </c>
      <c r="I19" s="414">
        <f>IFERROR(C19/E19,"")</f>
        <v/>
      </c>
      <c r="J19" s="416">
        <f>IFERROR(F19/E19,"")</f>
        <v/>
      </c>
      <c r="K19" s="414">
        <f>IFERROR(C19/F19,"")</f>
        <v/>
      </c>
      <c r="L19" s="415">
        <f>SUM(L5:L18)</f>
        <v/>
      </c>
      <c r="M19" s="416">
        <f>IF(L19=0,"",IFERROR(L19/F19,""))</f>
        <v/>
      </c>
      <c r="N19" s="415">
        <f>SUM(N5:N18)</f>
        <v/>
      </c>
      <c r="O19" s="416">
        <f>IF(L19=0,"",IFERROR(N19/L19,""))</f>
        <v/>
      </c>
      <c r="P19" s="414">
        <f>IF(N19=0,"",C19/N19)</f>
        <v/>
      </c>
      <c r="Q19" s="412">
        <f>IF(N19=0,"",IF(C19/N19&lt;=用語集!$B$23,"◎ 許容内","✗ 超過"))</f>
        <v/>
      </c>
      <c r="R19" s="415">
        <f>SUM(R5:R18)</f>
        <v/>
      </c>
      <c r="S19" s="415">
        <f>L19+R19</f>
        <v/>
      </c>
      <c r="T19" s="415">
        <f>SUM(T5:T18)</f>
        <v/>
      </c>
      <c r="U19" s="415">
        <f>N19+T19</f>
        <v/>
      </c>
      <c r="V19" s="416">
        <f>IF(S19=0,"",IFERROR(U19/S19,""))</f>
        <v/>
      </c>
    </row>
    <row r="21" ht="46" customHeight="1" s="68">
      <c r="A21" s="170" t="inlineStr">
        <is>
          <t>※左ブロック（商談化率・成約率・CPL・広告CPA）は広告経由のみ＝目標と比較できる広告効率。右ブロックの総商談・総成約は「広告＋広告外」。広告CPA＝広告費÷広告成約。「開始前（〜4/6）」は広告開始前に展示会・紹介・名刺で得た分を入れる行。レポート実測累計：商談14件（W1〜W7）・成約1件。</t>
        </is>
      </c>
      <c r="B21" s="162" t="n"/>
      <c r="C21" s="162" t="n"/>
      <c r="D21" s="162" t="n"/>
      <c r="E21" s="162" t="n"/>
      <c r="F21" s="162" t="n"/>
      <c r="G21" s="162" t="n"/>
      <c r="H21" s="162" t="n"/>
      <c r="I21" s="162" t="n"/>
      <c r="J21" s="162" t="n"/>
      <c r="K21" s="162" t="n"/>
      <c r="L21" s="162" t="n"/>
      <c r="M21" s="162" t="n"/>
      <c r="N21" s="162" t="n"/>
      <c r="O21" s="162" t="n"/>
      <c r="P21" s="162" t="n"/>
      <c r="Q21" s="162" t="n"/>
      <c r="R21" s="162" t="n"/>
      <c r="S21" s="162" t="n"/>
      <c r="T21" s="162" t="n"/>
      <c r="U21" s="162" t="n"/>
      <c r="V21" s="163" t="n"/>
    </row>
  </sheetData>
  <mergeCells count="5">
    <mergeCell ref="A2:V2"/>
    <mergeCell ref="A1:V1"/>
    <mergeCell ref="R3:V3"/>
    <mergeCell ref="A21:V21"/>
    <mergeCell ref="C3:Q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22" customWidth="1" style="68" min="1" max="1"/>
    <col width="86" customWidth="1" style="68" min="2" max="2"/>
  </cols>
  <sheetData>
    <row r="1" ht="24" customHeight="1" s="68">
      <c r="A1" s="385" t="inlineStr">
        <is>
          <t>用語集（指標の定義）── レポートに準拠</t>
        </is>
      </c>
      <c r="B1" s="163" t="n"/>
    </row>
    <row r="2">
      <c r="A2" s="417" t="inlineStr">
        <is>
          <t>※末尾の『成約』『成約率』『1成約あたり広告費』は、レポートの指標をその先（成約）まで拡張したもの。</t>
        </is>
      </c>
      <c r="B2" s="163" t="n"/>
    </row>
    <row r="3" ht="20" customHeight="1" s="68">
      <c r="A3" s="172" t="inlineStr">
        <is>
          <t>IMP（インプレッション）</t>
        </is>
      </c>
      <c r="B3" s="173" t="inlineStr">
        <is>
          <t>広告が表示された回数。</t>
        </is>
      </c>
    </row>
    <row r="4" ht="20" customHeight="1" s="68">
      <c r="A4" s="172" t="inlineStr">
        <is>
          <t>クリック（リンククリック）</t>
        </is>
      </c>
      <c r="B4" s="173" t="inlineStr">
        <is>
          <t>広告がクリックされた回数。</t>
        </is>
      </c>
    </row>
    <row r="5" ht="20" customHeight="1" s="68">
      <c r="A5" s="172" t="inlineStr">
        <is>
          <t>CV（コンバージョン）</t>
        </is>
      </c>
      <c r="B5" s="173" t="inlineStr">
        <is>
          <t>成果。本レポートでは資料請求・申込などのリード獲得を指す。</t>
        </is>
      </c>
    </row>
    <row r="6" ht="20" customHeight="1" s="68">
      <c r="A6" s="172" t="inlineStr">
        <is>
          <t>CTR（クリック率）</t>
        </is>
      </c>
      <c r="B6" s="173" t="inlineStr">
        <is>
          <t>＝クリック÷IMP。表示に対しどれだけクリックされたか。</t>
        </is>
      </c>
    </row>
    <row r="7" ht="20" customHeight="1" s="68">
      <c r="A7" s="172" t="inlineStr">
        <is>
          <t>CPC（クリック単価）</t>
        </is>
      </c>
      <c r="B7" s="173" t="inlineStr">
        <is>
          <t>＝消費金額÷クリック。1クリックあたりの費用。</t>
        </is>
      </c>
    </row>
    <row r="8" ht="30" customHeight="1" s="68">
      <c r="A8" s="172" t="inlineStr">
        <is>
          <t>CPM（インプレッション単価）</t>
        </is>
      </c>
      <c r="B8" s="173" t="inlineStr">
        <is>
          <t>＝消費金額÷IMP×1,000。広告を1,000回表示する費用＝表示枠の"仕入れ値"。クリックや成約とは独立で、表示そのものの割高/割安を表す。</t>
        </is>
      </c>
    </row>
    <row r="9" ht="20" customHeight="1" s="68">
      <c r="A9" s="172" t="inlineStr">
        <is>
          <t>CVR（コンバージョン率）</t>
        </is>
      </c>
      <c r="B9" s="173" t="inlineStr">
        <is>
          <t>＝CV÷クリック。クリックがどれだけ成果につながったか。</t>
        </is>
      </c>
    </row>
    <row r="10" ht="20" customHeight="1" s="68">
      <c r="A10" s="172" t="inlineStr">
        <is>
          <t>CPL（リード獲得単価）</t>
        </is>
      </c>
      <c r="B10" s="173" t="inlineStr">
        <is>
          <t>＝消費金額÷CV。1件のリード獲得にかかった費用。</t>
        </is>
      </c>
    </row>
    <row r="11" ht="30" customHeight="1" s="68">
      <c r="A11" s="172" t="inlineStr">
        <is>
          <t>余裕倍率</t>
        </is>
      </c>
      <c r="B11" s="173" t="inlineStr">
        <is>
          <t>＝許容CPA÷1成約あたり広告費。1.0超で成約コストが許容内＝余裕あり（大きいほど良い）。例：1成約¥171,000なら307,000÷171,000＝1.8倍。</t>
        </is>
      </c>
    </row>
    <row r="12" ht="20" customHeight="1" s="68">
      <c r="A12" s="172" t="inlineStr">
        <is>
          <t>フリークエンシー</t>
        </is>
      </c>
      <c r="B12" s="173" t="inlineStr">
        <is>
          <t>＝IMP÷リーチ（到達人数）。1人あたり平均で広告を何回見たか。高い（週3〜4回超）と疲弊のサイン。</t>
        </is>
      </c>
    </row>
    <row r="13" ht="20" customHeight="1" s="68">
      <c r="A13" s="172" t="inlineStr">
        <is>
          <t>商談（個別相談実施数）</t>
        </is>
      </c>
      <c r="B13" s="173" t="inlineStr">
        <is>
          <t>実施日基準。Web会議など個別相談を実施した件数。</t>
        </is>
      </c>
    </row>
    <row r="14" ht="20" customHeight="1" s="68">
      <c r="A14" s="172" t="inlineStr">
        <is>
          <t>歩留まり（商談化率）</t>
        </is>
      </c>
      <c r="B14" s="173" t="inlineStr">
        <is>
          <t>＝商談数÷CV。リード→商談への転換率。</t>
        </is>
      </c>
    </row>
    <row r="15" ht="20" customHeight="1" s="68">
      <c r="A15" s="172" t="inlineStr">
        <is>
          <t>成約（法人契約）</t>
        </is>
      </c>
      <c r="B15" s="173" t="inlineStr">
        <is>
          <t>契約に至った件数。リードタイムが長いため実施から遅れて確定する。</t>
        </is>
      </c>
    </row>
    <row r="16" ht="20" customHeight="1" s="68">
      <c r="A16" s="172" t="inlineStr">
        <is>
          <t>成約率</t>
        </is>
      </c>
      <c r="B16" s="173" t="inlineStr">
        <is>
          <t>＝成約÷商談。商談→成約への転換率。</t>
        </is>
      </c>
    </row>
    <row r="17" ht="20" customHeight="1" s="68">
      <c r="A17" s="172" t="inlineStr">
        <is>
          <t>1成約あたり広告費</t>
        </is>
      </c>
      <c r="B17" s="173" t="inlineStr">
        <is>
          <t>＝消費金額÷成約。1件の契約獲得にかかった広告費。許容CPA上限と比較する。</t>
        </is>
      </c>
    </row>
    <row r="18" ht="20" customHeight="1" s="68">
      <c r="A18" s="172" t="inlineStr">
        <is>
          <t>分解の関係式</t>
        </is>
      </c>
      <c r="B18" s="173" t="inlineStr">
        <is>
          <t>CPL＝CPM÷（CTR×CVR）。CPLの増減はCPM・CTR・CVRのどれが動いたかに分解できる。</t>
        </is>
      </c>
    </row>
    <row r="19" ht="20" customHeight="1" s="68">
      <c r="A19" s="172" t="inlineStr">
        <is>
          <t>その他の目標値</t>
        </is>
      </c>
      <c r="B19" s="173" t="inlineStr">
        <is>
          <t>1契約あたり広告予算上限（許容CPA）¥307,000／平均FC入金¥1,006,399。</t>
        </is>
      </c>
    </row>
    <row r="21">
      <c r="A21" s="418" t="inlineStr">
        <is>
          <t>目標CPL：ウェビナー</t>
        </is>
      </c>
      <c r="B21" s="419" t="n">
        <v>11374</v>
      </c>
    </row>
    <row r="22">
      <c r="A22" s="418" t="inlineStr">
        <is>
          <t>目標CPL：常設</t>
        </is>
      </c>
      <c r="B22" s="419" t="n">
        <v>15355</v>
      </c>
    </row>
    <row r="23">
      <c r="A23" s="418" t="inlineStr">
        <is>
          <t>許容CPA上限（円）</t>
        </is>
      </c>
      <c r="B23" s="419" t="n">
        <v>307000</v>
      </c>
    </row>
    <row r="24">
      <c r="A24" s="418" t="inlineStr">
        <is>
          <t>契約単価（FC取り分・円）</t>
        </is>
      </c>
      <c r="B24" s="419" t="n">
        <v>800000</v>
      </c>
    </row>
  </sheetData>
  <mergeCells count="2">
    <mergeCell ref="A2:B2"/>
    <mergeCell ref="A1:B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67" min="1" max="1"/>
  </cols>
  <sheetData>
    <row r="1" ht="24" customHeight="1" s="68">
      <c r="A1" s="121" t="inlineStr">
        <is>
          <t>介護校 週次分析テンプレ ─ 使い方</t>
        </is>
      </c>
    </row>
    <row r="2" ht="15" customHeight="1" s="68">
      <c r="A2" s="122" t="n"/>
    </row>
    <row r="3" ht="15" customHeight="1" s="68">
      <c r="A3" s="123" t="inlineStr">
        <is>
          <t>【毎週やること（5ステップ）】</t>
        </is>
      </c>
    </row>
    <row r="4" ht="27.75" customHeight="1" s="68">
      <c r="A4" s="122" t="inlineStr">
        <is>
          <t>1. 入力：「週次_媒体別CP」タブの新しい行に、その週の 広告費・LP訪問(クリック)・リード・商談・成約 を入力する。</t>
        </is>
      </c>
    </row>
    <row r="5" ht="27.75" customHeight="1" s="68">
      <c r="A5" s="122" t="inlineStr">
        <is>
          <t>2. 判定：右端の『商談化 判定』『成約 判定』が ◎△✗ で自動表示される（目標は「ダッシュボード」で設定）。</t>
        </is>
      </c>
    </row>
    <row r="6" ht="15" customHeight="1" s="68">
      <c r="A6" s="122" t="inlineStr">
        <is>
          <t>3. 特定：◎でない段＝その週のボトルネック。まず『商談化率』を見る（上流は健全なので触らない）。</t>
        </is>
      </c>
    </row>
    <row r="7" ht="27.75" customHeight="1" s="68">
      <c r="A7" s="122" t="inlineStr">
        <is>
          <t>4. 打ち手：ボトルネックの段に効く施策を1つ実行。商談化なら①初動フォロー&lt;1時間 ②商談予約への導線 ③スコアリング。</t>
        </is>
      </c>
    </row>
    <row r="8" ht="15" customHeight="1" s="68">
      <c r="A8" s="122" t="inlineStr">
        <is>
          <t>5. 記録：失注理由・流入元(v1/v2)・進行中商談のステータスを別途残し、翌週へ。</t>
        </is>
      </c>
    </row>
    <row r="9" ht="15" customHeight="1" s="68">
      <c r="A9" s="122" t="n"/>
    </row>
    <row r="10" ht="15" customHeight="1" s="68">
      <c r="A10" s="123" t="inlineStr">
        <is>
          <t>【指標の意味】</t>
        </is>
      </c>
    </row>
    <row r="11" ht="15" customHeight="1" s="68">
      <c r="A11" s="122" t="inlineStr">
        <is>
          <t>CPL＝広告費÷リード／LP CVR＝リード÷LP訪問／商談化率＝商談÷リード／成約率＝成約÷商談</t>
        </is>
      </c>
    </row>
    <row r="12" ht="15" customHeight="1" s="68">
      <c r="A12" s="122" t="inlineStr">
        <is>
          <t>1成約あたり広告費＝広告費÷成約。これが『許容CPA上限(¥307,000)』を下回れば採算は健全。</t>
        </is>
      </c>
    </row>
    <row r="13" ht="15" customHeight="1" s="68">
      <c r="A13" s="122" t="inlineStr">
        <is>
          <t>ROAS＝FC売上÷広告費。1.0で損益分岐、現状は約1.4（薄利）。</t>
        </is>
      </c>
    </row>
    <row r="14" ht="15" customHeight="1" s="68">
      <c r="A14" s="122" t="n"/>
    </row>
    <row r="15" ht="15" customHeight="1" s="68">
      <c r="A15" s="123" t="inlineStr">
        <is>
          <t>【目標値（ダッシュボードで変更可）】</t>
        </is>
      </c>
    </row>
    <row r="16" ht="27.75" customHeight="1" s="68">
      <c r="A16" s="124" t="inlineStr">
        <is>
          <t>商談化率 8%・成約率 20%・CPL ¥3,000・契約単価 ¥800,000・許容CPA ¥307,000（＝第1段：年5,000〜5,400万円ペース）</t>
        </is>
      </c>
    </row>
    <row r="17" ht="15" customHeight="1" s="68">
      <c r="A17" s="124" t="inlineStr">
        <is>
          <t>成約率と契約単価は判定途上の暫定値。進行中商談の結果・平均受講人数が出たら更新する。</t>
        </is>
      </c>
    </row>
    <row r="18" ht="15" customHeight="1" s="68">
      <c r="A18" s="124" t="n"/>
    </row>
    <row r="19" ht="15" customHeight="1" s="68">
      <c r="A19" s="125" t="inlineStr">
        <is>
          <t>【注意】数字は手入力（スプレッドシート管理）。LP訪問はクリック数を使い、LINE等の無効クリックは除外する。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92"/>
  <sheetViews>
    <sheetView showGridLines="0" workbookViewId="0">
      <selection activeCell="A1" sqref="A1"/>
    </sheetView>
  </sheetViews>
  <sheetFormatPr baseColWidth="8" defaultRowHeight="15"/>
  <cols>
    <col width="6" customWidth="1" style="68" min="1" max="1"/>
  </cols>
  <sheetData>
    <row r="1">
      <c r="A1" s="135" t="inlineStr">
        <is>
          <t>推移グラフ用データ（媒体別シートに自動連動。#N/Aは未配信＝グラフでギャップ表示）</t>
        </is>
      </c>
    </row>
    <row r="2">
      <c r="A2" s="136" t="inlineStr">
        <is>
          <t>消費金額</t>
        </is>
      </c>
    </row>
    <row r="3">
      <c r="A3" s="127" t="inlineStr">
        <is>
          <t>週</t>
        </is>
      </c>
      <c r="B3" s="128" t="inlineStr">
        <is>
          <t>Meta/ウェビナー</t>
        </is>
      </c>
      <c r="C3" s="128" t="inlineStr">
        <is>
          <t>Meta/介護校</t>
        </is>
      </c>
      <c r="D3" s="128" t="inlineStr">
        <is>
          <t>Meta/Claude</t>
        </is>
      </c>
      <c r="E3" s="128" t="inlineStr">
        <is>
          <t>Google/ウェビナー</t>
        </is>
      </c>
      <c r="F3" s="128" t="inlineStr">
        <is>
          <t>Google/常設</t>
        </is>
      </c>
      <c r="G3" s="128" t="inlineStr">
        <is>
          <t>LINE/ウェビナー</t>
        </is>
      </c>
      <c r="H3" s="128" t="inlineStr">
        <is>
          <t>LINE/常設</t>
        </is>
      </c>
    </row>
    <row r="4">
      <c r="A4" s="129" t="inlineStr">
        <is>
          <t>W1</t>
        </is>
      </c>
      <c r="B4" s="130">
        <f>IF(ISNUMBER('週次_媒体別CP'!C6),'週次_媒体別CP'!C6,NA())</f>
        <v/>
      </c>
      <c r="C4" s="130">
        <f>IF(ISNUMBER('週次_媒体別CP'!C23),'週次_媒体別CP'!C23,NA())</f>
        <v/>
      </c>
      <c r="D4" s="130">
        <f>IF(ISNUMBER('週次_媒体別CP'!C40),'週次_媒体別CP'!C40,NA())</f>
        <v/>
      </c>
      <c r="E4" s="130">
        <f>IF(ISNUMBER('週次_媒体別CP'!C57),'週次_媒体別CP'!C57,NA())</f>
        <v/>
      </c>
      <c r="F4" s="130">
        <f>IF(ISNUMBER('週次_媒体別CP'!C74),'週次_媒体別CP'!C74,NA())</f>
        <v/>
      </c>
      <c r="G4" s="130">
        <f>IF(ISNUMBER('週次_媒体別CP'!C91),'週次_媒体別CP'!C91,NA())</f>
        <v/>
      </c>
      <c r="H4" s="130">
        <f>IF(ISNUMBER('週次_媒体別CP'!C108),'週次_媒体別CP'!C108,NA())</f>
        <v/>
      </c>
    </row>
    <row r="5">
      <c r="A5" s="129" t="inlineStr">
        <is>
          <t>W2</t>
        </is>
      </c>
      <c r="B5" s="130">
        <f>IF(ISNUMBER('週次_媒体別CP'!C7),'週次_媒体別CP'!C7,NA())</f>
        <v/>
      </c>
      <c r="C5" s="130">
        <f>IF(ISNUMBER('週次_媒体別CP'!C24),'週次_媒体別CP'!C24,NA())</f>
        <v/>
      </c>
      <c r="D5" s="130">
        <f>IF(ISNUMBER('週次_媒体別CP'!C41),'週次_媒体別CP'!C41,NA())</f>
        <v/>
      </c>
      <c r="E5" s="130">
        <f>IF(ISNUMBER('週次_媒体別CP'!C58),'週次_媒体別CP'!C58,NA())</f>
        <v/>
      </c>
      <c r="F5" s="130">
        <f>IF(ISNUMBER('週次_媒体別CP'!C75),'週次_媒体別CP'!C75,NA())</f>
        <v/>
      </c>
      <c r="G5" s="130">
        <f>IF(ISNUMBER('週次_媒体別CP'!C92),'週次_媒体別CP'!C92,NA())</f>
        <v/>
      </c>
      <c r="H5" s="130">
        <f>IF(ISNUMBER('週次_媒体別CP'!C109),'週次_媒体別CP'!C109,NA())</f>
        <v/>
      </c>
    </row>
    <row r="6">
      <c r="A6" s="129" t="inlineStr">
        <is>
          <t>W3</t>
        </is>
      </c>
      <c r="B6" s="130">
        <f>IF(ISNUMBER('週次_媒体別CP'!C8),'週次_媒体別CP'!C8,NA())</f>
        <v/>
      </c>
      <c r="C6" s="130">
        <f>IF(ISNUMBER('週次_媒体別CP'!C25),'週次_媒体別CP'!C25,NA())</f>
        <v/>
      </c>
      <c r="D6" s="130">
        <f>IF(ISNUMBER('週次_媒体別CP'!C42),'週次_媒体別CP'!C42,NA())</f>
        <v/>
      </c>
      <c r="E6" s="130">
        <f>IF(ISNUMBER('週次_媒体別CP'!C59),'週次_媒体別CP'!C59,NA())</f>
        <v/>
      </c>
      <c r="F6" s="130">
        <f>IF(ISNUMBER('週次_媒体別CP'!C76),'週次_媒体別CP'!C76,NA())</f>
        <v/>
      </c>
      <c r="G6" s="130">
        <f>IF(ISNUMBER('週次_媒体別CP'!C93),'週次_媒体別CP'!C93,NA())</f>
        <v/>
      </c>
      <c r="H6" s="130">
        <f>IF(ISNUMBER('週次_媒体別CP'!C110),'週次_媒体別CP'!C110,NA())</f>
        <v/>
      </c>
    </row>
    <row r="7">
      <c r="A7" s="129" t="inlineStr">
        <is>
          <t>W4</t>
        </is>
      </c>
      <c r="B7" s="130">
        <f>IF(ISNUMBER('週次_媒体別CP'!C9),'週次_媒体別CP'!C9,NA())</f>
        <v/>
      </c>
      <c r="C7" s="130">
        <f>IF(ISNUMBER('週次_媒体別CP'!C26),'週次_媒体別CP'!C26,NA())</f>
        <v/>
      </c>
      <c r="D7" s="130">
        <f>IF(ISNUMBER('週次_媒体別CP'!C43),'週次_媒体別CP'!C43,NA())</f>
        <v/>
      </c>
      <c r="E7" s="130">
        <f>IF(ISNUMBER('週次_媒体別CP'!C60),'週次_媒体別CP'!C60,NA())</f>
        <v/>
      </c>
      <c r="F7" s="130">
        <f>IF(ISNUMBER('週次_媒体別CP'!C77),'週次_媒体別CP'!C77,NA())</f>
        <v/>
      </c>
      <c r="G7" s="130">
        <f>IF(ISNUMBER('週次_媒体別CP'!C94),'週次_媒体別CP'!C94,NA())</f>
        <v/>
      </c>
      <c r="H7" s="130">
        <f>IF(ISNUMBER('週次_媒体別CP'!C111),'週次_媒体別CP'!C111,NA())</f>
        <v/>
      </c>
    </row>
    <row r="8">
      <c r="A8" s="129" t="inlineStr">
        <is>
          <t>W5</t>
        </is>
      </c>
      <c r="B8" s="130">
        <f>IF(ISNUMBER('週次_媒体別CP'!C10),'週次_媒体別CP'!C10,NA())</f>
        <v/>
      </c>
      <c r="C8" s="130">
        <f>IF(ISNUMBER('週次_媒体別CP'!C27),'週次_媒体別CP'!C27,NA())</f>
        <v/>
      </c>
      <c r="D8" s="130">
        <f>IF(ISNUMBER('週次_媒体別CP'!C44),'週次_媒体別CP'!C44,NA())</f>
        <v/>
      </c>
      <c r="E8" s="130">
        <f>IF(ISNUMBER('週次_媒体別CP'!C61),'週次_媒体別CP'!C61,NA())</f>
        <v/>
      </c>
      <c r="F8" s="130">
        <f>IF(ISNUMBER('週次_媒体別CP'!C78),'週次_媒体別CP'!C78,NA())</f>
        <v/>
      </c>
      <c r="G8" s="130">
        <f>IF(ISNUMBER('週次_媒体別CP'!C95),'週次_媒体別CP'!C95,NA())</f>
        <v/>
      </c>
      <c r="H8" s="130">
        <f>IF(ISNUMBER('週次_媒体別CP'!C112),'週次_媒体別CP'!C112,NA())</f>
        <v/>
      </c>
    </row>
    <row r="9">
      <c r="A9" s="129" t="inlineStr">
        <is>
          <t>W6</t>
        </is>
      </c>
      <c r="B9" s="130">
        <f>IF(ISNUMBER('週次_媒体別CP'!C11),'週次_媒体別CP'!C11,NA())</f>
        <v/>
      </c>
      <c r="C9" s="130">
        <f>IF(ISNUMBER('週次_媒体別CP'!C28),'週次_媒体別CP'!C28,NA())</f>
        <v/>
      </c>
      <c r="D9" s="130">
        <f>IF(ISNUMBER('週次_媒体別CP'!C45),'週次_媒体別CP'!C45,NA())</f>
        <v/>
      </c>
      <c r="E9" s="130">
        <f>IF(ISNUMBER('週次_媒体別CP'!C62),'週次_媒体別CP'!C62,NA())</f>
        <v/>
      </c>
      <c r="F9" s="130">
        <f>IF(ISNUMBER('週次_媒体別CP'!C79),'週次_媒体別CP'!C79,NA())</f>
        <v/>
      </c>
      <c r="G9" s="130">
        <f>IF(ISNUMBER('週次_媒体別CP'!C96),'週次_媒体別CP'!C96,NA())</f>
        <v/>
      </c>
      <c r="H9" s="130">
        <f>IF(ISNUMBER('週次_媒体別CP'!C113),'週次_媒体別CP'!C113,NA())</f>
        <v/>
      </c>
    </row>
    <row r="10">
      <c r="A10" s="129" t="inlineStr">
        <is>
          <t>W7</t>
        </is>
      </c>
      <c r="B10" s="130">
        <f>IF(ISNUMBER('週次_媒体別CP'!C12),'週次_媒体別CP'!C12,NA())</f>
        <v/>
      </c>
      <c r="C10" s="130">
        <f>IF(ISNUMBER('週次_媒体別CP'!C29),'週次_媒体別CP'!C29,NA())</f>
        <v/>
      </c>
      <c r="D10" s="130">
        <f>IF(ISNUMBER('週次_媒体別CP'!C46),'週次_媒体別CP'!C46,NA())</f>
        <v/>
      </c>
      <c r="E10" s="130">
        <f>IF(ISNUMBER('週次_媒体別CP'!C63),'週次_媒体別CP'!C63,NA())</f>
        <v/>
      </c>
      <c r="F10" s="130">
        <f>IF(ISNUMBER('週次_媒体別CP'!C80),'週次_媒体別CP'!C80,NA())</f>
        <v/>
      </c>
      <c r="G10" s="130">
        <f>IF(ISNUMBER('週次_媒体別CP'!C97),'週次_媒体別CP'!C97,NA())</f>
        <v/>
      </c>
      <c r="H10" s="130">
        <f>IF(ISNUMBER('週次_媒体別CP'!C114),'週次_媒体別CP'!C114,NA())</f>
        <v/>
      </c>
    </row>
    <row r="11">
      <c r="A11" s="129" t="inlineStr">
        <is>
          <t>W8</t>
        </is>
      </c>
      <c r="B11" s="130">
        <f>IF(ISNUMBER('週次_媒体別CP'!C13),'週次_媒体別CP'!C13,NA())</f>
        <v/>
      </c>
      <c r="C11" s="130">
        <f>IF(ISNUMBER('週次_媒体別CP'!C30),'週次_媒体別CP'!C30,NA())</f>
        <v/>
      </c>
      <c r="D11" s="130">
        <f>IF(ISNUMBER('週次_媒体別CP'!C47),'週次_媒体別CP'!C47,NA())</f>
        <v/>
      </c>
      <c r="E11" s="130">
        <f>IF(ISNUMBER('週次_媒体別CP'!C64),'週次_媒体別CP'!C64,NA())</f>
        <v/>
      </c>
      <c r="F11" s="130">
        <f>IF(ISNUMBER('週次_媒体別CP'!C81),'週次_媒体別CP'!C81,NA())</f>
        <v/>
      </c>
      <c r="G11" s="130">
        <f>IF(ISNUMBER('週次_媒体別CP'!C98),'週次_媒体別CP'!C98,NA())</f>
        <v/>
      </c>
      <c r="H11" s="130">
        <f>IF(ISNUMBER('週次_媒体別CP'!C115),'週次_媒体別CP'!C115,NA())</f>
        <v/>
      </c>
    </row>
    <row r="12">
      <c r="A12" s="129" t="inlineStr">
        <is>
          <t>W9</t>
        </is>
      </c>
      <c r="B12" s="130">
        <f>IF(ISNUMBER('週次_媒体別CP'!C14),'週次_媒体別CP'!C14,NA())</f>
        <v/>
      </c>
      <c r="C12" s="130">
        <f>IF(ISNUMBER('週次_媒体別CP'!C31),'週次_媒体別CP'!C31,NA())</f>
        <v/>
      </c>
      <c r="D12" s="130">
        <f>IF(ISNUMBER('週次_媒体別CP'!C48),'週次_媒体別CP'!C48,NA())</f>
        <v/>
      </c>
      <c r="E12" s="130">
        <f>IF(ISNUMBER('週次_媒体別CP'!C65),'週次_媒体別CP'!C65,NA())</f>
        <v/>
      </c>
      <c r="F12" s="130">
        <f>IF(ISNUMBER('週次_媒体別CP'!C82),'週次_媒体別CP'!C82,NA())</f>
        <v/>
      </c>
      <c r="G12" s="130">
        <f>IF(ISNUMBER('週次_媒体別CP'!C99),'週次_媒体別CP'!C99,NA())</f>
        <v/>
      </c>
      <c r="H12" s="130">
        <f>IF(ISNUMBER('週次_媒体別CP'!C116),'週次_媒体別CP'!C116,NA())</f>
        <v/>
      </c>
    </row>
    <row r="13">
      <c r="A13" s="129" t="inlineStr">
        <is>
          <t>W10</t>
        </is>
      </c>
      <c r="B13" s="130">
        <f>IF(ISNUMBER('週次_媒体別CP'!C15),'週次_媒体別CP'!C15,NA())</f>
        <v/>
      </c>
      <c r="C13" s="130">
        <f>IF(ISNUMBER('週次_媒体別CP'!C32),'週次_媒体別CP'!C32,NA())</f>
        <v/>
      </c>
      <c r="D13" s="130">
        <f>IF(ISNUMBER('週次_媒体別CP'!C49),'週次_媒体別CP'!C49,NA())</f>
        <v/>
      </c>
      <c r="E13" s="130">
        <f>IF(ISNUMBER('週次_媒体別CP'!C66),'週次_媒体別CP'!C66,NA())</f>
        <v/>
      </c>
      <c r="F13" s="130">
        <f>IF(ISNUMBER('週次_媒体別CP'!C83),'週次_媒体別CP'!C83,NA())</f>
        <v/>
      </c>
      <c r="G13" s="130">
        <f>IF(ISNUMBER('週次_媒体別CP'!C100),'週次_媒体別CP'!C100,NA())</f>
        <v/>
      </c>
      <c r="H13" s="130">
        <f>IF(ISNUMBER('週次_媒体別CP'!C117),'週次_媒体別CP'!C117,NA())</f>
        <v/>
      </c>
    </row>
    <row r="14">
      <c r="A14" s="129" t="inlineStr">
        <is>
          <t>W11</t>
        </is>
      </c>
      <c r="B14" s="130">
        <f>IF(ISNUMBER('週次_媒体別CP'!C16),'週次_媒体別CP'!C16,NA())</f>
        <v/>
      </c>
      <c r="C14" s="130">
        <f>IF(ISNUMBER('週次_媒体別CP'!C33),'週次_媒体別CP'!C33,NA())</f>
        <v/>
      </c>
      <c r="D14" s="130">
        <f>IF(ISNUMBER('週次_媒体別CP'!C50),'週次_媒体別CP'!C50,NA())</f>
        <v/>
      </c>
      <c r="E14" s="130">
        <f>IF(ISNUMBER('週次_媒体別CP'!C67),'週次_媒体別CP'!C67,NA())</f>
        <v/>
      </c>
      <c r="F14" s="130">
        <f>IF(ISNUMBER('週次_媒体別CP'!C84),'週次_媒体別CP'!C84,NA())</f>
        <v/>
      </c>
      <c r="G14" s="130">
        <f>IF(ISNUMBER('週次_媒体別CP'!C101),'週次_媒体別CP'!C101,NA())</f>
        <v/>
      </c>
      <c r="H14" s="130">
        <f>IF(ISNUMBER('週次_媒体別CP'!C118),'週次_媒体別CP'!C118,NA())</f>
        <v/>
      </c>
    </row>
    <row r="15">
      <c r="A15" s="129" t="inlineStr">
        <is>
          <t>W12</t>
        </is>
      </c>
      <c r="B15" s="130">
        <f>IF(ISNUMBER('週次_媒体別CP'!C17),'週次_媒体別CP'!C17,NA())</f>
        <v/>
      </c>
      <c r="C15" s="130">
        <f>IF(ISNUMBER('週次_媒体別CP'!C34),'週次_媒体別CP'!C34,NA())</f>
        <v/>
      </c>
      <c r="D15" s="130">
        <f>IF(ISNUMBER('週次_媒体別CP'!C51),'週次_媒体別CP'!C51,NA())</f>
        <v/>
      </c>
      <c r="E15" s="130">
        <f>IF(ISNUMBER('週次_媒体別CP'!C68),'週次_媒体別CP'!C68,NA())</f>
        <v/>
      </c>
      <c r="F15" s="130">
        <f>IF(ISNUMBER('週次_媒体別CP'!C85),'週次_媒体別CP'!C85,NA())</f>
        <v/>
      </c>
      <c r="G15" s="130">
        <f>IF(ISNUMBER('週次_媒体別CP'!C102),'週次_媒体別CP'!C102,NA())</f>
        <v/>
      </c>
      <c r="H15" s="130">
        <f>IF(ISNUMBER('週次_媒体別CP'!C119),'週次_媒体別CP'!C119,NA())</f>
        <v/>
      </c>
    </row>
    <row r="16">
      <c r="A16" s="129" t="inlineStr">
        <is>
          <t>W13</t>
        </is>
      </c>
      <c r="B16" s="130">
        <f>IF(ISNUMBER('週次_媒体別CP'!C18),'週次_媒体別CP'!C18,NA())</f>
        <v/>
      </c>
      <c r="C16" s="130">
        <f>IF(ISNUMBER('週次_媒体別CP'!C35),'週次_媒体別CP'!C35,NA())</f>
        <v/>
      </c>
      <c r="D16" s="130">
        <f>IF(ISNUMBER('週次_媒体別CP'!C52),'週次_媒体別CP'!C52,NA())</f>
        <v/>
      </c>
      <c r="E16" s="130">
        <f>IF(ISNUMBER('週次_媒体別CP'!C69),'週次_媒体別CP'!C69,NA())</f>
        <v/>
      </c>
      <c r="F16" s="130">
        <f>IF(ISNUMBER('週次_媒体別CP'!C86),'週次_媒体別CP'!C86,NA())</f>
        <v/>
      </c>
      <c r="G16" s="130">
        <f>IF(ISNUMBER('週次_媒体別CP'!C103),'週次_媒体別CP'!C103,NA())</f>
        <v/>
      </c>
      <c r="H16" s="130">
        <f>IF(ISNUMBER('週次_媒体別CP'!C120),'週次_媒体別CP'!C120,NA())</f>
        <v/>
      </c>
    </row>
    <row r="18">
      <c r="A18" s="136" t="inlineStr">
        <is>
          <t>CV（リード）</t>
        </is>
      </c>
    </row>
    <row r="19">
      <c r="A19" s="127" t="inlineStr">
        <is>
          <t>週</t>
        </is>
      </c>
      <c r="B19" s="128" t="inlineStr">
        <is>
          <t>Meta/ウェビナー</t>
        </is>
      </c>
      <c r="C19" s="128" t="inlineStr">
        <is>
          <t>Meta/介護校</t>
        </is>
      </c>
      <c r="D19" s="128" t="inlineStr">
        <is>
          <t>Meta/Claude</t>
        </is>
      </c>
      <c r="E19" s="128" t="inlineStr">
        <is>
          <t>Google/ウェビナー</t>
        </is>
      </c>
      <c r="F19" s="128" t="inlineStr">
        <is>
          <t>Google/常設</t>
        </is>
      </c>
      <c r="G19" s="128" t="inlineStr">
        <is>
          <t>LINE/ウェビナー</t>
        </is>
      </c>
      <c r="H19" s="128" t="inlineStr">
        <is>
          <t>LINE/常設</t>
        </is>
      </c>
    </row>
    <row r="20">
      <c r="A20" s="129" t="inlineStr">
        <is>
          <t>W1</t>
        </is>
      </c>
      <c r="B20" s="131">
        <f>IF(ISNUMBER('週次_媒体別CP'!F6),'週次_媒体別CP'!F6,NA())</f>
        <v/>
      </c>
      <c r="C20" s="131">
        <f>IF(ISNUMBER('週次_媒体別CP'!F23),'週次_媒体別CP'!F23,NA())</f>
        <v/>
      </c>
      <c r="D20" s="131">
        <f>IF(ISNUMBER('週次_媒体別CP'!F40),'週次_媒体別CP'!F40,NA())</f>
        <v/>
      </c>
      <c r="E20" s="131">
        <f>IF(ISNUMBER('週次_媒体別CP'!F57),'週次_媒体別CP'!F57,NA())</f>
        <v/>
      </c>
      <c r="F20" s="131">
        <f>IF(ISNUMBER('週次_媒体別CP'!F74),'週次_媒体別CP'!F74,NA())</f>
        <v/>
      </c>
      <c r="G20" s="131">
        <f>IF(ISNUMBER('週次_媒体別CP'!F91),'週次_媒体別CP'!F91,NA())</f>
        <v/>
      </c>
      <c r="H20" s="131">
        <f>IF(ISNUMBER('週次_媒体別CP'!F108),'週次_媒体別CP'!F108,NA())</f>
        <v/>
      </c>
    </row>
    <row r="21">
      <c r="A21" s="129" t="inlineStr">
        <is>
          <t>W2</t>
        </is>
      </c>
      <c r="B21" s="131">
        <f>IF(ISNUMBER('週次_媒体別CP'!F7),'週次_媒体別CP'!F7,NA())</f>
        <v/>
      </c>
      <c r="C21" s="131">
        <f>IF(ISNUMBER('週次_媒体別CP'!F24),'週次_媒体別CP'!F24,NA())</f>
        <v/>
      </c>
      <c r="D21" s="131">
        <f>IF(ISNUMBER('週次_媒体別CP'!F41),'週次_媒体別CP'!F41,NA())</f>
        <v/>
      </c>
      <c r="E21" s="131">
        <f>IF(ISNUMBER('週次_媒体別CP'!F58),'週次_媒体別CP'!F58,NA())</f>
        <v/>
      </c>
      <c r="F21" s="131">
        <f>IF(ISNUMBER('週次_媒体別CP'!F75),'週次_媒体別CP'!F75,NA())</f>
        <v/>
      </c>
      <c r="G21" s="131">
        <f>IF(ISNUMBER('週次_媒体別CP'!F92),'週次_媒体別CP'!F92,NA())</f>
        <v/>
      </c>
      <c r="H21" s="131">
        <f>IF(ISNUMBER('週次_媒体別CP'!F109),'週次_媒体別CP'!F109,NA())</f>
        <v/>
      </c>
    </row>
    <row r="22">
      <c r="A22" s="129" t="inlineStr">
        <is>
          <t>W3</t>
        </is>
      </c>
      <c r="B22" s="131">
        <f>IF(ISNUMBER('週次_媒体別CP'!F8),'週次_媒体別CP'!F8,NA())</f>
        <v/>
      </c>
      <c r="C22" s="131">
        <f>IF(ISNUMBER('週次_媒体別CP'!F25),'週次_媒体別CP'!F25,NA())</f>
        <v/>
      </c>
      <c r="D22" s="131">
        <f>IF(ISNUMBER('週次_媒体別CP'!F42),'週次_媒体別CP'!F42,NA())</f>
        <v/>
      </c>
      <c r="E22" s="131">
        <f>IF(ISNUMBER('週次_媒体別CP'!F59),'週次_媒体別CP'!F59,NA())</f>
        <v/>
      </c>
      <c r="F22" s="131">
        <f>IF(ISNUMBER('週次_媒体別CP'!F76),'週次_媒体別CP'!F76,NA())</f>
        <v/>
      </c>
      <c r="G22" s="131">
        <f>IF(ISNUMBER('週次_媒体別CP'!F93),'週次_媒体別CP'!F93,NA())</f>
        <v/>
      </c>
      <c r="H22" s="131">
        <f>IF(ISNUMBER('週次_媒体別CP'!F110),'週次_媒体別CP'!F110,NA())</f>
        <v/>
      </c>
    </row>
    <row r="23">
      <c r="A23" s="129" t="inlineStr">
        <is>
          <t>W4</t>
        </is>
      </c>
      <c r="B23" s="131">
        <f>IF(ISNUMBER('週次_媒体別CP'!F9),'週次_媒体別CP'!F9,NA())</f>
        <v/>
      </c>
      <c r="C23" s="131">
        <f>IF(ISNUMBER('週次_媒体別CP'!F26),'週次_媒体別CP'!F26,NA())</f>
        <v/>
      </c>
      <c r="D23" s="131">
        <f>IF(ISNUMBER('週次_媒体別CP'!F43),'週次_媒体別CP'!F43,NA())</f>
        <v/>
      </c>
      <c r="E23" s="131">
        <f>IF(ISNUMBER('週次_媒体別CP'!F60),'週次_媒体別CP'!F60,NA())</f>
        <v/>
      </c>
      <c r="F23" s="131">
        <f>IF(ISNUMBER('週次_媒体別CP'!F77),'週次_媒体別CP'!F77,NA())</f>
        <v/>
      </c>
      <c r="G23" s="131">
        <f>IF(ISNUMBER('週次_媒体別CP'!F94),'週次_媒体別CP'!F94,NA())</f>
        <v/>
      </c>
      <c r="H23" s="131">
        <f>IF(ISNUMBER('週次_媒体別CP'!F111),'週次_媒体別CP'!F111,NA())</f>
        <v/>
      </c>
    </row>
    <row r="24">
      <c r="A24" s="129" t="inlineStr">
        <is>
          <t>W5</t>
        </is>
      </c>
      <c r="B24" s="131">
        <f>IF(ISNUMBER('週次_媒体別CP'!F10),'週次_媒体別CP'!F10,NA())</f>
        <v/>
      </c>
      <c r="C24" s="131">
        <f>IF(ISNUMBER('週次_媒体別CP'!F27),'週次_媒体別CP'!F27,NA())</f>
        <v/>
      </c>
      <c r="D24" s="131">
        <f>IF(ISNUMBER('週次_媒体別CP'!F44),'週次_媒体別CP'!F44,NA())</f>
        <v/>
      </c>
      <c r="E24" s="131">
        <f>IF(ISNUMBER('週次_媒体別CP'!F61),'週次_媒体別CP'!F61,NA())</f>
        <v/>
      </c>
      <c r="F24" s="131">
        <f>IF(ISNUMBER('週次_媒体別CP'!F78),'週次_媒体別CP'!F78,NA())</f>
        <v/>
      </c>
      <c r="G24" s="131">
        <f>IF(ISNUMBER('週次_媒体別CP'!F95),'週次_媒体別CP'!F95,NA())</f>
        <v/>
      </c>
      <c r="H24" s="131">
        <f>IF(ISNUMBER('週次_媒体別CP'!F112),'週次_媒体別CP'!F112,NA())</f>
        <v/>
      </c>
    </row>
    <row r="25">
      <c r="A25" s="129" t="inlineStr">
        <is>
          <t>W6</t>
        </is>
      </c>
      <c r="B25" s="131">
        <f>IF(ISNUMBER('週次_媒体別CP'!F11),'週次_媒体別CP'!F11,NA())</f>
        <v/>
      </c>
      <c r="C25" s="131">
        <f>IF(ISNUMBER('週次_媒体別CP'!F28),'週次_媒体別CP'!F28,NA())</f>
        <v/>
      </c>
      <c r="D25" s="131">
        <f>IF(ISNUMBER('週次_媒体別CP'!F45),'週次_媒体別CP'!F45,NA())</f>
        <v/>
      </c>
      <c r="E25" s="131">
        <f>IF(ISNUMBER('週次_媒体別CP'!F62),'週次_媒体別CP'!F62,NA())</f>
        <v/>
      </c>
      <c r="F25" s="131">
        <f>IF(ISNUMBER('週次_媒体別CP'!F79),'週次_媒体別CP'!F79,NA())</f>
        <v/>
      </c>
      <c r="G25" s="131">
        <f>IF(ISNUMBER('週次_媒体別CP'!F96),'週次_媒体別CP'!F96,NA())</f>
        <v/>
      </c>
      <c r="H25" s="131">
        <f>IF(ISNUMBER('週次_媒体別CP'!F113),'週次_媒体別CP'!F113,NA())</f>
        <v/>
      </c>
    </row>
    <row r="26">
      <c r="A26" s="129" t="inlineStr">
        <is>
          <t>W7</t>
        </is>
      </c>
      <c r="B26" s="131">
        <f>IF(ISNUMBER('週次_媒体別CP'!F12),'週次_媒体別CP'!F12,NA())</f>
        <v/>
      </c>
      <c r="C26" s="131">
        <f>IF(ISNUMBER('週次_媒体別CP'!F29),'週次_媒体別CP'!F29,NA())</f>
        <v/>
      </c>
      <c r="D26" s="131">
        <f>IF(ISNUMBER('週次_媒体別CP'!F46),'週次_媒体別CP'!F46,NA())</f>
        <v/>
      </c>
      <c r="E26" s="131">
        <f>IF(ISNUMBER('週次_媒体別CP'!F63),'週次_媒体別CP'!F63,NA())</f>
        <v/>
      </c>
      <c r="F26" s="131">
        <f>IF(ISNUMBER('週次_媒体別CP'!F80),'週次_媒体別CP'!F80,NA())</f>
        <v/>
      </c>
      <c r="G26" s="131">
        <f>IF(ISNUMBER('週次_媒体別CP'!F97),'週次_媒体別CP'!F97,NA())</f>
        <v/>
      </c>
      <c r="H26" s="131">
        <f>IF(ISNUMBER('週次_媒体別CP'!F114),'週次_媒体別CP'!F114,NA())</f>
        <v/>
      </c>
    </row>
    <row r="27">
      <c r="A27" s="129" t="inlineStr">
        <is>
          <t>W8</t>
        </is>
      </c>
      <c r="B27" s="131">
        <f>IF(ISNUMBER('週次_媒体別CP'!F13),'週次_媒体別CP'!F13,NA())</f>
        <v/>
      </c>
      <c r="C27" s="131">
        <f>IF(ISNUMBER('週次_媒体別CP'!F30),'週次_媒体別CP'!F30,NA())</f>
        <v/>
      </c>
      <c r="D27" s="131">
        <f>IF(ISNUMBER('週次_媒体別CP'!F47),'週次_媒体別CP'!F47,NA())</f>
        <v/>
      </c>
      <c r="E27" s="131">
        <f>IF(ISNUMBER('週次_媒体別CP'!F64),'週次_媒体別CP'!F64,NA())</f>
        <v/>
      </c>
      <c r="F27" s="131">
        <f>IF(ISNUMBER('週次_媒体別CP'!F81),'週次_媒体別CP'!F81,NA())</f>
        <v/>
      </c>
      <c r="G27" s="131">
        <f>IF(ISNUMBER('週次_媒体別CP'!F98),'週次_媒体別CP'!F98,NA())</f>
        <v/>
      </c>
      <c r="H27" s="131">
        <f>IF(ISNUMBER('週次_媒体別CP'!F115),'週次_媒体別CP'!F115,NA())</f>
        <v/>
      </c>
    </row>
    <row r="28">
      <c r="A28" s="129" t="inlineStr">
        <is>
          <t>W9</t>
        </is>
      </c>
      <c r="B28" s="131">
        <f>IF(ISNUMBER('週次_媒体別CP'!F14),'週次_媒体別CP'!F14,NA())</f>
        <v/>
      </c>
      <c r="C28" s="131">
        <f>IF(ISNUMBER('週次_媒体別CP'!F31),'週次_媒体別CP'!F31,NA())</f>
        <v/>
      </c>
      <c r="D28" s="131">
        <f>IF(ISNUMBER('週次_媒体別CP'!F48),'週次_媒体別CP'!F48,NA())</f>
        <v/>
      </c>
      <c r="E28" s="131">
        <f>IF(ISNUMBER('週次_媒体別CP'!F65),'週次_媒体別CP'!F65,NA())</f>
        <v/>
      </c>
      <c r="F28" s="131">
        <f>IF(ISNUMBER('週次_媒体別CP'!F82),'週次_媒体別CP'!F82,NA())</f>
        <v/>
      </c>
      <c r="G28" s="131">
        <f>IF(ISNUMBER('週次_媒体別CP'!F99),'週次_媒体別CP'!F99,NA())</f>
        <v/>
      </c>
      <c r="H28" s="131">
        <f>IF(ISNUMBER('週次_媒体別CP'!F116),'週次_媒体別CP'!F116,NA())</f>
        <v/>
      </c>
    </row>
    <row r="29">
      <c r="A29" s="129" t="inlineStr">
        <is>
          <t>W10</t>
        </is>
      </c>
      <c r="B29" s="131">
        <f>IF(ISNUMBER('週次_媒体別CP'!F15),'週次_媒体別CP'!F15,NA())</f>
        <v/>
      </c>
      <c r="C29" s="131">
        <f>IF(ISNUMBER('週次_媒体別CP'!F32),'週次_媒体別CP'!F32,NA())</f>
        <v/>
      </c>
      <c r="D29" s="131">
        <f>IF(ISNUMBER('週次_媒体別CP'!F49),'週次_媒体別CP'!F49,NA())</f>
        <v/>
      </c>
      <c r="E29" s="131">
        <f>IF(ISNUMBER('週次_媒体別CP'!F66),'週次_媒体別CP'!F66,NA())</f>
        <v/>
      </c>
      <c r="F29" s="131">
        <f>IF(ISNUMBER('週次_媒体別CP'!F83),'週次_媒体別CP'!F83,NA())</f>
        <v/>
      </c>
      <c r="G29" s="131">
        <f>IF(ISNUMBER('週次_媒体別CP'!F100),'週次_媒体別CP'!F100,NA())</f>
        <v/>
      </c>
      <c r="H29" s="131">
        <f>IF(ISNUMBER('週次_媒体別CP'!F117),'週次_媒体別CP'!F117,NA())</f>
        <v/>
      </c>
    </row>
    <row r="30">
      <c r="A30" s="129" t="inlineStr">
        <is>
          <t>W11</t>
        </is>
      </c>
      <c r="B30" s="131">
        <f>IF(ISNUMBER('週次_媒体別CP'!F16),'週次_媒体別CP'!F16,NA())</f>
        <v/>
      </c>
      <c r="C30" s="131">
        <f>IF(ISNUMBER('週次_媒体別CP'!F33),'週次_媒体別CP'!F33,NA())</f>
        <v/>
      </c>
      <c r="D30" s="131">
        <f>IF(ISNUMBER('週次_媒体別CP'!F50),'週次_媒体別CP'!F50,NA())</f>
        <v/>
      </c>
      <c r="E30" s="131">
        <f>IF(ISNUMBER('週次_媒体別CP'!F67),'週次_媒体別CP'!F67,NA())</f>
        <v/>
      </c>
      <c r="F30" s="131">
        <f>IF(ISNUMBER('週次_媒体別CP'!F84),'週次_媒体別CP'!F84,NA())</f>
        <v/>
      </c>
      <c r="G30" s="131">
        <f>IF(ISNUMBER('週次_媒体別CP'!F101),'週次_媒体別CP'!F101,NA())</f>
        <v/>
      </c>
      <c r="H30" s="131">
        <f>IF(ISNUMBER('週次_媒体別CP'!F118),'週次_媒体別CP'!F118,NA())</f>
        <v/>
      </c>
    </row>
    <row r="31">
      <c r="A31" s="129" t="inlineStr">
        <is>
          <t>W12</t>
        </is>
      </c>
      <c r="B31" s="131">
        <f>IF(ISNUMBER('週次_媒体別CP'!F17),'週次_媒体別CP'!F17,NA())</f>
        <v/>
      </c>
      <c r="C31" s="131">
        <f>IF(ISNUMBER('週次_媒体別CP'!F34),'週次_媒体別CP'!F34,NA())</f>
        <v/>
      </c>
      <c r="D31" s="131">
        <f>IF(ISNUMBER('週次_媒体別CP'!F51),'週次_媒体別CP'!F51,NA())</f>
        <v/>
      </c>
      <c r="E31" s="131">
        <f>IF(ISNUMBER('週次_媒体別CP'!F68),'週次_媒体別CP'!F68,NA())</f>
        <v/>
      </c>
      <c r="F31" s="131">
        <f>IF(ISNUMBER('週次_媒体別CP'!F85),'週次_媒体別CP'!F85,NA())</f>
        <v/>
      </c>
      <c r="G31" s="131">
        <f>IF(ISNUMBER('週次_媒体別CP'!F102),'週次_媒体別CP'!F102,NA())</f>
        <v/>
      </c>
      <c r="H31" s="131">
        <f>IF(ISNUMBER('週次_媒体別CP'!F119),'週次_媒体別CP'!F119,NA())</f>
        <v/>
      </c>
    </row>
    <row r="32">
      <c r="A32" s="129" t="inlineStr">
        <is>
          <t>W13</t>
        </is>
      </c>
      <c r="B32" s="131">
        <f>IF(ISNUMBER('週次_媒体別CP'!F18),'週次_媒体別CP'!F18,NA())</f>
        <v/>
      </c>
      <c r="C32" s="131">
        <f>IF(ISNUMBER('週次_媒体別CP'!F35),'週次_媒体別CP'!F35,NA())</f>
        <v/>
      </c>
      <c r="D32" s="131">
        <f>IF(ISNUMBER('週次_媒体別CP'!F52),'週次_媒体別CP'!F52,NA())</f>
        <v/>
      </c>
      <c r="E32" s="131">
        <f>IF(ISNUMBER('週次_媒体別CP'!F69),'週次_媒体別CP'!F69,NA())</f>
        <v/>
      </c>
      <c r="F32" s="131">
        <f>IF(ISNUMBER('週次_媒体別CP'!F86),'週次_媒体別CP'!F86,NA())</f>
        <v/>
      </c>
      <c r="G32" s="131">
        <f>IF(ISNUMBER('週次_媒体別CP'!F103),'週次_媒体別CP'!F103,NA())</f>
        <v/>
      </c>
      <c r="H32" s="131">
        <f>IF(ISNUMBER('週次_媒体別CP'!F120),'週次_媒体別CP'!F120,NA())</f>
        <v/>
      </c>
    </row>
    <row r="34">
      <c r="A34" s="136" t="inlineStr">
        <is>
          <t>CPL</t>
        </is>
      </c>
    </row>
    <row r="35">
      <c r="A35" s="127" t="inlineStr">
        <is>
          <t>週</t>
        </is>
      </c>
      <c r="B35" s="128" t="inlineStr">
        <is>
          <t>Meta/ウェビナー</t>
        </is>
      </c>
      <c r="C35" s="128" t="inlineStr">
        <is>
          <t>Meta/介護校</t>
        </is>
      </c>
      <c r="D35" s="128" t="inlineStr">
        <is>
          <t>Meta/Claude</t>
        </is>
      </c>
      <c r="E35" s="128" t="inlineStr">
        <is>
          <t>Google/ウェビナー</t>
        </is>
      </c>
      <c r="F35" s="128" t="inlineStr">
        <is>
          <t>Google/常設</t>
        </is>
      </c>
      <c r="G35" s="128" t="inlineStr">
        <is>
          <t>LINE/ウェビナー</t>
        </is>
      </c>
      <c r="H35" s="128" t="inlineStr">
        <is>
          <t>LINE/常設</t>
        </is>
      </c>
    </row>
    <row r="36">
      <c r="A36" s="129" t="inlineStr">
        <is>
          <t>W1</t>
        </is>
      </c>
      <c r="B36" s="130">
        <f>IF(ISNUMBER('週次_媒体別CP'!K6),'週次_媒体別CP'!K6,NA())</f>
        <v/>
      </c>
      <c r="C36" s="130">
        <f>IF(ISNUMBER('週次_媒体別CP'!K23),'週次_媒体別CP'!K23,NA())</f>
        <v/>
      </c>
      <c r="D36" s="130">
        <f>IF(ISNUMBER('週次_媒体別CP'!K40),'週次_媒体別CP'!K40,NA())</f>
        <v/>
      </c>
      <c r="E36" s="130">
        <f>IF(ISNUMBER('週次_媒体別CP'!K57),'週次_媒体別CP'!K57,NA())</f>
        <v/>
      </c>
      <c r="F36" s="130">
        <f>IF(ISNUMBER('週次_媒体別CP'!K74),'週次_媒体別CP'!K74,NA())</f>
        <v/>
      </c>
      <c r="G36" s="130">
        <f>IF(ISNUMBER('週次_媒体別CP'!K91),'週次_媒体別CP'!K91,NA())</f>
        <v/>
      </c>
      <c r="H36" s="130">
        <f>IF(ISNUMBER('週次_媒体別CP'!K108),'週次_媒体別CP'!K108,NA())</f>
        <v/>
      </c>
    </row>
    <row r="37">
      <c r="A37" s="129" t="inlineStr">
        <is>
          <t>W2</t>
        </is>
      </c>
      <c r="B37" s="130">
        <f>IF(ISNUMBER('週次_媒体別CP'!K7),'週次_媒体別CP'!K7,NA())</f>
        <v/>
      </c>
      <c r="C37" s="130">
        <f>IF(ISNUMBER('週次_媒体別CP'!K24),'週次_媒体別CP'!K24,NA())</f>
        <v/>
      </c>
      <c r="D37" s="130">
        <f>IF(ISNUMBER('週次_媒体別CP'!K41),'週次_媒体別CP'!K41,NA())</f>
        <v/>
      </c>
      <c r="E37" s="130">
        <f>IF(ISNUMBER('週次_媒体別CP'!K58),'週次_媒体別CP'!K58,NA())</f>
        <v/>
      </c>
      <c r="F37" s="130">
        <f>IF(ISNUMBER('週次_媒体別CP'!K75),'週次_媒体別CP'!K75,NA())</f>
        <v/>
      </c>
      <c r="G37" s="130">
        <f>IF(ISNUMBER('週次_媒体別CP'!K92),'週次_媒体別CP'!K92,NA())</f>
        <v/>
      </c>
      <c r="H37" s="130">
        <f>IF(ISNUMBER('週次_媒体別CP'!K109),'週次_媒体別CP'!K109,NA())</f>
        <v/>
      </c>
    </row>
    <row r="38">
      <c r="A38" s="129" t="inlineStr">
        <is>
          <t>W3</t>
        </is>
      </c>
      <c r="B38" s="130">
        <f>IF(ISNUMBER('週次_媒体別CP'!K8),'週次_媒体別CP'!K8,NA())</f>
        <v/>
      </c>
      <c r="C38" s="130">
        <f>IF(ISNUMBER('週次_媒体別CP'!K25),'週次_媒体別CP'!K25,NA())</f>
        <v/>
      </c>
      <c r="D38" s="130">
        <f>IF(ISNUMBER('週次_媒体別CP'!K42),'週次_媒体別CP'!K42,NA())</f>
        <v/>
      </c>
      <c r="E38" s="130">
        <f>IF(ISNUMBER('週次_媒体別CP'!K59),'週次_媒体別CP'!K59,NA())</f>
        <v/>
      </c>
      <c r="F38" s="130">
        <f>IF(ISNUMBER('週次_媒体別CP'!K76),'週次_媒体別CP'!K76,NA())</f>
        <v/>
      </c>
      <c r="G38" s="130">
        <f>IF(ISNUMBER('週次_媒体別CP'!K93),'週次_媒体別CP'!K93,NA())</f>
        <v/>
      </c>
      <c r="H38" s="130">
        <f>IF(ISNUMBER('週次_媒体別CP'!K110),'週次_媒体別CP'!K110,NA())</f>
        <v/>
      </c>
    </row>
    <row r="39">
      <c r="A39" s="129" t="inlineStr">
        <is>
          <t>W4</t>
        </is>
      </c>
      <c r="B39" s="130">
        <f>IF(ISNUMBER('週次_媒体別CP'!K9),'週次_媒体別CP'!K9,NA())</f>
        <v/>
      </c>
      <c r="C39" s="130">
        <f>IF(ISNUMBER('週次_媒体別CP'!K26),'週次_媒体別CP'!K26,NA())</f>
        <v/>
      </c>
      <c r="D39" s="130">
        <f>IF(ISNUMBER('週次_媒体別CP'!K43),'週次_媒体別CP'!K43,NA())</f>
        <v/>
      </c>
      <c r="E39" s="130">
        <f>IF(ISNUMBER('週次_媒体別CP'!K60),'週次_媒体別CP'!K60,NA())</f>
        <v/>
      </c>
      <c r="F39" s="130">
        <f>IF(ISNUMBER('週次_媒体別CP'!K77),'週次_媒体別CP'!K77,NA())</f>
        <v/>
      </c>
      <c r="G39" s="130">
        <f>IF(ISNUMBER('週次_媒体別CP'!K94),'週次_媒体別CP'!K94,NA())</f>
        <v/>
      </c>
      <c r="H39" s="130">
        <f>IF(ISNUMBER('週次_媒体別CP'!K111),'週次_媒体別CP'!K111,NA())</f>
        <v/>
      </c>
    </row>
    <row r="40">
      <c r="A40" s="129" t="inlineStr">
        <is>
          <t>W5</t>
        </is>
      </c>
      <c r="B40" s="130">
        <f>IF(ISNUMBER('週次_媒体別CP'!K10),'週次_媒体別CP'!K10,NA())</f>
        <v/>
      </c>
      <c r="C40" s="130">
        <f>IF(ISNUMBER('週次_媒体別CP'!K27),'週次_媒体別CP'!K27,NA())</f>
        <v/>
      </c>
      <c r="D40" s="130">
        <f>IF(ISNUMBER('週次_媒体別CP'!K44),'週次_媒体別CP'!K44,NA())</f>
        <v/>
      </c>
      <c r="E40" s="130">
        <f>IF(ISNUMBER('週次_媒体別CP'!K61),'週次_媒体別CP'!K61,NA())</f>
        <v/>
      </c>
      <c r="F40" s="130">
        <f>IF(ISNUMBER('週次_媒体別CP'!K78),'週次_媒体別CP'!K78,NA())</f>
        <v/>
      </c>
      <c r="G40" s="130">
        <f>IF(ISNUMBER('週次_媒体別CP'!K95),'週次_媒体別CP'!K95,NA())</f>
        <v/>
      </c>
      <c r="H40" s="130">
        <f>IF(ISNUMBER('週次_媒体別CP'!K112),'週次_媒体別CP'!K112,NA())</f>
        <v/>
      </c>
    </row>
    <row r="41">
      <c r="A41" s="129" t="inlineStr">
        <is>
          <t>W6</t>
        </is>
      </c>
      <c r="B41" s="130">
        <f>IF(ISNUMBER('週次_媒体別CP'!K11),'週次_媒体別CP'!K11,NA())</f>
        <v/>
      </c>
      <c r="C41" s="130">
        <f>IF(ISNUMBER('週次_媒体別CP'!K28),'週次_媒体別CP'!K28,NA())</f>
        <v/>
      </c>
      <c r="D41" s="130">
        <f>IF(ISNUMBER('週次_媒体別CP'!K45),'週次_媒体別CP'!K45,NA())</f>
        <v/>
      </c>
      <c r="E41" s="130">
        <f>IF(ISNUMBER('週次_媒体別CP'!K62),'週次_媒体別CP'!K62,NA())</f>
        <v/>
      </c>
      <c r="F41" s="130">
        <f>IF(ISNUMBER('週次_媒体別CP'!K79),'週次_媒体別CP'!K79,NA())</f>
        <v/>
      </c>
      <c r="G41" s="130">
        <f>IF(ISNUMBER('週次_媒体別CP'!K96),'週次_媒体別CP'!K96,NA())</f>
        <v/>
      </c>
      <c r="H41" s="130">
        <f>IF(ISNUMBER('週次_媒体別CP'!K113),'週次_媒体別CP'!K113,NA())</f>
        <v/>
      </c>
    </row>
    <row r="42">
      <c r="A42" s="129" t="inlineStr">
        <is>
          <t>W7</t>
        </is>
      </c>
      <c r="B42" s="130">
        <f>IF(ISNUMBER('週次_媒体別CP'!K12),'週次_媒体別CP'!K12,NA())</f>
        <v/>
      </c>
      <c r="C42" s="130">
        <f>IF(ISNUMBER('週次_媒体別CP'!K29),'週次_媒体別CP'!K29,NA())</f>
        <v/>
      </c>
      <c r="D42" s="130">
        <f>IF(ISNUMBER('週次_媒体別CP'!K46),'週次_媒体別CP'!K46,NA())</f>
        <v/>
      </c>
      <c r="E42" s="130">
        <f>IF(ISNUMBER('週次_媒体別CP'!K63),'週次_媒体別CP'!K63,NA())</f>
        <v/>
      </c>
      <c r="F42" s="130">
        <f>IF(ISNUMBER('週次_媒体別CP'!K80),'週次_媒体別CP'!K80,NA())</f>
        <v/>
      </c>
      <c r="G42" s="130">
        <f>IF(ISNUMBER('週次_媒体別CP'!K97),'週次_媒体別CP'!K97,NA())</f>
        <v/>
      </c>
      <c r="H42" s="130">
        <f>IF(ISNUMBER('週次_媒体別CP'!K114),'週次_媒体別CP'!K114,NA())</f>
        <v/>
      </c>
    </row>
    <row r="43">
      <c r="A43" s="129" t="inlineStr">
        <is>
          <t>W8</t>
        </is>
      </c>
      <c r="B43" s="130">
        <f>IF(ISNUMBER('週次_媒体別CP'!K13),'週次_媒体別CP'!K13,NA())</f>
        <v/>
      </c>
      <c r="C43" s="130">
        <f>IF(ISNUMBER('週次_媒体別CP'!K30),'週次_媒体別CP'!K30,NA())</f>
        <v/>
      </c>
      <c r="D43" s="130">
        <f>IF(ISNUMBER('週次_媒体別CP'!K47),'週次_媒体別CP'!K47,NA())</f>
        <v/>
      </c>
      <c r="E43" s="130">
        <f>IF(ISNUMBER('週次_媒体別CP'!K64),'週次_媒体別CP'!K64,NA())</f>
        <v/>
      </c>
      <c r="F43" s="130">
        <f>IF(ISNUMBER('週次_媒体別CP'!K81),'週次_媒体別CP'!K81,NA())</f>
        <v/>
      </c>
      <c r="G43" s="130">
        <f>IF(ISNUMBER('週次_媒体別CP'!K98),'週次_媒体別CP'!K98,NA())</f>
        <v/>
      </c>
      <c r="H43" s="130">
        <f>IF(ISNUMBER('週次_媒体別CP'!K115),'週次_媒体別CP'!K115,NA())</f>
        <v/>
      </c>
    </row>
    <row r="44">
      <c r="A44" s="129" t="inlineStr">
        <is>
          <t>W9</t>
        </is>
      </c>
      <c r="B44" s="130">
        <f>IF(ISNUMBER('週次_媒体別CP'!K14),'週次_媒体別CP'!K14,NA())</f>
        <v/>
      </c>
      <c r="C44" s="130">
        <f>IF(ISNUMBER('週次_媒体別CP'!K31),'週次_媒体別CP'!K31,NA())</f>
        <v/>
      </c>
      <c r="D44" s="130">
        <f>IF(ISNUMBER('週次_媒体別CP'!K48),'週次_媒体別CP'!K48,NA())</f>
        <v/>
      </c>
      <c r="E44" s="130">
        <f>IF(ISNUMBER('週次_媒体別CP'!K65),'週次_媒体別CP'!K65,NA())</f>
        <v/>
      </c>
      <c r="F44" s="130">
        <f>IF(ISNUMBER('週次_媒体別CP'!K82),'週次_媒体別CP'!K82,NA())</f>
        <v/>
      </c>
      <c r="G44" s="130">
        <f>IF(ISNUMBER('週次_媒体別CP'!K99),'週次_媒体別CP'!K99,NA())</f>
        <v/>
      </c>
      <c r="H44" s="130">
        <f>IF(ISNUMBER('週次_媒体別CP'!K116),'週次_媒体別CP'!K116,NA())</f>
        <v/>
      </c>
    </row>
    <row r="45">
      <c r="A45" s="129" t="inlineStr">
        <is>
          <t>W10</t>
        </is>
      </c>
      <c r="B45" s="130">
        <f>IF(ISNUMBER('週次_媒体別CP'!K15),'週次_媒体別CP'!K15,NA())</f>
        <v/>
      </c>
      <c r="C45" s="130">
        <f>IF(ISNUMBER('週次_媒体別CP'!K32),'週次_媒体別CP'!K32,NA())</f>
        <v/>
      </c>
      <c r="D45" s="130">
        <f>IF(ISNUMBER('週次_媒体別CP'!K49),'週次_媒体別CP'!K49,NA())</f>
        <v/>
      </c>
      <c r="E45" s="130">
        <f>IF(ISNUMBER('週次_媒体別CP'!K66),'週次_媒体別CP'!K66,NA())</f>
        <v/>
      </c>
      <c r="F45" s="130">
        <f>IF(ISNUMBER('週次_媒体別CP'!K83),'週次_媒体別CP'!K83,NA())</f>
        <v/>
      </c>
      <c r="G45" s="130">
        <f>IF(ISNUMBER('週次_媒体別CP'!K100),'週次_媒体別CP'!K100,NA())</f>
        <v/>
      </c>
      <c r="H45" s="130">
        <f>IF(ISNUMBER('週次_媒体別CP'!K117),'週次_媒体別CP'!K117,NA())</f>
        <v/>
      </c>
    </row>
    <row r="46">
      <c r="A46" s="129" t="inlineStr">
        <is>
          <t>W11</t>
        </is>
      </c>
      <c r="B46" s="130">
        <f>IF(ISNUMBER('週次_媒体別CP'!K16),'週次_媒体別CP'!K16,NA())</f>
        <v/>
      </c>
      <c r="C46" s="130">
        <f>IF(ISNUMBER('週次_媒体別CP'!K33),'週次_媒体別CP'!K33,NA())</f>
        <v/>
      </c>
      <c r="D46" s="130">
        <f>IF(ISNUMBER('週次_媒体別CP'!K50),'週次_媒体別CP'!K50,NA())</f>
        <v/>
      </c>
      <c r="E46" s="130">
        <f>IF(ISNUMBER('週次_媒体別CP'!K67),'週次_媒体別CP'!K67,NA())</f>
        <v/>
      </c>
      <c r="F46" s="130">
        <f>IF(ISNUMBER('週次_媒体別CP'!K84),'週次_媒体別CP'!K84,NA())</f>
        <v/>
      </c>
      <c r="G46" s="130">
        <f>IF(ISNUMBER('週次_媒体別CP'!K101),'週次_媒体別CP'!K101,NA())</f>
        <v/>
      </c>
      <c r="H46" s="130">
        <f>IF(ISNUMBER('週次_媒体別CP'!K118),'週次_媒体別CP'!K118,NA())</f>
        <v/>
      </c>
    </row>
    <row r="47">
      <c r="A47" s="129" t="inlineStr">
        <is>
          <t>W12</t>
        </is>
      </c>
      <c r="B47" s="130">
        <f>IF(ISNUMBER('週次_媒体別CP'!K17),'週次_媒体別CP'!K17,NA())</f>
        <v/>
      </c>
      <c r="C47" s="130">
        <f>IF(ISNUMBER('週次_媒体別CP'!K34),'週次_媒体別CP'!K34,NA())</f>
        <v/>
      </c>
      <c r="D47" s="130">
        <f>IF(ISNUMBER('週次_媒体別CP'!K51),'週次_媒体別CP'!K51,NA())</f>
        <v/>
      </c>
      <c r="E47" s="130">
        <f>IF(ISNUMBER('週次_媒体別CP'!K68),'週次_媒体別CP'!K68,NA())</f>
        <v/>
      </c>
      <c r="F47" s="130">
        <f>IF(ISNUMBER('週次_媒体別CP'!K85),'週次_媒体別CP'!K85,NA())</f>
        <v/>
      </c>
      <c r="G47" s="130">
        <f>IF(ISNUMBER('週次_媒体別CP'!K102),'週次_媒体別CP'!K102,NA())</f>
        <v/>
      </c>
      <c r="H47" s="130">
        <f>IF(ISNUMBER('週次_媒体別CP'!K119),'週次_媒体別CP'!K119,NA())</f>
        <v/>
      </c>
    </row>
    <row r="48">
      <c r="A48" s="129" t="inlineStr">
        <is>
          <t>W13</t>
        </is>
      </c>
      <c r="B48" s="130">
        <f>IF(ISNUMBER('週次_媒体別CP'!K18),'週次_媒体別CP'!K18,NA())</f>
        <v/>
      </c>
      <c r="C48" s="130">
        <f>IF(ISNUMBER('週次_媒体別CP'!K35),'週次_媒体別CP'!K35,NA())</f>
        <v/>
      </c>
      <c r="D48" s="130">
        <f>IF(ISNUMBER('週次_媒体別CP'!K52),'週次_媒体別CP'!K52,NA())</f>
        <v/>
      </c>
      <c r="E48" s="130">
        <f>IF(ISNUMBER('週次_媒体別CP'!K69),'週次_媒体別CP'!K69,NA())</f>
        <v/>
      </c>
      <c r="F48" s="130">
        <f>IF(ISNUMBER('週次_媒体別CP'!K86),'週次_媒体別CP'!K86,NA())</f>
        <v/>
      </c>
      <c r="G48" s="130">
        <f>IF(ISNUMBER('週次_媒体別CP'!K103),'週次_媒体別CP'!K103,NA())</f>
        <v/>
      </c>
      <c r="H48" s="130">
        <f>IF(ISNUMBER('週次_媒体別CP'!K120),'週次_媒体別CP'!K120,NA())</f>
        <v/>
      </c>
    </row>
    <row r="50">
      <c r="A50" s="136" t="inlineStr">
        <is>
          <t>CPM</t>
        </is>
      </c>
    </row>
    <row r="51">
      <c r="A51" s="127" t="inlineStr">
        <is>
          <t>週</t>
        </is>
      </c>
      <c r="B51" s="128" t="inlineStr">
        <is>
          <t>Meta/ウェビナー</t>
        </is>
      </c>
      <c r="C51" s="128" t="inlineStr">
        <is>
          <t>Meta/介護校</t>
        </is>
      </c>
      <c r="D51" s="128" t="inlineStr">
        <is>
          <t>Meta/Claude</t>
        </is>
      </c>
      <c r="E51" s="128" t="inlineStr">
        <is>
          <t>Google/ウェビナー</t>
        </is>
      </c>
      <c r="F51" s="128" t="inlineStr">
        <is>
          <t>Google/常設</t>
        </is>
      </c>
      <c r="G51" s="128" t="inlineStr">
        <is>
          <t>LINE/ウェビナー</t>
        </is>
      </c>
      <c r="H51" s="128" t="inlineStr">
        <is>
          <t>LINE/常設</t>
        </is>
      </c>
    </row>
    <row r="52">
      <c r="A52" s="129" t="inlineStr">
        <is>
          <t>W1</t>
        </is>
      </c>
      <c r="B52" s="130">
        <f>IF(ISNUMBER('週次_媒体別CP'!I6),'週次_媒体別CP'!I6,NA())</f>
        <v/>
      </c>
      <c r="C52" s="130">
        <f>IF(ISNUMBER('週次_媒体別CP'!I23),'週次_媒体別CP'!I23,NA())</f>
        <v/>
      </c>
      <c r="D52" s="130">
        <f>IF(ISNUMBER('週次_媒体別CP'!I40),'週次_媒体別CP'!I40,NA())</f>
        <v/>
      </c>
      <c r="E52" s="130">
        <f>IF(ISNUMBER('週次_媒体別CP'!I57),'週次_媒体別CP'!I57,NA())</f>
        <v/>
      </c>
      <c r="F52" s="130">
        <f>IF(ISNUMBER('週次_媒体別CP'!I74),'週次_媒体別CP'!I74,NA())</f>
        <v/>
      </c>
      <c r="G52" s="130">
        <f>IF(ISNUMBER('週次_媒体別CP'!I91),'週次_媒体別CP'!I91,NA())</f>
        <v/>
      </c>
      <c r="H52" s="130">
        <f>IF(ISNUMBER('週次_媒体別CP'!I108),'週次_媒体別CP'!I108,NA())</f>
        <v/>
      </c>
    </row>
    <row r="53">
      <c r="A53" s="129" t="inlineStr">
        <is>
          <t>W2</t>
        </is>
      </c>
      <c r="B53" s="130">
        <f>IF(ISNUMBER('週次_媒体別CP'!I7),'週次_媒体別CP'!I7,NA())</f>
        <v/>
      </c>
      <c r="C53" s="130">
        <f>IF(ISNUMBER('週次_媒体別CP'!I24),'週次_媒体別CP'!I24,NA())</f>
        <v/>
      </c>
      <c r="D53" s="130">
        <f>IF(ISNUMBER('週次_媒体別CP'!I41),'週次_媒体別CP'!I41,NA())</f>
        <v/>
      </c>
      <c r="E53" s="130">
        <f>IF(ISNUMBER('週次_媒体別CP'!I58),'週次_媒体別CP'!I58,NA())</f>
        <v/>
      </c>
      <c r="F53" s="130">
        <f>IF(ISNUMBER('週次_媒体別CP'!I75),'週次_媒体別CP'!I75,NA())</f>
        <v/>
      </c>
      <c r="G53" s="130">
        <f>IF(ISNUMBER('週次_媒体別CP'!I92),'週次_媒体別CP'!I92,NA())</f>
        <v/>
      </c>
      <c r="H53" s="130">
        <f>IF(ISNUMBER('週次_媒体別CP'!I109),'週次_媒体別CP'!I109,NA())</f>
        <v/>
      </c>
    </row>
    <row r="54">
      <c r="A54" s="129" t="inlineStr">
        <is>
          <t>W3</t>
        </is>
      </c>
      <c r="B54" s="130">
        <f>IF(ISNUMBER('週次_媒体別CP'!I8),'週次_媒体別CP'!I8,NA())</f>
        <v/>
      </c>
      <c r="C54" s="130">
        <f>IF(ISNUMBER('週次_媒体別CP'!I25),'週次_媒体別CP'!I25,NA())</f>
        <v/>
      </c>
      <c r="D54" s="130">
        <f>IF(ISNUMBER('週次_媒体別CP'!I42),'週次_媒体別CP'!I42,NA())</f>
        <v/>
      </c>
      <c r="E54" s="130">
        <f>IF(ISNUMBER('週次_媒体別CP'!I59),'週次_媒体別CP'!I59,NA())</f>
        <v/>
      </c>
      <c r="F54" s="130">
        <f>IF(ISNUMBER('週次_媒体別CP'!I76),'週次_媒体別CP'!I76,NA())</f>
        <v/>
      </c>
      <c r="G54" s="130">
        <f>IF(ISNUMBER('週次_媒体別CP'!I93),'週次_媒体別CP'!I93,NA())</f>
        <v/>
      </c>
      <c r="H54" s="130">
        <f>IF(ISNUMBER('週次_媒体別CP'!I110),'週次_媒体別CP'!I110,NA())</f>
        <v/>
      </c>
    </row>
    <row r="55">
      <c r="A55" s="129" t="inlineStr">
        <is>
          <t>W4</t>
        </is>
      </c>
      <c r="B55" s="130">
        <f>IF(ISNUMBER('週次_媒体別CP'!I9),'週次_媒体別CP'!I9,NA())</f>
        <v/>
      </c>
      <c r="C55" s="130">
        <f>IF(ISNUMBER('週次_媒体別CP'!I26),'週次_媒体別CP'!I26,NA())</f>
        <v/>
      </c>
      <c r="D55" s="130">
        <f>IF(ISNUMBER('週次_媒体別CP'!I43),'週次_媒体別CP'!I43,NA())</f>
        <v/>
      </c>
      <c r="E55" s="130">
        <f>IF(ISNUMBER('週次_媒体別CP'!I60),'週次_媒体別CP'!I60,NA())</f>
        <v/>
      </c>
      <c r="F55" s="130">
        <f>IF(ISNUMBER('週次_媒体別CP'!I77),'週次_媒体別CP'!I77,NA())</f>
        <v/>
      </c>
      <c r="G55" s="130">
        <f>IF(ISNUMBER('週次_媒体別CP'!I94),'週次_媒体別CP'!I94,NA())</f>
        <v/>
      </c>
      <c r="H55" s="130">
        <f>IF(ISNUMBER('週次_媒体別CP'!I111),'週次_媒体別CP'!I111,NA())</f>
        <v/>
      </c>
    </row>
    <row r="56">
      <c r="A56" s="129" t="inlineStr">
        <is>
          <t>W5</t>
        </is>
      </c>
      <c r="B56" s="130">
        <f>IF(ISNUMBER('週次_媒体別CP'!I10),'週次_媒体別CP'!I10,NA())</f>
        <v/>
      </c>
      <c r="C56" s="130">
        <f>IF(ISNUMBER('週次_媒体別CP'!I27),'週次_媒体別CP'!I27,NA())</f>
        <v/>
      </c>
      <c r="D56" s="130">
        <f>IF(ISNUMBER('週次_媒体別CP'!I44),'週次_媒体別CP'!I44,NA())</f>
        <v/>
      </c>
      <c r="E56" s="130">
        <f>IF(ISNUMBER('週次_媒体別CP'!I61),'週次_媒体別CP'!I61,NA())</f>
        <v/>
      </c>
      <c r="F56" s="130">
        <f>IF(ISNUMBER('週次_媒体別CP'!I78),'週次_媒体別CP'!I78,NA())</f>
        <v/>
      </c>
      <c r="G56" s="130">
        <f>IF(ISNUMBER('週次_媒体別CP'!I95),'週次_媒体別CP'!I95,NA())</f>
        <v/>
      </c>
      <c r="H56" s="130">
        <f>IF(ISNUMBER('週次_媒体別CP'!I112),'週次_媒体別CP'!I112,NA())</f>
        <v/>
      </c>
    </row>
    <row r="57">
      <c r="A57" s="129" t="inlineStr">
        <is>
          <t>W6</t>
        </is>
      </c>
      <c r="B57" s="130">
        <f>IF(ISNUMBER('週次_媒体別CP'!I11),'週次_媒体別CP'!I11,NA())</f>
        <v/>
      </c>
      <c r="C57" s="130">
        <f>IF(ISNUMBER('週次_媒体別CP'!I28),'週次_媒体別CP'!I28,NA())</f>
        <v/>
      </c>
      <c r="D57" s="130">
        <f>IF(ISNUMBER('週次_媒体別CP'!I45),'週次_媒体別CP'!I45,NA())</f>
        <v/>
      </c>
      <c r="E57" s="130">
        <f>IF(ISNUMBER('週次_媒体別CP'!I62),'週次_媒体別CP'!I62,NA())</f>
        <v/>
      </c>
      <c r="F57" s="130">
        <f>IF(ISNUMBER('週次_媒体別CP'!I79),'週次_媒体別CP'!I79,NA())</f>
        <v/>
      </c>
      <c r="G57" s="130">
        <f>IF(ISNUMBER('週次_媒体別CP'!I96),'週次_媒体別CP'!I96,NA())</f>
        <v/>
      </c>
      <c r="H57" s="130">
        <f>IF(ISNUMBER('週次_媒体別CP'!I113),'週次_媒体別CP'!I113,NA())</f>
        <v/>
      </c>
    </row>
    <row r="58">
      <c r="A58" s="129" t="inlineStr">
        <is>
          <t>W7</t>
        </is>
      </c>
      <c r="B58" s="130">
        <f>IF(ISNUMBER('週次_媒体別CP'!I12),'週次_媒体別CP'!I12,NA())</f>
        <v/>
      </c>
      <c r="C58" s="130">
        <f>IF(ISNUMBER('週次_媒体別CP'!I29),'週次_媒体別CP'!I29,NA())</f>
        <v/>
      </c>
      <c r="D58" s="130">
        <f>IF(ISNUMBER('週次_媒体別CP'!I46),'週次_媒体別CP'!I46,NA())</f>
        <v/>
      </c>
      <c r="E58" s="130">
        <f>IF(ISNUMBER('週次_媒体別CP'!I63),'週次_媒体別CP'!I63,NA())</f>
        <v/>
      </c>
      <c r="F58" s="130">
        <f>IF(ISNUMBER('週次_媒体別CP'!I80),'週次_媒体別CP'!I80,NA())</f>
        <v/>
      </c>
      <c r="G58" s="130">
        <f>IF(ISNUMBER('週次_媒体別CP'!I97),'週次_媒体別CP'!I97,NA())</f>
        <v/>
      </c>
      <c r="H58" s="130">
        <f>IF(ISNUMBER('週次_媒体別CP'!I114),'週次_媒体別CP'!I114,NA())</f>
        <v/>
      </c>
    </row>
    <row r="59">
      <c r="A59" s="129" t="inlineStr">
        <is>
          <t>W8</t>
        </is>
      </c>
      <c r="B59" s="130">
        <f>IF(ISNUMBER('週次_媒体別CP'!I13),'週次_媒体別CP'!I13,NA())</f>
        <v/>
      </c>
      <c r="C59" s="130">
        <f>IF(ISNUMBER('週次_媒体別CP'!I30),'週次_媒体別CP'!I30,NA())</f>
        <v/>
      </c>
      <c r="D59" s="130">
        <f>IF(ISNUMBER('週次_媒体別CP'!I47),'週次_媒体別CP'!I47,NA())</f>
        <v/>
      </c>
      <c r="E59" s="130">
        <f>IF(ISNUMBER('週次_媒体別CP'!I64),'週次_媒体別CP'!I64,NA())</f>
        <v/>
      </c>
      <c r="F59" s="130">
        <f>IF(ISNUMBER('週次_媒体別CP'!I81),'週次_媒体別CP'!I81,NA())</f>
        <v/>
      </c>
      <c r="G59" s="130">
        <f>IF(ISNUMBER('週次_媒体別CP'!I98),'週次_媒体別CP'!I98,NA())</f>
        <v/>
      </c>
      <c r="H59" s="130">
        <f>IF(ISNUMBER('週次_媒体別CP'!I115),'週次_媒体別CP'!I115,NA())</f>
        <v/>
      </c>
    </row>
    <row r="60">
      <c r="A60" s="129" t="inlineStr">
        <is>
          <t>W9</t>
        </is>
      </c>
      <c r="B60" s="130">
        <f>IF(ISNUMBER('週次_媒体別CP'!I14),'週次_媒体別CP'!I14,NA())</f>
        <v/>
      </c>
      <c r="C60" s="130">
        <f>IF(ISNUMBER('週次_媒体別CP'!I31),'週次_媒体別CP'!I31,NA())</f>
        <v/>
      </c>
      <c r="D60" s="130">
        <f>IF(ISNUMBER('週次_媒体別CP'!I48),'週次_媒体別CP'!I48,NA())</f>
        <v/>
      </c>
      <c r="E60" s="130">
        <f>IF(ISNUMBER('週次_媒体別CP'!I65),'週次_媒体別CP'!I65,NA())</f>
        <v/>
      </c>
      <c r="F60" s="130">
        <f>IF(ISNUMBER('週次_媒体別CP'!I82),'週次_媒体別CP'!I82,NA())</f>
        <v/>
      </c>
      <c r="G60" s="130">
        <f>IF(ISNUMBER('週次_媒体別CP'!I99),'週次_媒体別CP'!I99,NA())</f>
        <v/>
      </c>
      <c r="H60" s="130">
        <f>IF(ISNUMBER('週次_媒体別CP'!I116),'週次_媒体別CP'!I116,NA())</f>
        <v/>
      </c>
    </row>
    <row r="61">
      <c r="A61" s="129" t="inlineStr">
        <is>
          <t>W10</t>
        </is>
      </c>
      <c r="B61" s="130">
        <f>IF(ISNUMBER('週次_媒体別CP'!I15),'週次_媒体別CP'!I15,NA())</f>
        <v/>
      </c>
      <c r="C61" s="130">
        <f>IF(ISNUMBER('週次_媒体別CP'!I32),'週次_媒体別CP'!I32,NA())</f>
        <v/>
      </c>
      <c r="D61" s="130">
        <f>IF(ISNUMBER('週次_媒体別CP'!I49),'週次_媒体別CP'!I49,NA())</f>
        <v/>
      </c>
      <c r="E61" s="130">
        <f>IF(ISNUMBER('週次_媒体別CP'!I66),'週次_媒体別CP'!I66,NA())</f>
        <v/>
      </c>
      <c r="F61" s="130">
        <f>IF(ISNUMBER('週次_媒体別CP'!I83),'週次_媒体別CP'!I83,NA())</f>
        <v/>
      </c>
      <c r="G61" s="130">
        <f>IF(ISNUMBER('週次_媒体別CP'!I100),'週次_媒体別CP'!I100,NA())</f>
        <v/>
      </c>
      <c r="H61" s="130">
        <f>IF(ISNUMBER('週次_媒体別CP'!I117),'週次_媒体別CP'!I117,NA())</f>
        <v/>
      </c>
    </row>
    <row r="62">
      <c r="A62" s="129" t="inlineStr">
        <is>
          <t>W11</t>
        </is>
      </c>
      <c r="B62" s="130">
        <f>IF(ISNUMBER('週次_媒体別CP'!I16),'週次_媒体別CP'!I16,NA())</f>
        <v/>
      </c>
      <c r="C62" s="130">
        <f>IF(ISNUMBER('週次_媒体別CP'!I33),'週次_媒体別CP'!I33,NA())</f>
        <v/>
      </c>
      <c r="D62" s="130">
        <f>IF(ISNUMBER('週次_媒体別CP'!I50),'週次_媒体別CP'!I50,NA())</f>
        <v/>
      </c>
      <c r="E62" s="130">
        <f>IF(ISNUMBER('週次_媒体別CP'!I67),'週次_媒体別CP'!I67,NA())</f>
        <v/>
      </c>
      <c r="F62" s="130">
        <f>IF(ISNUMBER('週次_媒体別CP'!I84),'週次_媒体別CP'!I84,NA())</f>
        <v/>
      </c>
      <c r="G62" s="130">
        <f>IF(ISNUMBER('週次_媒体別CP'!I101),'週次_媒体別CP'!I101,NA())</f>
        <v/>
      </c>
      <c r="H62" s="130">
        <f>IF(ISNUMBER('週次_媒体別CP'!I118),'週次_媒体別CP'!I118,NA())</f>
        <v/>
      </c>
    </row>
    <row r="63">
      <c r="A63" s="129" t="inlineStr">
        <is>
          <t>W12</t>
        </is>
      </c>
      <c r="B63" s="130">
        <f>IF(ISNUMBER('週次_媒体別CP'!I17),'週次_媒体別CP'!I17,NA())</f>
        <v/>
      </c>
      <c r="C63" s="130">
        <f>IF(ISNUMBER('週次_媒体別CP'!I34),'週次_媒体別CP'!I34,NA())</f>
        <v/>
      </c>
      <c r="D63" s="130">
        <f>IF(ISNUMBER('週次_媒体別CP'!I51),'週次_媒体別CP'!I51,NA())</f>
        <v/>
      </c>
      <c r="E63" s="130">
        <f>IF(ISNUMBER('週次_媒体別CP'!I68),'週次_媒体別CP'!I68,NA())</f>
        <v/>
      </c>
      <c r="F63" s="130">
        <f>IF(ISNUMBER('週次_媒体別CP'!I85),'週次_媒体別CP'!I85,NA())</f>
        <v/>
      </c>
      <c r="G63" s="130">
        <f>IF(ISNUMBER('週次_媒体別CP'!I102),'週次_媒体別CP'!I102,NA())</f>
        <v/>
      </c>
      <c r="H63" s="130">
        <f>IF(ISNUMBER('週次_媒体別CP'!I119),'週次_媒体別CP'!I119,NA())</f>
        <v/>
      </c>
    </row>
    <row r="64">
      <c r="A64" s="129" t="inlineStr">
        <is>
          <t>W13</t>
        </is>
      </c>
      <c r="B64" s="130">
        <f>IF(ISNUMBER('週次_媒体別CP'!I18),'週次_媒体別CP'!I18,NA())</f>
        <v/>
      </c>
      <c r="C64" s="130">
        <f>IF(ISNUMBER('週次_媒体別CP'!I35),'週次_媒体別CP'!I35,NA())</f>
        <v/>
      </c>
      <c r="D64" s="130">
        <f>IF(ISNUMBER('週次_媒体別CP'!I52),'週次_媒体別CP'!I52,NA())</f>
        <v/>
      </c>
      <c r="E64" s="130">
        <f>IF(ISNUMBER('週次_媒体別CP'!I69),'週次_媒体別CP'!I69,NA())</f>
        <v/>
      </c>
      <c r="F64" s="130">
        <f>IF(ISNUMBER('週次_媒体別CP'!I86),'週次_媒体別CP'!I86,NA())</f>
        <v/>
      </c>
      <c r="G64" s="130">
        <f>IF(ISNUMBER('週次_媒体別CP'!I103),'週次_媒体別CP'!I103,NA())</f>
        <v/>
      </c>
      <c r="H64" s="130">
        <f>IF(ISNUMBER('週次_媒体別CP'!I120),'週次_媒体別CP'!I120,NA())</f>
        <v/>
      </c>
    </row>
    <row r="66">
      <c r="A66" s="136" t="inlineStr">
        <is>
          <t>CTR</t>
        </is>
      </c>
    </row>
    <row r="67">
      <c r="A67" s="127" t="inlineStr">
        <is>
          <t>週</t>
        </is>
      </c>
      <c r="B67" s="128" t="inlineStr">
        <is>
          <t>Meta/ウェビナー</t>
        </is>
      </c>
      <c r="C67" s="128" t="inlineStr">
        <is>
          <t>Meta/介護校</t>
        </is>
      </c>
      <c r="D67" s="128" t="inlineStr">
        <is>
          <t>Meta/Claude</t>
        </is>
      </c>
      <c r="E67" s="128" t="inlineStr">
        <is>
          <t>Google/ウェビナー</t>
        </is>
      </c>
      <c r="F67" s="128" t="inlineStr">
        <is>
          <t>Google/常設</t>
        </is>
      </c>
      <c r="G67" s="128" t="inlineStr">
        <is>
          <t>LINE/ウェビナー</t>
        </is>
      </c>
      <c r="H67" s="128" t="inlineStr">
        <is>
          <t>LINE/常設</t>
        </is>
      </c>
    </row>
    <row r="68">
      <c r="A68" s="129" t="inlineStr">
        <is>
          <t>W1</t>
        </is>
      </c>
      <c r="B68" s="132">
        <f>IF(ISNUMBER('週次_媒体別CP'!G6),'週次_媒体別CP'!G6,NA())</f>
        <v/>
      </c>
      <c r="C68" s="132">
        <f>IF(ISNUMBER('週次_媒体別CP'!G23),'週次_媒体別CP'!G23,NA())</f>
        <v/>
      </c>
      <c r="D68" s="132">
        <f>IF(ISNUMBER('週次_媒体別CP'!G40),'週次_媒体別CP'!G40,NA())</f>
        <v/>
      </c>
      <c r="E68" s="132">
        <f>IF(ISNUMBER('週次_媒体別CP'!G57),'週次_媒体別CP'!G57,NA())</f>
        <v/>
      </c>
      <c r="F68" s="132">
        <f>IF(ISNUMBER('週次_媒体別CP'!G74),'週次_媒体別CP'!G74,NA())</f>
        <v/>
      </c>
      <c r="G68" s="132">
        <f>IF(ISNUMBER('週次_媒体別CP'!G91),'週次_媒体別CP'!G91,NA())</f>
        <v/>
      </c>
      <c r="H68" s="132">
        <f>IF(ISNUMBER('週次_媒体別CP'!G108),'週次_媒体別CP'!G108,NA())</f>
        <v/>
      </c>
    </row>
    <row r="69">
      <c r="A69" s="129" t="inlineStr">
        <is>
          <t>W2</t>
        </is>
      </c>
      <c r="B69" s="132">
        <f>IF(ISNUMBER('週次_媒体別CP'!G7),'週次_媒体別CP'!G7,NA())</f>
        <v/>
      </c>
      <c r="C69" s="132">
        <f>IF(ISNUMBER('週次_媒体別CP'!G24),'週次_媒体別CP'!G24,NA())</f>
        <v/>
      </c>
      <c r="D69" s="132">
        <f>IF(ISNUMBER('週次_媒体別CP'!G41),'週次_媒体別CP'!G41,NA())</f>
        <v/>
      </c>
      <c r="E69" s="132">
        <f>IF(ISNUMBER('週次_媒体別CP'!G58),'週次_媒体別CP'!G58,NA())</f>
        <v/>
      </c>
      <c r="F69" s="132">
        <f>IF(ISNUMBER('週次_媒体別CP'!G75),'週次_媒体別CP'!G75,NA())</f>
        <v/>
      </c>
      <c r="G69" s="132">
        <f>IF(ISNUMBER('週次_媒体別CP'!G92),'週次_媒体別CP'!G92,NA())</f>
        <v/>
      </c>
      <c r="H69" s="132">
        <f>IF(ISNUMBER('週次_媒体別CP'!G109),'週次_媒体別CP'!G109,NA())</f>
        <v/>
      </c>
    </row>
    <row r="70">
      <c r="A70" s="129" t="inlineStr">
        <is>
          <t>W3</t>
        </is>
      </c>
      <c r="B70" s="132">
        <f>IF(ISNUMBER('週次_媒体別CP'!G8),'週次_媒体別CP'!G8,NA())</f>
        <v/>
      </c>
      <c r="C70" s="132">
        <f>IF(ISNUMBER('週次_媒体別CP'!G25),'週次_媒体別CP'!G25,NA())</f>
        <v/>
      </c>
      <c r="D70" s="132">
        <f>IF(ISNUMBER('週次_媒体別CP'!G42),'週次_媒体別CP'!G42,NA())</f>
        <v/>
      </c>
      <c r="E70" s="132">
        <f>IF(ISNUMBER('週次_媒体別CP'!G59),'週次_媒体別CP'!G59,NA())</f>
        <v/>
      </c>
      <c r="F70" s="132">
        <f>IF(ISNUMBER('週次_媒体別CP'!G76),'週次_媒体別CP'!G76,NA())</f>
        <v/>
      </c>
      <c r="G70" s="132">
        <f>IF(ISNUMBER('週次_媒体別CP'!G93),'週次_媒体別CP'!G93,NA())</f>
        <v/>
      </c>
      <c r="H70" s="132">
        <f>IF(ISNUMBER('週次_媒体別CP'!G110),'週次_媒体別CP'!G110,NA())</f>
        <v/>
      </c>
    </row>
    <row r="71">
      <c r="A71" s="129" t="inlineStr">
        <is>
          <t>W4</t>
        </is>
      </c>
      <c r="B71" s="132">
        <f>IF(ISNUMBER('週次_媒体別CP'!G9),'週次_媒体別CP'!G9,NA())</f>
        <v/>
      </c>
      <c r="C71" s="132">
        <f>IF(ISNUMBER('週次_媒体別CP'!G26),'週次_媒体別CP'!G26,NA())</f>
        <v/>
      </c>
      <c r="D71" s="132">
        <f>IF(ISNUMBER('週次_媒体別CP'!G43),'週次_媒体別CP'!G43,NA())</f>
        <v/>
      </c>
      <c r="E71" s="132">
        <f>IF(ISNUMBER('週次_媒体別CP'!G60),'週次_媒体別CP'!G60,NA())</f>
        <v/>
      </c>
      <c r="F71" s="132">
        <f>IF(ISNUMBER('週次_媒体別CP'!G77),'週次_媒体別CP'!G77,NA())</f>
        <v/>
      </c>
      <c r="G71" s="132">
        <f>IF(ISNUMBER('週次_媒体別CP'!G94),'週次_媒体別CP'!G94,NA())</f>
        <v/>
      </c>
      <c r="H71" s="132">
        <f>IF(ISNUMBER('週次_媒体別CP'!G111),'週次_媒体別CP'!G111,NA())</f>
        <v/>
      </c>
    </row>
    <row r="72">
      <c r="A72" s="129" t="inlineStr">
        <is>
          <t>W5</t>
        </is>
      </c>
      <c r="B72" s="132">
        <f>IF(ISNUMBER('週次_媒体別CP'!G10),'週次_媒体別CP'!G10,NA())</f>
        <v/>
      </c>
      <c r="C72" s="132">
        <f>IF(ISNUMBER('週次_媒体別CP'!G27),'週次_媒体別CP'!G27,NA())</f>
        <v/>
      </c>
      <c r="D72" s="132">
        <f>IF(ISNUMBER('週次_媒体別CP'!G44),'週次_媒体別CP'!G44,NA())</f>
        <v/>
      </c>
      <c r="E72" s="132">
        <f>IF(ISNUMBER('週次_媒体別CP'!G61),'週次_媒体別CP'!G61,NA())</f>
        <v/>
      </c>
      <c r="F72" s="132">
        <f>IF(ISNUMBER('週次_媒体別CP'!G78),'週次_媒体別CP'!G78,NA())</f>
        <v/>
      </c>
      <c r="G72" s="132">
        <f>IF(ISNUMBER('週次_媒体別CP'!G95),'週次_媒体別CP'!G95,NA())</f>
        <v/>
      </c>
      <c r="H72" s="132">
        <f>IF(ISNUMBER('週次_媒体別CP'!G112),'週次_媒体別CP'!G112,NA())</f>
        <v/>
      </c>
    </row>
    <row r="73">
      <c r="A73" s="129" t="inlineStr">
        <is>
          <t>W6</t>
        </is>
      </c>
      <c r="B73" s="132">
        <f>IF(ISNUMBER('週次_媒体別CP'!G11),'週次_媒体別CP'!G11,NA())</f>
        <v/>
      </c>
      <c r="C73" s="132">
        <f>IF(ISNUMBER('週次_媒体別CP'!G28),'週次_媒体別CP'!G28,NA())</f>
        <v/>
      </c>
      <c r="D73" s="132">
        <f>IF(ISNUMBER('週次_媒体別CP'!G45),'週次_媒体別CP'!G45,NA())</f>
        <v/>
      </c>
      <c r="E73" s="132">
        <f>IF(ISNUMBER('週次_媒体別CP'!G62),'週次_媒体別CP'!G62,NA())</f>
        <v/>
      </c>
      <c r="F73" s="132">
        <f>IF(ISNUMBER('週次_媒体別CP'!G79),'週次_媒体別CP'!G79,NA())</f>
        <v/>
      </c>
      <c r="G73" s="132">
        <f>IF(ISNUMBER('週次_媒体別CP'!G96),'週次_媒体別CP'!G96,NA())</f>
        <v/>
      </c>
      <c r="H73" s="132">
        <f>IF(ISNUMBER('週次_媒体別CP'!G113),'週次_媒体別CP'!G113,NA())</f>
        <v/>
      </c>
    </row>
    <row r="74">
      <c r="A74" s="129" t="inlineStr">
        <is>
          <t>W7</t>
        </is>
      </c>
      <c r="B74" s="132">
        <f>IF(ISNUMBER('週次_媒体別CP'!G12),'週次_媒体別CP'!G12,NA())</f>
        <v/>
      </c>
      <c r="C74" s="132">
        <f>IF(ISNUMBER('週次_媒体別CP'!G29),'週次_媒体別CP'!G29,NA())</f>
        <v/>
      </c>
      <c r="D74" s="132">
        <f>IF(ISNUMBER('週次_媒体別CP'!G46),'週次_媒体別CP'!G46,NA())</f>
        <v/>
      </c>
      <c r="E74" s="132">
        <f>IF(ISNUMBER('週次_媒体別CP'!G63),'週次_媒体別CP'!G63,NA())</f>
        <v/>
      </c>
      <c r="F74" s="132">
        <f>IF(ISNUMBER('週次_媒体別CP'!G80),'週次_媒体別CP'!G80,NA())</f>
        <v/>
      </c>
      <c r="G74" s="132">
        <f>IF(ISNUMBER('週次_媒体別CP'!G97),'週次_媒体別CP'!G97,NA())</f>
        <v/>
      </c>
      <c r="H74" s="132">
        <f>IF(ISNUMBER('週次_媒体別CP'!G114),'週次_媒体別CP'!G114,NA())</f>
        <v/>
      </c>
    </row>
    <row r="75">
      <c r="A75" s="129" t="inlineStr">
        <is>
          <t>W8</t>
        </is>
      </c>
      <c r="B75" s="132">
        <f>IF(ISNUMBER('週次_媒体別CP'!G13),'週次_媒体別CP'!G13,NA())</f>
        <v/>
      </c>
      <c r="C75" s="132">
        <f>IF(ISNUMBER('週次_媒体別CP'!G30),'週次_媒体別CP'!G30,NA())</f>
        <v/>
      </c>
      <c r="D75" s="132">
        <f>IF(ISNUMBER('週次_媒体別CP'!G47),'週次_媒体別CP'!G47,NA())</f>
        <v/>
      </c>
      <c r="E75" s="132">
        <f>IF(ISNUMBER('週次_媒体別CP'!G64),'週次_媒体別CP'!G64,NA())</f>
        <v/>
      </c>
      <c r="F75" s="132">
        <f>IF(ISNUMBER('週次_媒体別CP'!G81),'週次_媒体別CP'!G81,NA())</f>
        <v/>
      </c>
      <c r="G75" s="132">
        <f>IF(ISNUMBER('週次_媒体別CP'!G98),'週次_媒体別CP'!G98,NA())</f>
        <v/>
      </c>
      <c r="H75" s="132">
        <f>IF(ISNUMBER('週次_媒体別CP'!G115),'週次_媒体別CP'!G115,NA())</f>
        <v/>
      </c>
    </row>
    <row r="76">
      <c r="A76" s="129" t="inlineStr">
        <is>
          <t>W9</t>
        </is>
      </c>
      <c r="B76" s="132">
        <f>IF(ISNUMBER('週次_媒体別CP'!G14),'週次_媒体別CP'!G14,NA())</f>
        <v/>
      </c>
      <c r="C76" s="132">
        <f>IF(ISNUMBER('週次_媒体別CP'!G31),'週次_媒体別CP'!G31,NA())</f>
        <v/>
      </c>
      <c r="D76" s="132">
        <f>IF(ISNUMBER('週次_媒体別CP'!G48),'週次_媒体別CP'!G48,NA())</f>
        <v/>
      </c>
      <c r="E76" s="132">
        <f>IF(ISNUMBER('週次_媒体別CP'!G65),'週次_媒体別CP'!G65,NA())</f>
        <v/>
      </c>
      <c r="F76" s="132">
        <f>IF(ISNUMBER('週次_媒体別CP'!G82),'週次_媒体別CP'!G82,NA())</f>
        <v/>
      </c>
      <c r="G76" s="132">
        <f>IF(ISNUMBER('週次_媒体別CP'!G99),'週次_媒体別CP'!G99,NA())</f>
        <v/>
      </c>
      <c r="H76" s="132">
        <f>IF(ISNUMBER('週次_媒体別CP'!G116),'週次_媒体別CP'!G116,NA())</f>
        <v/>
      </c>
    </row>
    <row r="77">
      <c r="A77" s="129" t="inlineStr">
        <is>
          <t>W10</t>
        </is>
      </c>
      <c r="B77" s="132">
        <f>IF(ISNUMBER('週次_媒体別CP'!G15),'週次_媒体別CP'!G15,NA())</f>
        <v/>
      </c>
      <c r="C77" s="132">
        <f>IF(ISNUMBER('週次_媒体別CP'!G32),'週次_媒体別CP'!G32,NA())</f>
        <v/>
      </c>
      <c r="D77" s="132">
        <f>IF(ISNUMBER('週次_媒体別CP'!G49),'週次_媒体別CP'!G49,NA())</f>
        <v/>
      </c>
      <c r="E77" s="132">
        <f>IF(ISNUMBER('週次_媒体別CP'!G66),'週次_媒体別CP'!G66,NA())</f>
        <v/>
      </c>
      <c r="F77" s="132">
        <f>IF(ISNUMBER('週次_媒体別CP'!G83),'週次_媒体別CP'!G83,NA())</f>
        <v/>
      </c>
      <c r="G77" s="132">
        <f>IF(ISNUMBER('週次_媒体別CP'!G100),'週次_媒体別CP'!G100,NA())</f>
        <v/>
      </c>
      <c r="H77" s="132">
        <f>IF(ISNUMBER('週次_媒体別CP'!G117),'週次_媒体別CP'!G117,NA())</f>
        <v/>
      </c>
    </row>
    <row r="78">
      <c r="A78" s="129" t="inlineStr">
        <is>
          <t>W11</t>
        </is>
      </c>
      <c r="B78" s="132">
        <f>IF(ISNUMBER('週次_媒体別CP'!G16),'週次_媒体別CP'!G16,NA())</f>
        <v/>
      </c>
      <c r="C78" s="132">
        <f>IF(ISNUMBER('週次_媒体別CP'!G33),'週次_媒体別CP'!G33,NA())</f>
        <v/>
      </c>
      <c r="D78" s="132">
        <f>IF(ISNUMBER('週次_媒体別CP'!G50),'週次_媒体別CP'!G50,NA())</f>
        <v/>
      </c>
      <c r="E78" s="132">
        <f>IF(ISNUMBER('週次_媒体別CP'!G67),'週次_媒体別CP'!G67,NA())</f>
        <v/>
      </c>
      <c r="F78" s="132">
        <f>IF(ISNUMBER('週次_媒体別CP'!G84),'週次_媒体別CP'!G84,NA())</f>
        <v/>
      </c>
      <c r="G78" s="132">
        <f>IF(ISNUMBER('週次_媒体別CP'!G101),'週次_媒体別CP'!G101,NA())</f>
        <v/>
      </c>
      <c r="H78" s="132">
        <f>IF(ISNUMBER('週次_媒体別CP'!G118),'週次_媒体別CP'!G118,NA())</f>
        <v/>
      </c>
    </row>
    <row r="79">
      <c r="A79" s="129" t="inlineStr">
        <is>
          <t>W12</t>
        </is>
      </c>
      <c r="B79" s="132">
        <f>IF(ISNUMBER('週次_媒体別CP'!G17),'週次_媒体別CP'!G17,NA())</f>
        <v/>
      </c>
      <c r="C79" s="132">
        <f>IF(ISNUMBER('週次_媒体別CP'!G34),'週次_媒体別CP'!G34,NA())</f>
        <v/>
      </c>
      <c r="D79" s="132">
        <f>IF(ISNUMBER('週次_媒体別CP'!G51),'週次_媒体別CP'!G51,NA())</f>
        <v/>
      </c>
      <c r="E79" s="132">
        <f>IF(ISNUMBER('週次_媒体別CP'!G68),'週次_媒体別CP'!G68,NA())</f>
        <v/>
      </c>
      <c r="F79" s="132">
        <f>IF(ISNUMBER('週次_媒体別CP'!G85),'週次_媒体別CP'!G85,NA())</f>
        <v/>
      </c>
      <c r="G79" s="132">
        <f>IF(ISNUMBER('週次_媒体別CP'!G102),'週次_媒体別CP'!G102,NA())</f>
        <v/>
      </c>
      <c r="H79" s="132">
        <f>IF(ISNUMBER('週次_媒体別CP'!G119),'週次_媒体別CP'!G119,NA())</f>
        <v/>
      </c>
    </row>
    <row r="80">
      <c r="A80" s="129" t="inlineStr">
        <is>
          <t>W13</t>
        </is>
      </c>
      <c r="B80" s="132">
        <f>IF(ISNUMBER('週次_媒体別CP'!G18),'週次_媒体別CP'!G18,NA())</f>
        <v/>
      </c>
      <c r="C80" s="132">
        <f>IF(ISNUMBER('週次_媒体別CP'!G35),'週次_媒体別CP'!G35,NA())</f>
        <v/>
      </c>
      <c r="D80" s="132">
        <f>IF(ISNUMBER('週次_媒体別CP'!G52),'週次_媒体別CP'!G52,NA())</f>
        <v/>
      </c>
      <c r="E80" s="132">
        <f>IF(ISNUMBER('週次_媒体別CP'!G69),'週次_媒体別CP'!G69,NA())</f>
        <v/>
      </c>
      <c r="F80" s="132">
        <f>IF(ISNUMBER('週次_媒体別CP'!G86),'週次_媒体別CP'!G86,NA())</f>
        <v/>
      </c>
      <c r="G80" s="132">
        <f>IF(ISNUMBER('週次_媒体別CP'!G103),'週次_媒体別CP'!G103,NA())</f>
        <v/>
      </c>
      <c r="H80" s="132">
        <f>IF(ISNUMBER('週次_媒体別CP'!G120),'週次_媒体別CP'!G120,NA())</f>
        <v/>
      </c>
    </row>
    <row r="82">
      <c r="A82" s="136" t="inlineStr">
        <is>
          <t>CPC</t>
        </is>
      </c>
    </row>
    <row r="83">
      <c r="A83" s="127" t="inlineStr">
        <is>
          <t>週</t>
        </is>
      </c>
      <c r="B83" s="128" t="inlineStr">
        <is>
          <t>Meta/ウェビナー</t>
        </is>
      </c>
      <c r="C83" s="128" t="inlineStr">
        <is>
          <t>Meta/介護校</t>
        </is>
      </c>
      <c r="D83" s="128" t="inlineStr">
        <is>
          <t>Meta/Claude</t>
        </is>
      </c>
      <c r="E83" s="128" t="inlineStr">
        <is>
          <t>Google/ウェビナー</t>
        </is>
      </c>
      <c r="F83" s="128" t="inlineStr">
        <is>
          <t>Google/常設</t>
        </is>
      </c>
      <c r="G83" s="128" t="inlineStr">
        <is>
          <t>LINE/ウェビナー</t>
        </is>
      </c>
      <c r="H83" s="128" t="inlineStr">
        <is>
          <t>LINE/常設</t>
        </is>
      </c>
    </row>
    <row r="84">
      <c r="A84" s="129" t="inlineStr">
        <is>
          <t>W1</t>
        </is>
      </c>
      <c r="B84" s="130">
        <f>IF(ISNUMBER('週次_媒体別CP'!H6),'週次_媒体別CP'!H6,NA())</f>
        <v/>
      </c>
      <c r="C84" s="130">
        <f>IF(ISNUMBER('週次_媒体別CP'!H23),'週次_媒体別CP'!H23,NA())</f>
        <v/>
      </c>
      <c r="D84" s="130">
        <f>IF(ISNUMBER('週次_媒体別CP'!H40),'週次_媒体別CP'!H40,NA())</f>
        <v/>
      </c>
      <c r="E84" s="130">
        <f>IF(ISNUMBER('週次_媒体別CP'!H57),'週次_媒体別CP'!H57,NA())</f>
        <v/>
      </c>
      <c r="F84" s="130">
        <f>IF(ISNUMBER('週次_媒体別CP'!H74),'週次_媒体別CP'!H74,NA())</f>
        <v/>
      </c>
      <c r="G84" s="130">
        <f>IF(ISNUMBER('週次_媒体別CP'!H91),'週次_媒体別CP'!H91,NA())</f>
        <v/>
      </c>
      <c r="H84" s="130">
        <f>IF(ISNUMBER('週次_媒体別CP'!H108),'週次_媒体別CP'!H108,NA())</f>
        <v/>
      </c>
    </row>
    <row r="85">
      <c r="A85" s="129" t="inlineStr">
        <is>
          <t>W2</t>
        </is>
      </c>
      <c r="B85" s="130">
        <f>IF(ISNUMBER('週次_媒体別CP'!H7),'週次_媒体別CP'!H7,NA())</f>
        <v/>
      </c>
      <c r="C85" s="130">
        <f>IF(ISNUMBER('週次_媒体別CP'!H24),'週次_媒体別CP'!H24,NA())</f>
        <v/>
      </c>
      <c r="D85" s="130">
        <f>IF(ISNUMBER('週次_媒体別CP'!H41),'週次_媒体別CP'!H41,NA())</f>
        <v/>
      </c>
      <c r="E85" s="130">
        <f>IF(ISNUMBER('週次_媒体別CP'!H58),'週次_媒体別CP'!H58,NA())</f>
        <v/>
      </c>
      <c r="F85" s="130">
        <f>IF(ISNUMBER('週次_媒体別CP'!H75),'週次_媒体別CP'!H75,NA())</f>
        <v/>
      </c>
      <c r="G85" s="130">
        <f>IF(ISNUMBER('週次_媒体別CP'!H92),'週次_媒体別CP'!H92,NA())</f>
        <v/>
      </c>
      <c r="H85" s="130">
        <f>IF(ISNUMBER('週次_媒体別CP'!H109),'週次_媒体別CP'!H109,NA())</f>
        <v/>
      </c>
    </row>
    <row r="86">
      <c r="A86" s="129" t="inlineStr">
        <is>
          <t>W3</t>
        </is>
      </c>
      <c r="B86" s="130">
        <f>IF(ISNUMBER('週次_媒体別CP'!H8),'週次_媒体別CP'!H8,NA())</f>
        <v/>
      </c>
      <c r="C86" s="130">
        <f>IF(ISNUMBER('週次_媒体別CP'!H25),'週次_媒体別CP'!H25,NA())</f>
        <v/>
      </c>
      <c r="D86" s="130">
        <f>IF(ISNUMBER('週次_媒体別CP'!H42),'週次_媒体別CP'!H42,NA())</f>
        <v/>
      </c>
      <c r="E86" s="130">
        <f>IF(ISNUMBER('週次_媒体別CP'!H59),'週次_媒体別CP'!H59,NA())</f>
        <v/>
      </c>
      <c r="F86" s="130">
        <f>IF(ISNUMBER('週次_媒体別CP'!H76),'週次_媒体別CP'!H76,NA())</f>
        <v/>
      </c>
      <c r="G86" s="130">
        <f>IF(ISNUMBER('週次_媒体別CP'!H93),'週次_媒体別CP'!H93,NA())</f>
        <v/>
      </c>
      <c r="H86" s="130">
        <f>IF(ISNUMBER('週次_媒体別CP'!H110),'週次_媒体別CP'!H110,NA())</f>
        <v/>
      </c>
    </row>
    <row r="87">
      <c r="A87" s="129" t="inlineStr">
        <is>
          <t>W4</t>
        </is>
      </c>
      <c r="B87" s="130">
        <f>IF(ISNUMBER('週次_媒体別CP'!H9),'週次_媒体別CP'!H9,NA())</f>
        <v/>
      </c>
      <c r="C87" s="130">
        <f>IF(ISNUMBER('週次_媒体別CP'!H26),'週次_媒体別CP'!H26,NA())</f>
        <v/>
      </c>
      <c r="D87" s="130">
        <f>IF(ISNUMBER('週次_媒体別CP'!H43),'週次_媒体別CP'!H43,NA())</f>
        <v/>
      </c>
      <c r="E87" s="130">
        <f>IF(ISNUMBER('週次_媒体別CP'!H60),'週次_媒体別CP'!H60,NA())</f>
        <v/>
      </c>
      <c r="F87" s="130">
        <f>IF(ISNUMBER('週次_媒体別CP'!H77),'週次_媒体別CP'!H77,NA())</f>
        <v/>
      </c>
      <c r="G87" s="130">
        <f>IF(ISNUMBER('週次_媒体別CP'!H94),'週次_媒体別CP'!H94,NA())</f>
        <v/>
      </c>
      <c r="H87" s="130">
        <f>IF(ISNUMBER('週次_媒体別CP'!H111),'週次_媒体別CP'!H111,NA())</f>
        <v/>
      </c>
    </row>
    <row r="88">
      <c r="A88" s="129" t="inlineStr">
        <is>
          <t>W5</t>
        </is>
      </c>
      <c r="B88" s="130">
        <f>IF(ISNUMBER('週次_媒体別CP'!H10),'週次_媒体別CP'!H10,NA())</f>
        <v/>
      </c>
      <c r="C88" s="130">
        <f>IF(ISNUMBER('週次_媒体別CP'!H27),'週次_媒体別CP'!H27,NA())</f>
        <v/>
      </c>
      <c r="D88" s="130">
        <f>IF(ISNUMBER('週次_媒体別CP'!H44),'週次_媒体別CP'!H44,NA())</f>
        <v/>
      </c>
      <c r="E88" s="130">
        <f>IF(ISNUMBER('週次_媒体別CP'!H61),'週次_媒体別CP'!H61,NA())</f>
        <v/>
      </c>
      <c r="F88" s="130">
        <f>IF(ISNUMBER('週次_媒体別CP'!H78),'週次_媒体別CP'!H78,NA())</f>
        <v/>
      </c>
      <c r="G88" s="130">
        <f>IF(ISNUMBER('週次_媒体別CP'!H95),'週次_媒体別CP'!H95,NA())</f>
        <v/>
      </c>
      <c r="H88" s="130">
        <f>IF(ISNUMBER('週次_媒体別CP'!H112),'週次_媒体別CP'!H112,NA())</f>
        <v/>
      </c>
    </row>
    <row r="89">
      <c r="A89" s="129" t="inlineStr">
        <is>
          <t>W6</t>
        </is>
      </c>
      <c r="B89" s="130">
        <f>IF(ISNUMBER('週次_媒体別CP'!H11),'週次_媒体別CP'!H11,NA())</f>
        <v/>
      </c>
      <c r="C89" s="130">
        <f>IF(ISNUMBER('週次_媒体別CP'!H28),'週次_媒体別CP'!H28,NA())</f>
        <v/>
      </c>
      <c r="D89" s="130">
        <f>IF(ISNUMBER('週次_媒体別CP'!H45),'週次_媒体別CP'!H45,NA())</f>
        <v/>
      </c>
      <c r="E89" s="130">
        <f>IF(ISNUMBER('週次_媒体別CP'!H62),'週次_媒体別CP'!H62,NA())</f>
        <v/>
      </c>
      <c r="F89" s="130">
        <f>IF(ISNUMBER('週次_媒体別CP'!H79),'週次_媒体別CP'!H79,NA())</f>
        <v/>
      </c>
      <c r="G89" s="130">
        <f>IF(ISNUMBER('週次_媒体別CP'!H96),'週次_媒体別CP'!H96,NA())</f>
        <v/>
      </c>
      <c r="H89" s="130">
        <f>IF(ISNUMBER('週次_媒体別CP'!H113),'週次_媒体別CP'!H113,NA())</f>
        <v/>
      </c>
    </row>
    <row r="90">
      <c r="A90" s="129" t="inlineStr">
        <is>
          <t>W7</t>
        </is>
      </c>
      <c r="B90" s="130">
        <f>IF(ISNUMBER('週次_媒体別CP'!H12),'週次_媒体別CP'!H12,NA())</f>
        <v/>
      </c>
      <c r="C90" s="130">
        <f>IF(ISNUMBER('週次_媒体別CP'!H29),'週次_媒体別CP'!H29,NA())</f>
        <v/>
      </c>
      <c r="D90" s="130">
        <f>IF(ISNUMBER('週次_媒体別CP'!H46),'週次_媒体別CP'!H46,NA())</f>
        <v/>
      </c>
      <c r="E90" s="130">
        <f>IF(ISNUMBER('週次_媒体別CP'!H63),'週次_媒体別CP'!H63,NA())</f>
        <v/>
      </c>
      <c r="F90" s="130">
        <f>IF(ISNUMBER('週次_媒体別CP'!H80),'週次_媒体別CP'!H80,NA())</f>
        <v/>
      </c>
      <c r="G90" s="130">
        <f>IF(ISNUMBER('週次_媒体別CP'!H97),'週次_媒体別CP'!H97,NA())</f>
        <v/>
      </c>
      <c r="H90" s="130">
        <f>IF(ISNUMBER('週次_媒体別CP'!H114),'週次_媒体別CP'!H114,NA())</f>
        <v/>
      </c>
    </row>
    <row r="91">
      <c r="A91" s="129" t="inlineStr">
        <is>
          <t>W8</t>
        </is>
      </c>
      <c r="B91" s="130">
        <f>IF(ISNUMBER('週次_媒体別CP'!H13),'週次_媒体別CP'!H13,NA())</f>
        <v/>
      </c>
      <c r="C91" s="130">
        <f>IF(ISNUMBER('週次_媒体別CP'!H30),'週次_媒体別CP'!H30,NA())</f>
        <v/>
      </c>
      <c r="D91" s="130">
        <f>IF(ISNUMBER('週次_媒体別CP'!H47),'週次_媒体別CP'!H47,NA())</f>
        <v/>
      </c>
      <c r="E91" s="130">
        <f>IF(ISNUMBER('週次_媒体別CP'!H64),'週次_媒体別CP'!H64,NA())</f>
        <v/>
      </c>
      <c r="F91" s="130">
        <f>IF(ISNUMBER('週次_媒体別CP'!H81),'週次_媒体別CP'!H81,NA())</f>
        <v/>
      </c>
      <c r="G91" s="130">
        <f>IF(ISNUMBER('週次_媒体別CP'!H98),'週次_媒体別CP'!H98,NA())</f>
        <v/>
      </c>
      <c r="H91" s="130">
        <f>IF(ISNUMBER('週次_媒体別CP'!H115),'週次_媒体別CP'!H115,NA())</f>
        <v/>
      </c>
    </row>
    <row r="92">
      <c r="A92" s="129" t="inlineStr">
        <is>
          <t>W9</t>
        </is>
      </c>
      <c r="B92" s="130">
        <f>IF(ISNUMBER('週次_媒体別CP'!H14),'週次_媒体別CP'!H14,NA())</f>
        <v/>
      </c>
      <c r="C92" s="130">
        <f>IF(ISNUMBER('週次_媒体別CP'!H31),'週次_媒体別CP'!H31,NA())</f>
        <v/>
      </c>
      <c r="D92" s="130">
        <f>IF(ISNUMBER('週次_媒体別CP'!H48),'週次_媒体別CP'!H48,NA())</f>
        <v/>
      </c>
      <c r="E92" s="130">
        <f>IF(ISNUMBER('週次_媒体別CP'!H65),'週次_媒体別CP'!H65,NA())</f>
        <v/>
      </c>
      <c r="F92" s="130">
        <f>IF(ISNUMBER('週次_媒体別CP'!H82),'週次_媒体別CP'!H82,NA())</f>
        <v/>
      </c>
      <c r="G92" s="130">
        <f>IF(ISNUMBER('週次_媒体別CP'!H99),'週次_媒体別CP'!H99,NA())</f>
        <v/>
      </c>
      <c r="H92" s="130">
        <f>IF(ISNUMBER('週次_媒体別CP'!H116),'週次_媒体別CP'!H116,NA())</f>
        <v/>
      </c>
    </row>
    <row r="93">
      <c r="A93" s="129" t="inlineStr">
        <is>
          <t>W10</t>
        </is>
      </c>
      <c r="B93" s="130">
        <f>IF(ISNUMBER('週次_媒体別CP'!H15),'週次_媒体別CP'!H15,NA())</f>
        <v/>
      </c>
      <c r="C93" s="130">
        <f>IF(ISNUMBER('週次_媒体別CP'!H32),'週次_媒体別CP'!H32,NA())</f>
        <v/>
      </c>
      <c r="D93" s="130">
        <f>IF(ISNUMBER('週次_媒体別CP'!H49),'週次_媒体別CP'!H49,NA())</f>
        <v/>
      </c>
      <c r="E93" s="130">
        <f>IF(ISNUMBER('週次_媒体別CP'!H66),'週次_媒体別CP'!H66,NA())</f>
        <v/>
      </c>
      <c r="F93" s="130">
        <f>IF(ISNUMBER('週次_媒体別CP'!H83),'週次_媒体別CP'!H83,NA())</f>
        <v/>
      </c>
      <c r="G93" s="130">
        <f>IF(ISNUMBER('週次_媒体別CP'!H100),'週次_媒体別CP'!H100,NA())</f>
        <v/>
      </c>
      <c r="H93" s="130">
        <f>IF(ISNUMBER('週次_媒体別CP'!H117),'週次_媒体別CP'!H117,NA())</f>
        <v/>
      </c>
    </row>
    <row r="94">
      <c r="A94" s="129" t="inlineStr">
        <is>
          <t>W11</t>
        </is>
      </c>
      <c r="B94" s="130">
        <f>IF(ISNUMBER('週次_媒体別CP'!H16),'週次_媒体別CP'!H16,NA())</f>
        <v/>
      </c>
      <c r="C94" s="130">
        <f>IF(ISNUMBER('週次_媒体別CP'!H33),'週次_媒体別CP'!H33,NA())</f>
        <v/>
      </c>
      <c r="D94" s="130">
        <f>IF(ISNUMBER('週次_媒体別CP'!H50),'週次_媒体別CP'!H50,NA())</f>
        <v/>
      </c>
      <c r="E94" s="130">
        <f>IF(ISNUMBER('週次_媒体別CP'!H67),'週次_媒体別CP'!H67,NA())</f>
        <v/>
      </c>
      <c r="F94" s="130">
        <f>IF(ISNUMBER('週次_媒体別CP'!H84),'週次_媒体別CP'!H84,NA())</f>
        <v/>
      </c>
      <c r="G94" s="130">
        <f>IF(ISNUMBER('週次_媒体別CP'!H101),'週次_媒体別CP'!H101,NA())</f>
        <v/>
      </c>
      <c r="H94" s="130">
        <f>IF(ISNUMBER('週次_媒体別CP'!H118),'週次_媒体別CP'!H118,NA())</f>
        <v/>
      </c>
    </row>
    <row r="95">
      <c r="A95" s="129" t="inlineStr">
        <is>
          <t>W12</t>
        </is>
      </c>
      <c r="B95" s="130">
        <f>IF(ISNUMBER('週次_媒体別CP'!H17),'週次_媒体別CP'!H17,NA())</f>
        <v/>
      </c>
      <c r="C95" s="130">
        <f>IF(ISNUMBER('週次_媒体別CP'!H34),'週次_媒体別CP'!H34,NA())</f>
        <v/>
      </c>
      <c r="D95" s="130">
        <f>IF(ISNUMBER('週次_媒体別CP'!H51),'週次_媒体別CP'!H51,NA())</f>
        <v/>
      </c>
      <c r="E95" s="130">
        <f>IF(ISNUMBER('週次_媒体別CP'!H68),'週次_媒体別CP'!H68,NA())</f>
        <v/>
      </c>
      <c r="F95" s="130">
        <f>IF(ISNUMBER('週次_媒体別CP'!H85),'週次_媒体別CP'!H85,NA())</f>
        <v/>
      </c>
      <c r="G95" s="130">
        <f>IF(ISNUMBER('週次_媒体別CP'!H102),'週次_媒体別CP'!H102,NA())</f>
        <v/>
      </c>
      <c r="H95" s="130">
        <f>IF(ISNUMBER('週次_媒体別CP'!H119),'週次_媒体別CP'!H119,NA())</f>
        <v/>
      </c>
    </row>
    <row r="96">
      <c r="A96" s="129" t="inlineStr">
        <is>
          <t>W13</t>
        </is>
      </c>
      <c r="B96" s="130">
        <f>IF(ISNUMBER('週次_媒体別CP'!H18),'週次_媒体別CP'!H18,NA())</f>
        <v/>
      </c>
      <c r="C96" s="130">
        <f>IF(ISNUMBER('週次_媒体別CP'!H35),'週次_媒体別CP'!H35,NA())</f>
        <v/>
      </c>
      <c r="D96" s="130">
        <f>IF(ISNUMBER('週次_媒体別CP'!H52),'週次_媒体別CP'!H52,NA())</f>
        <v/>
      </c>
      <c r="E96" s="130">
        <f>IF(ISNUMBER('週次_媒体別CP'!H69),'週次_媒体別CP'!H69,NA())</f>
        <v/>
      </c>
      <c r="F96" s="130">
        <f>IF(ISNUMBER('週次_媒体別CP'!H86),'週次_媒体別CP'!H86,NA())</f>
        <v/>
      </c>
      <c r="G96" s="130">
        <f>IF(ISNUMBER('週次_媒体別CP'!H103),'週次_媒体別CP'!H103,NA())</f>
        <v/>
      </c>
      <c r="H96" s="130">
        <f>IF(ISNUMBER('週次_媒体別CP'!H120),'週次_媒体別CP'!H120,NA())</f>
        <v/>
      </c>
    </row>
    <row r="98">
      <c r="A98" s="136" t="inlineStr">
        <is>
          <t>CVR</t>
        </is>
      </c>
    </row>
    <row r="99">
      <c r="A99" s="127" t="inlineStr">
        <is>
          <t>週</t>
        </is>
      </c>
      <c r="B99" s="128" t="inlineStr">
        <is>
          <t>Meta/ウェビナー</t>
        </is>
      </c>
      <c r="C99" s="128" t="inlineStr">
        <is>
          <t>Meta/介護校</t>
        </is>
      </c>
      <c r="D99" s="128" t="inlineStr">
        <is>
          <t>Meta/Claude</t>
        </is>
      </c>
      <c r="E99" s="128" t="inlineStr">
        <is>
          <t>Google/ウェビナー</t>
        </is>
      </c>
      <c r="F99" s="128" t="inlineStr">
        <is>
          <t>Google/常設</t>
        </is>
      </c>
      <c r="G99" s="128" t="inlineStr">
        <is>
          <t>LINE/ウェビナー</t>
        </is>
      </c>
      <c r="H99" s="128" t="inlineStr">
        <is>
          <t>LINE/常設</t>
        </is>
      </c>
    </row>
    <row r="100">
      <c r="A100" s="129" t="inlineStr">
        <is>
          <t>W1</t>
        </is>
      </c>
      <c r="B100" s="132">
        <f>IF(ISNUMBER('週次_媒体別CP'!J6),'週次_媒体別CP'!J6,NA())</f>
        <v/>
      </c>
      <c r="C100" s="132">
        <f>IF(ISNUMBER('週次_媒体別CP'!J23),'週次_媒体別CP'!J23,NA())</f>
        <v/>
      </c>
      <c r="D100" s="132">
        <f>IF(ISNUMBER('週次_媒体別CP'!J40),'週次_媒体別CP'!J40,NA())</f>
        <v/>
      </c>
      <c r="E100" s="132">
        <f>IF(ISNUMBER('週次_媒体別CP'!J57),'週次_媒体別CP'!J57,NA())</f>
        <v/>
      </c>
      <c r="F100" s="132">
        <f>IF(ISNUMBER('週次_媒体別CP'!J74),'週次_媒体別CP'!J74,NA())</f>
        <v/>
      </c>
      <c r="G100" s="132">
        <f>IF(ISNUMBER('週次_媒体別CP'!J91),'週次_媒体別CP'!J91,NA())</f>
        <v/>
      </c>
      <c r="H100" s="132">
        <f>IF(ISNUMBER('週次_媒体別CP'!J108),'週次_媒体別CP'!J108,NA())</f>
        <v/>
      </c>
    </row>
    <row r="101">
      <c r="A101" s="129" t="inlineStr">
        <is>
          <t>W2</t>
        </is>
      </c>
      <c r="B101" s="132">
        <f>IF(ISNUMBER('週次_媒体別CP'!J7),'週次_媒体別CP'!J7,NA())</f>
        <v/>
      </c>
      <c r="C101" s="132">
        <f>IF(ISNUMBER('週次_媒体別CP'!J24),'週次_媒体別CP'!J24,NA())</f>
        <v/>
      </c>
      <c r="D101" s="132">
        <f>IF(ISNUMBER('週次_媒体別CP'!J41),'週次_媒体別CP'!J41,NA())</f>
        <v/>
      </c>
      <c r="E101" s="132">
        <f>IF(ISNUMBER('週次_媒体別CP'!J58),'週次_媒体別CP'!J58,NA())</f>
        <v/>
      </c>
      <c r="F101" s="132">
        <f>IF(ISNUMBER('週次_媒体別CP'!J75),'週次_媒体別CP'!J75,NA())</f>
        <v/>
      </c>
      <c r="G101" s="132">
        <f>IF(ISNUMBER('週次_媒体別CP'!J92),'週次_媒体別CP'!J92,NA())</f>
        <v/>
      </c>
      <c r="H101" s="132">
        <f>IF(ISNUMBER('週次_媒体別CP'!J109),'週次_媒体別CP'!J109,NA())</f>
        <v/>
      </c>
    </row>
    <row r="102">
      <c r="A102" s="129" t="inlineStr">
        <is>
          <t>W3</t>
        </is>
      </c>
      <c r="B102" s="132">
        <f>IF(ISNUMBER('週次_媒体別CP'!J8),'週次_媒体別CP'!J8,NA())</f>
        <v/>
      </c>
      <c r="C102" s="132">
        <f>IF(ISNUMBER('週次_媒体別CP'!J25),'週次_媒体別CP'!J25,NA())</f>
        <v/>
      </c>
      <c r="D102" s="132">
        <f>IF(ISNUMBER('週次_媒体別CP'!J42),'週次_媒体別CP'!J42,NA())</f>
        <v/>
      </c>
      <c r="E102" s="132">
        <f>IF(ISNUMBER('週次_媒体別CP'!J59),'週次_媒体別CP'!J59,NA())</f>
        <v/>
      </c>
      <c r="F102" s="132">
        <f>IF(ISNUMBER('週次_媒体別CP'!J76),'週次_媒体別CP'!J76,NA())</f>
        <v/>
      </c>
      <c r="G102" s="132">
        <f>IF(ISNUMBER('週次_媒体別CP'!J93),'週次_媒体別CP'!J93,NA())</f>
        <v/>
      </c>
      <c r="H102" s="132">
        <f>IF(ISNUMBER('週次_媒体別CP'!J110),'週次_媒体別CP'!J110,NA())</f>
        <v/>
      </c>
    </row>
    <row r="103">
      <c r="A103" s="129" t="inlineStr">
        <is>
          <t>W4</t>
        </is>
      </c>
      <c r="B103" s="132">
        <f>IF(ISNUMBER('週次_媒体別CP'!J9),'週次_媒体別CP'!J9,NA())</f>
        <v/>
      </c>
      <c r="C103" s="132">
        <f>IF(ISNUMBER('週次_媒体別CP'!J26),'週次_媒体別CP'!J26,NA())</f>
        <v/>
      </c>
      <c r="D103" s="132">
        <f>IF(ISNUMBER('週次_媒体別CP'!J43),'週次_媒体別CP'!J43,NA())</f>
        <v/>
      </c>
      <c r="E103" s="132">
        <f>IF(ISNUMBER('週次_媒体別CP'!J60),'週次_媒体別CP'!J60,NA())</f>
        <v/>
      </c>
      <c r="F103" s="132">
        <f>IF(ISNUMBER('週次_媒体別CP'!J77),'週次_媒体別CP'!J77,NA())</f>
        <v/>
      </c>
      <c r="G103" s="132">
        <f>IF(ISNUMBER('週次_媒体別CP'!J94),'週次_媒体別CP'!J94,NA())</f>
        <v/>
      </c>
      <c r="H103" s="132">
        <f>IF(ISNUMBER('週次_媒体別CP'!J111),'週次_媒体別CP'!J111,NA())</f>
        <v/>
      </c>
    </row>
    <row r="104">
      <c r="A104" s="129" t="inlineStr">
        <is>
          <t>W5</t>
        </is>
      </c>
      <c r="B104" s="132">
        <f>IF(ISNUMBER('週次_媒体別CP'!J10),'週次_媒体別CP'!J10,NA())</f>
        <v/>
      </c>
      <c r="C104" s="132">
        <f>IF(ISNUMBER('週次_媒体別CP'!J27),'週次_媒体別CP'!J27,NA())</f>
        <v/>
      </c>
      <c r="D104" s="132">
        <f>IF(ISNUMBER('週次_媒体別CP'!J44),'週次_媒体別CP'!J44,NA())</f>
        <v/>
      </c>
      <c r="E104" s="132">
        <f>IF(ISNUMBER('週次_媒体別CP'!J61),'週次_媒体別CP'!J61,NA())</f>
        <v/>
      </c>
      <c r="F104" s="132">
        <f>IF(ISNUMBER('週次_媒体別CP'!J78),'週次_媒体別CP'!J78,NA())</f>
        <v/>
      </c>
      <c r="G104" s="132">
        <f>IF(ISNUMBER('週次_媒体別CP'!J95),'週次_媒体別CP'!J95,NA())</f>
        <v/>
      </c>
      <c r="H104" s="132">
        <f>IF(ISNUMBER('週次_媒体別CP'!J112),'週次_媒体別CP'!J112,NA())</f>
        <v/>
      </c>
    </row>
    <row r="105">
      <c r="A105" s="129" t="inlineStr">
        <is>
          <t>W6</t>
        </is>
      </c>
      <c r="B105" s="132">
        <f>IF(ISNUMBER('週次_媒体別CP'!J11),'週次_媒体別CP'!J11,NA())</f>
        <v/>
      </c>
      <c r="C105" s="132">
        <f>IF(ISNUMBER('週次_媒体別CP'!J28),'週次_媒体別CP'!J28,NA())</f>
        <v/>
      </c>
      <c r="D105" s="132">
        <f>IF(ISNUMBER('週次_媒体別CP'!J45),'週次_媒体別CP'!J45,NA())</f>
        <v/>
      </c>
      <c r="E105" s="132">
        <f>IF(ISNUMBER('週次_媒体別CP'!J62),'週次_媒体別CP'!J62,NA())</f>
        <v/>
      </c>
      <c r="F105" s="132">
        <f>IF(ISNUMBER('週次_媒体別CP'!J79),'週次_媒体別CP'!J79,NA())</f>
        <v/>
      </c>
      <c r="G105" s="132">
        <f>IF(ISNUMBER('週次_媒体別CP'!J96),'週次_媒体別CP'!J96,NA())</f>
        <v/>
      </c>
      <c r="H105" s="132">
        <f>IF(ISNUMBER('週次_媒体別CP'!J113),'週次_媒体別CP'!J113,NA())</f>
        <v/>
      </c>
    </row>
    <row r="106">
      <c r="A106" s="129" t="inlineStr">
        <is>
          <t>W7</t>
        </is>
      </c>
      <c r="B106" s="132">
        <f>IF(ISNUMBER('週次_媒体別CP'!J12),'週次_媒体別CP'!J12,NA())</f>
        <v/>
      </c>
      <c r="C106" s="132">
        <f>IF(ISNUMBER('週次_媒体別CP'!J29),'週次_媒体別CP'!J29,NA())</f>
        <v/>
      </c>
      <c r="D106" s="132">
        <f>IF(ISNUMBER('週次_媒体別CP'!J46),'週次_媒体別CP'!J46,NA())</f>
        <v/>
      </c>
      <c r="E106" s="132">
        <f>IF(ISNUMBER('週次_媒体別CP'!J63),'週次_媒体別CP'!J63,NA())</f>
        <v/>
      </c>
      <c r="F106" s="132">
        <f>IF(ISNUMBER('週次_媒体別CP'!J80),'週次_媒体別CP'!J80,NA())</f>
        <v/>
      </c>
      <c r="G106" s="132">
        <f>IF(ISNUMBER('週次_媒体別CP'!J97),'週次_媒体別CP'!J97,NA())</f>
        <v/>
      </c>
      <c r="H106" s="132">
        <f>IF(ISNUMBER('週次_媒体別CP'!J114),'週次_媒体別CP'!J114,NA())</f>
        <v/>
      </c>
    </row>
    <row r="107">
      <c r="A107" s="129" t="inlineStr">
        <is>
          <t>W8</t>
        </is>
      </c>
      <c r="B107" s="132">
        <f>IF(ISNUMBER('週次_媒体別CP'!J13),'週次_媒体別CP'!J13,NA())</f>
        <v/>
      </c>
      <c r="C107" s="132">
        <f>IF(ISNUMBER('週次_媒体別CP'!J30),'週次_媒体別CP'!J30,NA())</f>
        <v/>
      </c>
      <c r="D107" s="132">
        <f>IF(ISNUMBER('週次_媒体別CP'!J47),'週次_媒体別CP'!J47,NA())</f>
        <v/>
      </c>
      <c r="E107" s="132">
        <f>IF(ISNUMBER('週次_媒体別CP'!J64),'週次_媒体別CP'!J64,NA())</f>
        <v/>
      </c>
      <c r="F107" s="132">
        <f>IF(ISNUMBER('週次_媒体別CP'!J81),'週次_媒体別CP'!J81,NA())</f>
        <v/>
      </c>
      <c r="G107" s="132">
        <f>IF(ISNUMBER('週次_媒体別CP'!J98),'週次_媒体別CP'!J98,NA())</f>
        <v/>
      </c>
      <c r="H107" s="132">
        <f>IF(ISNUMBER('週次_媒体別CP'!J115),'週次_媒体別CP'!J115,NA())</f>
        <v/>
      </c>
    </row>
    <row r="108">
      <c r="A108" s="129" t="inlineStr">
        <is>
          <t>W9</t>
        </is>
      </c>
      <c r="B108" s="132">
        <f>IF(ISNUMBER('週次_媒体別CP'!J14),'週次_媒体別CP'!J14,NA())</f>
        <v/>
      </c>
      <c r="C108" s="132">
        <f>IF(ISNUMBER('週次_媒体別CP'!J31),'週次_媒体別CP'!J31,NA())</f>
        <v/>
      </c>
      <c r="D108" s="132">
        <f>IF(ISNUMBER('週次_媒体別CP'!J48),'週次_媒体別CP'!J48,NA())</f>
        <v/>
      </c>
      <c r="E108" s="132">
        <f>IF(ISNUMBER('週次_媒体別CP'!J65),'週次_媒体別CP'!J65,NA())</f>
        <v/>
      </c>
      <c r="F108" s="132">
        <f>IF(ISNUMBER('週次_媒体別CP'!J82),'週次_媒体別CP'!J82,NA())</f>
        <v/>
      </c>
      <c r="G108" s="132">
        <f>IF(ISNUMBER('週次_媒体別CP'!J99),'週次_媒体別CP'!J99,NA())</f>
        <v/>
      </c>
      <c r="H108" s="132">
        <f>IF(ISNUMBER('週次_媒体別CP'!J116),'週次_媒体別CP'!J116,NA())</f>
        <v/>
      </c>
    </row>
    <row r="109">
      <c r="A109" s="129" t="inlineStr">
        <is>
          <t>W10</t>
        </is>
      </c>
      <c r="B109" s="132">
        <f>IF(ISNUMBER('週次_媒体別CP'!J15),'週次_媒体別CP'!J15,NA())</f>
        <v/>
      </c>
      <c r="C109" s="132">
        <f>IF(ISNUMBER('週次_媒体別CP'!J32),'週次_媒体別CP'!J32,NA())</f>
        <v/>
      </c>
      <c r="D109" s="132">
        <f>IF(ISNUMBER('週次_媒体別CP'!J49),'週次_媒体別CP'!J49,NA())</f>
        <v/>
      </c>
      <c r="E109" s="132">
        <f>IF(ISNUMBER('週次_媒体別CP'!J66),'週次_媒体別CP'!J66,NA())</f>
        <v/>
      </c>
      <c r="F109" s="132">
        <f>IF(ISNUMBER('週次_媒体別CP'!J83),'週次_媒体別CP'!J83,NA())</f>
        <v/>
      </c>
      <c r="G109" s="132">
        <f>IF(ISNUMBER('週次_媒体別CP'!J100),'週次_媒体別CP'!J100,NA())</f>
        <v/>
      </c>
      <c r="H109" s="132">
        <f>IF(ISNUMBER('週次_媒体別CP'!J117),'週次_媒体別CP'!J117,NA())</f>
        <v/>
      </c>
    </row>
    <row r="110">
      <c r="A110" s="129" t="inlineStr">
        <is>
          <t>W11</t>
        </is>
      </c>
      <c r="B110" s="132">
        <f>IF(ISNUMBER('週次_媒体別CP'!J16),'週次_媒体別CP'!J16,NA())</f>
        <v/>
      </c>
      <c r="C110" s="132">
        <f>IF(ISNUMBER('週次_媒体別CP'!J33),'週次_媒体別CP'!J33,NA())</f>
        <v/>
      </c>
      <c r="D110" s="132">
        <f>IF(ISNUMBER('週次_媒体別CP'!J50),'週次_媒体別CP'!J50,NA())</f>
        <v/>
      </c>
      <c r="E110" s="132">
        <f>IF(ISNUMBER('週次_媒体別CP'!J67),'週次_媒体別CP'!J67,NA())</f>
        <v/>
      </c>
      <c r="F110" s="132">
        <f>IF(ISNUMBER('週次_媒体別CP'!J84),'週次_媒体別CP'!J84,NA())</f>
        <v/>
      </c>
      <c r="G110" s="132">
        <f>IF(ISNUMBER('週次_媒体別CP'!J101),'週次_媒体別CP'!J101,NA())</f>
        <v/>
      </c>
      <c r="H110" s="132">
        <f>IF(ISNUMBER('週次_媒体別CP'!J118),'週次_媒体別CP'!J118,NA())</f>
        <v/>
      </c>
    </row>
    <row r="111">
      <c r="A111" s="129" t="inlineStr">
        <is>
          <t>W12</t>
        </is>
      </c>
      <c r="B111" s="132">
        <f>IF(ISNUMBER('週次_媒体別CP'!J17),'週次_媒体別CP'!J17,NA())</f>
        <v/>
      </c>
      <c r="C111" s="132">
        <f>IF(ISNUMBER('週次_媒体別CP'!J34),'週次_媒体別CP'!J34,NA())</f>
        <v/>
      </c>
      <c r="D111" s="132">
        <f>IF(ISNUMBER('週次_媒体別CP'!J51),'週次_媒体別CP'!J51,NA())</f>
        <v/>
      </c>
      <c r="E111" s="132">
        <f>IF(ISNUMBER('週次_媒体別CP'!J68),'週次_媒体別CP'!J68,NA())</f>
        <v/>
      </c>
      <c r="F111" s="132">
        <f>IF(ISNUMBER('週次_媒体別CP'!J85),'週次_媒体別CP'!J85,NA())</f>
        <v/>
      </c>
      <c r="G111" s="132">
        <f>IF(ISNUMBER('週次_媒体別CP'!J102),'週次_媒体別CP'!J102,NA())</f>
        <v/>
      </c>
      <c r="H111" s="132">
        <f>IF(ISNUMBER('週次_媒体別CP'!J119),'週次_媒体別CP'!J119,NA())</f>
        <v/>
      </c>
    </row>
    <row r="112">
      <c r="A112" s="129" t="inlineStr">
        <is>
          <t>W13</t>
        </is>
      </c>
      <c r="B112" s="132">
        <f>IF(ISNUMBER('週次_媒体別CP'!J18),'週次_媒体別CP'!J18,NA())</f>
        <v/>
      </c>
      <c r="C112" s="132">
        <f>IF(ISNUMBER('週次_媒体別CP'!J35),'週次_媒体別CP'!J35,NA())</f>
        <v/>
      </c>
      <c r="D112" s="132">
        <f>IF(ISNUMBER('週次_媒体別CP'!J52),'週次_媒体別CP'!J52,NA())</f>
        <v/>
      </c>
      <c r="E112" s="132">
        <f>IF(ISNUMBER('週次_媒体別CP'!J69),'週次_媒体別CP'!J69,NA())</f>
        <v/>
      </c>
      <c r="F112" s="132">
        <f>IF(ISNUMBER('週次_媒体別CP'!J86),'週次_媒体別CP'!J86,NA())</f>
        <v/>
      </c>
      <c r="G112" s="132">
        <f>IF(ISNUMBER('週次_媒体別CP'!J103),'週次_媒体別CP'!J103,NA())</f>
        <v/>
      </c>
      <c r="H112" s="132">
        <f>IF(ISNUMBER('週次_媒体別CP'!J120),'週次_媒体別CP'!J120,NA())</f>
        <v/>
      </c>
    </row>
    <row r="114">
      <c r="A114" s="136" t="inlineStr">
        <is>
          <t>商談</t>
        </is>
      </c>
    </row>
    <row r="115">
      <c r="A115" s="127" t="inlineStr">
        <is>
          <t>週</t>
        </is>
      </c>
      <c r="B115" s="128" t="inlineStr">
        <is>
          <t>Meta/ウェビナー</t>
        </is>
      </c>
      <c r="C115" s="128" t="inlineStr">
        <is>
          <t>Meta/介護校</t>
        </is>
      </c>
      <c r="D115" s="128" t="inlineStr">
        <is>
          <t>Meta/Claude</t>
        </is>
      </c>
      <c r="E115" s="128" t="inlineStr">
        <is>
          <t>Google/ウェビナー</t>
        </is>
      </c>
      <c r="F115" s="128" t="inlineStr">
        <is>
          <t>Google/常設</t>
        </is>
      </c>
      <c r="G115" s="128" t="inlineStr">
        <is>
          <t>LINE/ウェビナー</t>
        </is>
      </c>
      <c r="H115" s="128" t="inlineStr">
        <is>
          <t>LINE/常設</t>
        </is>
      </c>
      <c r="I115" s="128" t="inlineStr">
        <is>
          <t>広告外</t>
        </is>
      </c>
    </row>
    <row r="116">
      <c r="A116" s="129" t="inlineStr">
        <is>
          <t>W1</t>
        </is>
      </c>
      <c r="B116" s="131">
        <f>IF(ISNUMBER('週次_媒体別CP'!L6),'週次_媒体別CP'!L6,0)</f>
        <v/>
      </c>
      <c r="C116" s="131">
        <f>IF(ISNUMBER('週次_媒体別CP'!L23),'週次_媒体別CP'!L23,0)</f>
        <v/>
      </c>
      <c r="D116" s="131">
        <f>IF(ISNUMBER('週次_媒体別CP'!L40),'週次_媒体別CP'!L40,0)</f>
        <v/>
      </c>
      <c r="E116" s="131">
        <f>IF(ISNUMBER('週次_媒体別CP'!L57),'週次_媒体別CP'!L57,0)</f>
        <v/>
      </c>
      <c r="F116" s="131">
        <f>IF(ISNUMBER('週次_媒体別CP'!L74),'週次_媒体別CP'!L74,0)</f>
        <v/>
      </c>
      <c r="G116" s="131">
        <f>IF(ISNUMBER('週次_媒体別CP'!L91),'週次_媒体別CP'!L91,0)</f>
        <v/>
      </c>
      <c r="H116" s="131">
        <f>IF(ISNUMBER('週次_媒体別CP'!L108),'週次_媒体別CP'!L108,0)</f>
        <v/>
      </c>
      <c r="I116" s="131">
        <f>IF(ISNUMBER('週次_媒体別CP'!L126),'週次_媒体別CP'!L126,0)</f>
        <v/>
      </c>
    </row>
    <row r="117">
      <c r="A117" s="129" t="inlineStr">
        <is>
          <t>W2</t>
        </is>
      </c>
      <c r="B117" s="131">
        <f>IF(ISNUMBER('週次_媒体別CP'!L7),'週次_媒体別CP'!L7,0)</f>
        <v/>
      </c>
      <c r="C117" s="131">
        <f>IF(ISNUMBER('週次_媒体別CP'!L24),'週次_媒体別CP'!L24,0)</f>
        <v/>
      </c>
      <c r="D117" s="131">
        <f>IF(ISNUMBER('週次_媒体別CP'!L41),'週次_媒体別CP'!L41,0)</f>
        <v/>
      </c>
      <c r="E117" s="131">
        <f>IF(ISNUMBER('週次_媒体別CP'!L58),'週次_媒体別CP'!L58,0)</f>
        <v/>
      </c>
      <c r="F117" s="131">
        <f>IF(ISNUMBER('週次_媒体別CP'!L75),'週次_媒体別CP'!L75,0)</f>
        <v/>
      </c>
      <c r="G117" s="131">
        <f>IF(ISNUMBER('週次_媒体別CP'!L92),'週次_媒体別CP'!L92,0)</f>
        <v/>
      </c>
      <c r="H117" s="131">
        <f>IF(ISNUMBER('週次_媒体別CP'!L109),'週次_媒体別CP'!L109,0)</f>
        <v/>
      </c>
      <c r="I117" s="131">
        <f>IF(ISNUMBER('週次_媒体別CP'!L127),'週次_媒体別CP'!L127,0)</f>
        <v/>
      </c>
    </row>
    <row r="118">
      <c r="A118" s="129" t="inlineStr">
        <is>
          <t>W3</t>
        </is>
      </c>
      <c r="B118" s="131">
        <f>IF(ISNUMBER('週次_媒体別CP'!L8),'週次_媒体別CP'!L8,0)</f>
        <v/>
      </c>
      <c r="C118" s="131">
        <f>IF(ISNUMBER('週次_媒体別CP'!L25),'週次_媒体別CP'!L25,0)</f>
        <v/>
      </c>
      <c r="D118" s="131">
        <f>IF(ISNUMBER('週次_媒体別CP'!L42),'週次_媒体別CP'!L42,0)</f>
        <v/>
      </c>
      <c r="E118" s="131">
        <f>IF(ISNUMBER('週次_媒体別CP'!L59),'週次_媒体別CP'!L59,0)</f>
        <v/>
      </c>
      <c r="F118" s="131">
        <f>IF(ISNUMBER('週次_媒体別CP'!L76),'週次_媒体別CP'!L76,0)</f>
        <v/>
      </c>
      <c r="G118" s="131">
        <f>IF(ISNUMBER('週次_媒体別CP'!L93),'週次_媒体別CP'!L93,0)</f>
        <v/>
      </c>
      <c r="H118" s="131">
        <f>IF(ISNUMBER('週次_媒体別CP'!L110),'週次_媒体別CP'!L110,0)</f>
        <v/>
      </c>
      <c r="I118" s="131">
        <f>IF(ISNUMBER('週次_媒体別CP'!L128),'週次_媒体別CP'!L128,0)</f>
        <v/>
      </c>
    </row>
    <row r="119">
      <c r="A119" s="129" t="inlineStr">
        <is>
          <t>W4</t>
        </is>
      </c>
      <c r="B119" s="131">
        <f>IF(ISNUMBER('週次_媒体別CP'!L9),'週次_媒体別CP'!L9,0)</f>
        <v/>
      </c>
      <c r="C119" s="131">
        <f>IF(ISNUMBER('週次_媒体別CP'!L26),'週次_媒体別CP'!L26,0)</f>
        <v/>
      </c>
      <c r="D119" s="131">
        <f>IF(ISNUMBER('週次_媒体別CP'!L43),'週次_媒体別CP'!L43,0)</f>
        <v/>
      </c>
      <c r="E119" s="131">
        <f>IF(ISNUMBER('週次_媒体別CP'!L60),'週次_媒体別CP'!L60,0)</f>
        <v/>
      </c>
      <c r="F119" s="131">
        <f>IF(ISNUMBER('週次_媒体別CP'!L77),'週次_媒体別CP'!L77,0)</f>
        <v/>
      </c>
      <c r="G119" s="131">
        <f>IF(ISNUMBER('週次_媒体別CP'!L94),'週次_媒体別CP'!L94,0)</f>
        <v/>
      </c>
      <c r="H119" s="131">
        <f>IF(ISNUMBER('週次_媒体別CP'!L111),'週次_媒体別CP'!L111,0)</f>
        <v/>
      </c>
      <c r="I119" s="131">
        <f>IF(ISNUMBER('週次_媒体別CP'!L129),'週次_媒体別CP'!L129,0)</f>
        <v/>
      </c>
    </row>
    <row r="120">
      <c r="A120" s="129" t="inlineStr">
        <is>
          <t>W5</t>
        </is>
      </c>
      <c r="B120" s="131">
        <f>IF(ISNUMBER('週次_媒体別CP'!L10),'週次_媒体別CP'!L10,0)</f>
        <v/>
      </c>
      <c r="C120" s="131">
        <f>IF(ISNUMBER('週次_媒体別CP'!L27),'週次_媒体別CP'!L27,0)</f>
        <v/>
      </c>
      <c r="D120" s="131">
        <f>IF(ISNUMBER('週次_媒体別CP'!L44),'週次_媒体別CP'!L44,0)</f>
        <v/>
      </c>
      <c r="E120" s="131">
        <f>IF(ISNUMBER('週次_媒体別CP'!L61),'週次_媒体別CP'!L61,0)</f>
        <v/>
      </c>
      <c r="F120" s="131">
        <f>IF(ISNUMBER('週次_媒体別CP'!L78),'週次_媒体別CP'!L78,0)</f>
        <v/>
      </c>
      <c r="G120" s="131">
        <f>IF(ISNUMBER('週次_媒体別CP'!L95),'週次_媒体別CP'!L95,0)</f>
        <v/>
      </c>
      <c r="H120" s="131">
        <f>IF(ISNUMBER('週次_媒体別CP'!L112),'週次_媒体別CP'!L112,0)</f>
        <v/>
      </c>
      <c r="I120" s="131">
        <f>IF(ISNUMBER('週次_媒体別CP'!L130),'週次_媒体別CP'!L130,0)</f>
        <v/>
      </c>
    </row>
    <row r="121">
      <c r="A121" s="129" t="inlineStr">
        <is>
          <t>W6</t>
        </is>
      </c>
      <c r="B121" s="131">
        <f>IF(ISNUMBER('週次_媒体別CP'!L11),'週次_媒体別CP'!L11,0)</f>
        <v/>
      </c>
      <c r="C121" s="131">
        <f>IF(ISNUMBER('週次_媒体別CP'!L28),'週次_媒体別CP'!L28,0)</f>
        <v/>
      </c>
      <c r="D121" s="131">
        <f>IF(ISNUMBER('週次_媒体別CP'!L45),'週次_媒体別CP'!L45,0)</f>
        <v/>
      </c>
      <c r="E121" s="131">
        <f>IF(ISNUMBER('週次_媒体別CP'!L62),'週次_媒体別CP'!L62,0)</f>
        <v/>
      </c>
      <c r="F121" s="131">
        <f>IF(ISNUMBER('週次_媒体別CP'!L79),'週次_媒体別CP'!L79,0)</f>
        <v/>
      </c>
      <c r="G121" s="131">
        <f>IF(ISNUMBER('週次_媒体別CP'!L96),'週次_媒体別CP'!L96,0)</f>
        <v/>
      </c>
      <c r="H121" s="131">
        <f>IF(ISNUMBER('週次_媒体別CP'!L113),'週次_媒体別CP'!L113,0)</f>
        <v/>
      </c>
      <c r="I121" s="131">
        <f>IF(ISNUMBER('週次_媒体別CP'!L131),'週次_媒体別CP'!L131,0)</f>
        <v/>
      </c>
    </row>
    <row r="122">
      <c r="A122" s="129" t="inlineStr">
        <is>
          <t>W7</t>
        </is>
      </c>
      <c r="B122" s="131">
        <f>IF(ISNUMBER('週次_媒体別CP'!L12),'週次_媒体別CP'!L12,0)</f>
        <v/>
      </c>
      <c r="C122" s="131">
        <f>IF(ISNUMBER('週次_媒体別CP'!L29),'週次_媒体別CP'!L29,0)</f>
        <v/>
      </c>
      <c r="D122" s="131">
        <f>IF(ISNUMBER('週次_媒体別CP'!L46),'週次_媒体別CP'!L46,0)</f>
        <v/>
      </c>
      <c r="E122" s="131">
        <f>IF(ISNUMBER('週次_媒体別CP'!L63),'週次_媒体別CP'!L63,0)</f>
        <v/>
      </c>
      <c r="F122" s="131">
        <f>IF(ISNUMBER('週次_媒体別CP'!L80),'週次_媒体別CP'!L80,0)</f>
        <v/>
      </c>
      <c r="G122" s="131">
        <f>IF(ISNUMBER('週次_媒体別CP'!L97),'週次_媒体別CP'!L97,0)</f>
        <v/>
      </c>
      <c r="H122" s="131">
        <f>IF(ISNUMBER('週次_媒体別CP'!L114),'週次_媒体別CP'!L114,0)</f>
        <v/>
      </c>
      <c r="I122" s="131">
        <f>IF(ISNUMBER('週次_媒体別CP'!L132),'週次_媒体別CP'!L132,0)</f>
        <v/>
      </c>
    </row>
    <row r="123">
      <c r="A123" s="129" t="inlineStr">
        <is>
          <t>W8</t>
        </is>
      </c>
      <c r="B123" s="131">
        <f>IF(ISNUMBER('週次_媒体別CP'!L13),'週次_媒体別CP'!L13,0)</f>
        <v/>
      </c>
      <c r="C123" s="131">
        <f>IF(ISNUMBER('週次_媒体別CP'!L30),'週次_媒体別CP'!L30,0)</f>
        <v/>
      </c>
      <c r="D123" s="131">
        <f>IF(ISNUMBER('週次_媒体別CP'!L47),'週次_媒体別CP'!L47,0)</f>
        <v/>
      </c>
      <c r="E123" s="131">
        <f>IF(ISNUMBER('週次_媒体別CP'!L64),'週次_媒体別CP'!L64,0)</f>
        <v/>
      </c>
      <c r="F123" s="131">
        <f>IF(ISNUMBER('週次_媒体別CP'!L81),'週次_媒体別CP'!L81,0)</f>
        <v/>
      </c>
      <c r="G123" s="131">
        <f>IF(ISNUMBER('週次_媒体別CP'!L98),'週次_媒体別CP'!L98,0)</f>
        <v/>
      </c>
      <c r="H123" s="131">
        <f>IF(ISNUMBER('週次_媒体別CP'!L115),'週次_媒体別CP'!L115,0)</f>
        <v/>
      </c>
      <c r="I123" s="131">
        <f>IF(ISNUMBER('週次_媒体別CP'!L133),'週次_媒体別CP'!L133,0)</f>
        <v/>
      </c>
    </row>
    <row r="124">
      <c r="A124" s="129" t="inlineStr">
        <is>
          <t>W9</t>
        </is>
      </c>
      <c r="B124" s="131">
        <f>IF(ISNUMBER('週次_媒体別CP'!L14),'週次_媒体別CP'!L14,0)</f>
        <v/>
      </c>
      <c r="C124" s="131">
        <f>IF(ISNUMBER('週次_媒体別CP'!L31),'週次_媒体別CP'!L31,0)</f>
        <v/>
      </c>
      <c r="D124" s="131">
        <f>IF(ISNUMBER('週次_媒体別CP'!L48),'週次_媒体別CP'!L48,0)</f>
        <v/>
      </c>
      <c r="E124" s="131">
        <f>IF(ISNUMBER('週次_媒体別CP'!L65),'週次_媒体別CP'!L65,0)</f>
        <v/>
      </c>
      <c r="F124" s="131">
        <f>IF(ISNUMBER('週次_媒体別CP'!L82),'週次_媒体別CP'!L82,0)</f>
        <v/>
      </c>
      <c r="G124" s="131">
        <f>IF(ISNUMBER('週次_媒体別CP'!L99),'週次_媒体別CP'!L99,0)</f>
        <v/>
      </c>
      <c r="H124" s="131">
        <f>IF(ISNUMBER('週次_媒体別CP'!L116),'週次_媒体別CP'!L116,0)</f>
        <v/>
      </c>
      <c r="I124" s="131">
        <f>IF(ISNUMBER('週次_媒体別CP'!L134),'週次_媒体別CP'!L134,0)</f>
        <v/>
      </c>
    </row>
    <row r="125">
      <c r="A125" s="129" t="inlineStr">
        <is>
          <t>W10</t>
        </is>
      </c>
      <c r="B125" s="131">
        <f>IF(ISNUMBER('週次_媒体別CP'!L15),'週次_媒体別CP'!L15,0)</f>
        <v/>
      </c>
      <c r="C125" s="131">
        <f>IF(ISNUMBER('週次_媒体別CP'!L32),'週次_媒体別CP'!L32,0)</f>
        <v/>
      </c>
      <c r="D125" s="131">
        <f>IF(ISNUMBER('週次_媒体別CP'!L49),'週次_媒体別CP'!L49,0)</f>
        <v/>
      </c>
      <c r="E125" s="131">
        <f>IF(ISNUMBER('週次_媒体別CP'!L66),'週次_媒体別CP'!L66,0)</f>
        <v/>
      </c>
      <c r="F125" s="131">
        <f>IF(ISNUMBER('週次_媒体別CP'!L83),'週次_媒体別CP'!L83,0)</f>
        <v/>
      </c>
      <c r="G125" s="131">
        <f>IF(ISNUMBER('週次_媒体別CP'!L100),'週次_媒体別CP'!L100,0)</f>
        <v/>
      </c>
      <c r="H125" s="131">
        <f>IF(ISNUMBER('週次_媒体別CP'!L117),'週次_媒体別CP'!L117,0)</f>
        <v/>
      </c>
      <c r="I125" s="131">
        <f>IF(ISNUMBER('週次_媒体別CP'!L135),'週次_媒体別CP'!L135,0)</f>
        <v/>
      </c>
    </row>
    <row r="126">
      <c r="A126" s="129" t="inlineStr">
        <is>
          <t>W11</t>
        </is>
      </c>
      <c r="B126" s="131">
        <f>IF(ISNUMBER('週次_媒体別CP'!L16),'週次_媒体別CP'!L16,0)</f>
        <v/>
      </c>
      <c r="C126" s="131">
        <f>IF(ISNUMBER('週次_媒体別CP'!L33),'週次_媒体別CP'!L33,0)</f>
        <v/>
      </c>
      <c r="D126" s="131">
        <f>IF(ISNUMBER('週次_媒体別CP'!L50),'週次_媒体別CP'!L50,0)</f>
        <v/>
      </c>
      <c r="E126" s="131">
        <f>IF(ISNUMBER('週次_媒体別CP'!L67),'週次_媒体別CP'!L67,0)</f>
        <v/>
      </c>
      <c r="F126" s="131">
        <f>IF(ISNUMBER('週次_媒体別CP'!L84),'週次_媒体別CP'!L84,0)</f>
        <v/>
      </c>
      <c r="G126" s="131">
        <f>IF(ISNUMBER('週次_媒体別CP'!L101),'週次_媒体別CP'!L101,0)</f>
        <v/>
      </c>
      <c r="H126" s="131">
        <f>IF(ISNUMBER('週次_媒体別CP'!L118),'週次_媒体別CP'!L118,0)</f>
        <v/>
      </c>
      <c r="I126" s="131">
        <f>IF(ISNUMBER('週次_媒体別CP'!L136),'週次_媒体別CP'!L136,0)</f>
        <v/>
      </c>
    </row>
    <row r="127">
      <c r="A127" s="129" t="inlineStr">
        <is>
          <t>W12</t>
        </is>
      </c>
      <c r="B127" s="131">
        <f>IF(ISNUMBER('週次_媒体別CP'!L17),'週次_媒体別CP'!L17,0)</f>
        <v/>
      </c>
      <c r="C127" s="131">
        <f>IF(ISNUMBER('週次_媒体別CP'!L34),'週次_媒体別CP'!L34,0)</f>
        <v/>
      </c>
      <c r="D127" s="131">
        <f>IF(ISNUMBER('週次_媒体別CP'!L51),'週次_媒体別CP'!L51,0)</f>
        <v/>
      </c>
      <c r="E127" s="131">
        <f>IF(ISNUMBER('週次_媒体別CP'!L68),'週次_媒体別CP'!L68,0)</f>
        <v/>
      </c>
      <c r="F127" s="131">
        <f>IF(ISNUMBER('週次_媒体別CP'!L85),'週次_媒体別CP'!L85,0)</f>
        <v/>
      </c>
      <c r="G127" s="131">
        <f>IF(ISNUMBER('週次_媒体別CP'!L102),'週次_媒体別CP'!L102,0)</f>
        <v/>
      </c>
      <c r="H127" s="131">
        <f>IF(ISNUMBER('週次_媒体別CP'!L119),'週次_媒体別CP'!L119,0)</f>
        <v/>
      </c>
      <c r="I127" s="131">
        <f>IF(ISNUMBER('週次_媒体別CP'!L137),'週次_媒体別CP'!L137,0)</f>
        <v/>
      </c>
    </row>
    <row r="128">
      <c r="A128" s="129" t="inlineStr">
        <is>
          <t>W13</t>
        </is>
      </c>
      <c r="B128" s="131">
        <f>IF(ISNUMBER('週次_媒体別CP'!L18),'週次_媒体別CP'!L18,0)</f>
        <v/>
      </c>
      <c r="C128" s="131">
        <f>IF(ISNUMBER('週次_媒体別CP'!L35),'週次_媒体別CP'!L35,0)</f>
        <v/>
      </c>
      <c r="D128" s="131">
        <f>IF(ISNUMBER('週次_媒体別CP'!L52),'週次_媒体別CP'!L52,0)</f>
        <v/>
      </c>
      <c r="E128" s="131">
        <f>IF(ISNUMBER('週次_媒体別CP'!L69),'週次_媒体別CP'!L69,0)</f>
        <v/>
      </c>
      <c r="F128" s="131">
        <f>IF(ISNUMBER('週次_媒体別CP'!L86),'週次_媒体別CP'!L86,0)</f>
        <v/>
      </c>
      <c r="G128" s="131">
        <f>IF(ISNUMBER('週次_媒体別CP'!L103),'週次_媒体別CP'!L103,0)</f>
        <v/>
      </c>
      <c r="H128" s="131">
        <f>IF(ISNUMBER('週次_媒体別CP'!L120),'週次_媒体別CP'!L120,0)</f>
        <v/>
      </c>
      <c r="I128" s="131">
        <f>IF(ISNUMBER('週次_媒体別CP'!L138),'週次_媒体別CP'!L138,0)</f>
        <v/>
      </c>
    </row>
    <row r="130">
      <c r="A130" s="136" t="inlineStr">
        <is>
          <t>歩留まり（商談化率）</t>
        </is>
      </c>
    </row>
    <row r="131">
      <c r="A131" s="127" t="inlineStr">
        <is>
          <t>週</t>
        </is>
      </c>
      <c r="B131" s="128" t="inlineStr">
        <is>
          <t>Meta/ウェビナー</t>
        </is>
      </c>
      <c r="C131" s="128" t="inlineStr">
        <is>
          <t>Meta/介護校</t>
        </is>
      </c>
      <c r="D131" s="128" t="inlineStr">
        <is>
          <t>Meta/Claude</t>
        </is>
      </c>
      <c r="E131" s="128" t="inlineStr">
        <is>
          <t>Google/ウェビナー</t>
        </is>
      </c>
      <c r="F131" s="128" t="inlineStr">
        <is>
          <t>Google/常設</t>
        </is>
      </c>
      <c r="G131" s="128" t="inlineStr">
        <is>
          <t>LINE/ウェビナー</t>
        </is>
      </c>
      <c r="H131" s="128" t="inlineStr">
        <is>
          <t>LINE/常設</t>
        </is>
      </c>
      <c r="I131" s="128" t="inlineStr">
        <is>
          <t>広告外</t>
        </is>
      </c>
    </row>
    <row r="132">
      <c r="A132" s="129" t="inlineStr">
        <is>
          <t>W1</t>
        </is>
      </c>
      <c r="B132" s="132">
        <f>IF(ISNUMBER('週次_媒体別CP'!M6),'週次_媒体別CP'!M6,0)</f>
        <v/>
      </c>
      <c r="C132" s="132">
        <f>IF(ISNUMBER('週次_媒体別CP'!M23),'週次_媒体別CP'!M23,0)</f>
        <v/>
      </c>
      <c r="D132" s="132">
        <f>IF(ISNUMBER('週次_媒体別CP'!M40),'週次_媒体別CP'!M40,0)</f>
        <v/>
      </c>
      <c r="E132" s="132">
        <f>IF(ISNUMBER('週次_媒体別CP'!M57),'週次_媒体別CP'!M57,0)</f>
        <v/>
      </c>
      <c r="F132" s="132">
        <f>IF(ISNUMBER('週次_媒体別CP'!M74),'週次_媒体別CP'!M74,0)</f>
        <v/>
      </c>
      <c r="G132" s="132">
        <f>IF(ISNUMBER('週次_媒体別CP'!M91),'週次_媒体別CP'!M91,0)</f>
        <v/>
      </c>
      <c r="H132" s="132">
        <f>IF(ISNUMBER('週次_媒体別CP'!M108),'週次_媒体別CP'!M108,0)</f>
        <v/>
      </c>
      <c r="I132" s="132">
        <f>IF(ISNUMBER('週次_媒体別CP'!M126),'週次_媒体別CP'!M126,0)</f>
        <v/>
      </c>
    </row>
    <row r="133">
      <c r="A133" s="129" t="inlineStr">
        <is>
          <t>W2</t>
        </is>
      </c>
      <c r="B133" s="132">
        <f>IF(ISNUMBER('週次_媒体別CP'!M7),'週次_媒体別CP'!M7,0)</f>
        <v/>
      </c>
      <c r="C133" s="132">
        <f>IF(ISNUMBER('週次_媒体別CP'!M24),'週次_媒体別CP'!M24,0)</f>
        <v/>
      </c>
      <c r="D133" s="132">
        <f>IF(ISNUMBER('週次_媒体別CP'!M41),'週次_媒体別CP'!M41,0)</f>
        <v/>
      </c>
      <c r="E133" s="132">
        <f>IF(ISNUMBER('週次_媒体別CP'!M58),'週次_媒体別CP'!M58,0)</f>
        <v/>
      </c>
      <c r="F133" s="132">
        <f>IF(ISNUMBER('週次_媒体別CP'!M75),'週次_媒体別CP'!M75,0)</f>
        <v/>
      </c>
      <c r="G133" s="132">
        <f>IF(ISNUMBER('週次_媒体別CP'!M92),'週次_媒体別CP'!M92,0)</f>
        <v/>
      </c>
      <c r="H133" s="132">
        <f>IF(ISNUMBER('週次_媒体別CP'!M109),'週次_媒体別CP'!M109,0)</f>
        <v/>
      </c>
      <c r="I133" s="132">
        <f>IF(ISNUMBER('週次_媒体別CP'!M127),'週次_媒体別CP'!M127,0)</f>
        <v/>
      </c>
    </row>
    <row r="134">
      <c r="A134" s="129" t="inlineStr">
        <is>
          <t>W3</t>
        </is>
      </c>
      <c r="B134" s="132">
        <f>IF(ISNUMBER('週次_媒体別CP'!M8),'週次_媒体別CP'!M8,0)</f>
        <v/>
      </c>
      <c r="C134" s="132">
        <f>IF(ISNUMBER('週次_媒体別CP'!M25),'週次_媒体別CP'!M25,0)</f>
        <v/>
      </c>
      <c r="D134" s="132">
        <f>IF(ISNUMBER('週次_媒体別CP'!M42),'週次_媒体別CP'!M42,0)</f>
        <v/>
      </c>
      <c r="E134" s="132">
        <f>IF(ISNUMBER('週次_媒体別CP'!M59),'週次_媒体別CP'!M59,0)</f>
        <v/>
      </c>
      <c r="F134" s="132">
        <f>IF(ISNUMBER('週次_媒体別CP'!M76),'週次_媒体別CP'!M76,0)</f>
        <v/>
      </c>
      <c r="G134" s="132">
        <f>IF(ISNUMBER('週次_媒体別CP'!M93),'週次_媒体別CP'!M93,0)</f>
        <v/>
      </c>
      <c r="H134" s="132">
        <f>IF(ISNUMBER('週次_媒体別CP'!M110),'週次_媒体別CP'!M110,0)</f>
        <v/>
      </c>
      <c r="I134" s="132">
        <f>IF(ISNUMBER('週次_媒体別CP'!M128),'週次_媒体別CP'!M128,0)</f>
        <v/>
      </c>
    </row>
    <row r="135">
      <c r="A135" s="129" t="inlineStr">
        <is>
          <t>W4</t>
        </is>
      </c>
      <c r="B135" s="132">
        <f>IF(ISNUMBER('週次_媒体別CP'!M9),'週次_媒体別CP'!M9,0)</f>
        <v/>
      </c>
      <c r="C135" s="132">
        <f>IF(ISNUMBER('週次_媒体別CP'!M26),'週次_媒体別CP'!M26,0)</f>
        <v/>
      </c>
      <c r="D135" s="132">
        <f>IF(ISNUMBER('週次_媒体別CP'!M43),'週次_媒体別CP'!M43,0)</f>
        <v/>
      </c>
      <c r="E135" s="132">
        <f>IF(ISNUMBER('週次_媒体別CP'!M60),'週次_媒体別CP'!M60,0)</f>
        <v/>
      </c>
      <c r="F135" s="132">
        <f>IF(ISNUMBER('週次_媒体別CP'!M77),'週次_媒体別CP'!M77,0)</f>
        <v/>
      </c>
      <c r="G135" s="132">
        <f>IF(ISNUMBER('週次_媒体別CP'!M94),'週次_媒体別CP'!M94,0)</f>
        <v/>
      </c>
      <c r="H135" s="132">
        <f>IF(ISNUMBER('週次_媒体別CP'!M111),'週次_媒体別CP'!M111,0)</f>
        <v/>
      </c>
      <c r="I135" s="132">
        <f>IF(ISNUMBER('週次_媒体別CP'!M129),'週次_媒体別CP'!M129,0)</f>
        <v/>
      </c>
    </row>
    <row r="136">
      <c r="A136" s="129" t="inlineStr">
        <is>
          <t>W5</t>
        </is>
      </c>
      <c r="B136" s="132">
        <f>IF(ISNUMBER('週次_媒体別CP'!M10),'週次_媒体別CP'!M10,0)</f>
        <v/>
      </c>
      <c r="C136" s="132">
        <f>IF(ISNUMBER('週次_媒体別CP'!M27),'週次_媒体別CP'!M27,0)</f>
        <v/>
      </c>
      <c r="D136" s="132">
        <f>IF(ISNUMBER('週次_媒体別CP'!M44),'週次_媒体別CP'!M44,0)</f>
        <v/>
      </c>
      <c r="E136" s="132">
        <f>IF(ISNUMBER('週次_媒体別CP'!M61),'週次_媒体別CP'!M61,0)</f>
        <v/>
      </c>
      <c r="F136" s="132">
        <f>IF(ISNUMBER('週次_媒体別CP'!M78),'週次_媒体別CP'!M78,0)</f>
        <v/>
      </c>
      <c r="G136" s="132">
        <f>IF(ISNUMBER('週次_媒体別CP'!M95),'週次_媒体別CP'!M95,0)</f>
        <v/>
      </c>
      <c r="H136" s="132">
        <f>IF(ISNUMBER('週次_媒体別CP'!M112),'週次_媒体別CP'!M112,0)</f>
        <v/>
      </c>
      <c r="I136" s="132">
        <f>IF(ISNUMBER('週次_媒体別CP'!M130),'週次_媒体別CP'!M130,0)</f>
        <v/>
      </c>
    </row>
    <row r="137">
      <c r="A137" s="129" t="inlineStr">
        <is>
          <t>W6</t>
        </is>
      </c>
      <c r="B137" s="132">
        <f>IF(ISNUMBER('週次_媒体別CP'!M11),'週次_媒体別CP'!M11,0)</f>
        <v/>
      </c>
      <c r="C137" s="132">
        <f>IF(ISNUMBER('週次_媒体別CP'!M28),'週次_媒体別CP'!M28,0)</f>
        <v/>
      </c>
      <c r="D137" s="132">
        <f>IF(ISNUMBER('週次_媒体別CP'!M45),'週次_媒体別CP'!M45,0)</f>
        <v/>
      </c>
      <c r="E137" s="132">
        <f>IF(ISNUMBER('週次_媒体別CP'!M62),'週次_媒体別CP'!M62,0)</f>
        <v/>
      </c>
      <c r="F137" s="132">
        <f>IF(ISNUMBER('週次_媒体別CP'!M79),'週次_媒体別CP'!M79,0)</f>
        <v/>
      </c>
      <c r="G137" s="132">
        <f>IF(ISNUMBER('週次_媒体別CP'!M96),'週次_媒体別CP'!M96,0)</f>
        <v/>
      </c>
      <c r="H137" s="132">
        <f>IF(ISNUMBER('週次_媒体別CP'!M113),'週次_媒体別CP'!M113,0)</f>
        <v/>
      </c>
      <c r="I137" s="132">
        <f>IF(ISNUMBER('週次_媒体別CP'!M131),'週次_媒体別CP'!M131,0)</f>
        <v/>
      </c>
    </row>
    <row r="138">
      <c r="A138" s="129" t="inlineStr">
        <is>
          <t>W7</t>
        </is>
      </c>
      <c r="B138" s="132">
        <f>IF(ISNUMBER('週次_媒体別CP'!M12),'週次_媒体別CP'!M12,0)</f>
        <v/>
      </c>
      <c r="C138" s="132">
        <f>IF(ISNUMBER('週次_媒体別CP'!M29),'週次_媒体別CP'!M29,0)</f>
        <v/>
      </c>
      <c r="D138" s="132">
        <f>IF(ISNUMBER('週次_媒体別CP'!M46),'週次_媒体別CP'!M46,0)</f>
        <v/>
      </c>
      <c r="E138" s="132">
        <f>IF(ISNUMBER('週次_媒体別CP'!M63),'週次_媒体別CP'!M63,0)</f>
        <v/>
      </c>
      <c r="F138" s="132">
        <f>IF(ISNUMBER('週次_媒体別CP'!M80),'週次_媒体別CP'!M80,0)</f>
        <v/>
      </c>
      <c r="G138" s="132">
        <f>IF(ISNUMBER('週次_媒体別CP'!M97),'週次_媒体別CP'!M97,0)</f>
        <v/>
      </c>
      <c r="H138" s="132">
        <f>IF(ISNUMBER('週次_媒体別CP'!M114),'週次_媒体別CP'!M114,0)</f>
        <v/>
      </c>
      <c r="I138" s="132">
        <f>IF(ISNUMBER('週次_媒体別CP'!M132),'週次_媒体別CP'!M132,0)</f>
        <v/>
      </c>
    </row>
    <row r="139">
      <c r="A139" s="129" t="inlineStr">
        <is>
          <t>W8</t>
        </is>
      </c>
      <c r="B139" s="132">
        <f>IF(ISNUMBER('週次_媒体別CP'!M13),'週次_媒体別CP'!M13,0)</f>
        <v/>
      </c>
      <c r="C139" s="132">
        <f>IF(ISNUMBER('週次_媒体別CP'!M30),'週次_媒体別CP'!M30,0)</f>
        <v/>
      </c>
      <c r="D139" s="132">
        <f>IF(ISNUMBER('週次_媒体別CP'!M47),'週次_媒体別CP'!M47,0)</f>
        <v/>
      </c>
      <c r="E139" s="132">
        <f>IF(ISNUMBER('週次_媒体別CP'!M64),'週次_媒体別CP'!M64,0)</f>
        <v/>
      </c>
      <c r="F139" s="132">
        <f>IF(ISNUMBER('週次_媒体別CP'!M81),'週次_媒体別CP'!M81,0)</f>
        <v/>
      </c>
      <c r="G139" s="132">
        <f>IF(ISNUMBER('週次_媒体別CP'!M98),'週次_媒体別CP'!M98,0)</f>
        <v/>
      </c>
      <c r="H139" s="132">
        <f>IF(ISNUMBER('週次_媒体別CP'!M115),'週次_媒体別CP'!M115,0)</f>
        <v/>
      </c>
      <c r="I139" s="132">
        <f>IF(ISNUMBER('週次_媒体別CP'!M133),'週次_媒体別CP'!M133,0)</f>
        <v/>
      </c>
    </row>
    <row r="140">
      <c r="A140" s="129" t="inlineStr">
        <is>
          <t>W9</t>
        </is>
      </c>
      <c r="B140" s="132">
        <f>IF(ISNUMBER('週次_媒体別CP'!M14),'週次_媒体別CP'!M14,0)</f>
        <v/>
      </c>
      <c r="C140" s="132">
        <f>IF(ISNUMBER('週次_媒体別CP'!M31),'週次_媒体別CP'!M31,0)</f>
        <v/>
      </c>
      <c r="D140" s="132">
        <f>IF(ISNUMBER('週次_媒体別CP'!M48),'週次_媒体別CP'!M48,0)</f>
        <v/>
      </c>
      <c r="E140" s="132">
        <f>IF(ISNUMBER('週次_媒体別CP'!M65),'週次_媒体別CP'!M65,0)</f>
        <v/>
      </c>
      <c r="F140" s="132">
        <f>IF(ISNUMBER('週次_媒体別CP'!M82),'週次_媒体別CP'!M82,0)</f>
        <v/>
      </c>
      <c r="G140" s="132">
        <f>IF(ISNUMBER('週次_媒体別CP'!M99),'週次_媒体別CP'!M99,0)</f>
        <v/>
      </c>
      <c r="H140" s="132">
        <f>IF(ISNUMBER('週次_媒体別CP'!M116),'週次_媒体別CP'!M116,0)</f>
        <v/>
      </c>
      <c r="I140" s="132">
        <f>IF(ISNUMBER('週次_媒体別CP'!M134),'週次_媒体別CP'!M134,0)</f>
        <v/>
      </c>
    </row>
    <row r="141">
      <c r="A141" s="129" t="inlineStr">
        <is>
          <t>W10</t>
        </is>
      </c>
      <c r="B141" s="132">
        <f>IF(ISNUMBER('週次_媒体別CP'!M15),'週次_媒体別CP'!M15,0)</f>
        <v/>
      </c>
      <c r="C141" s="132">
        <f>IF(ISNUMBER('週次_媒体別CP'!M32),'週次_媒体別CP'!M32,0)</f>
        <v/>
      </c>
      <c r="D141" s="132">
        <f>IF(ISNUMBER('週次_媒体別CP'!M49),'週次_媒体別CP'!M49,0)</f>
        <v/>
      </c>
      <c r="E141" s="132">
        <f>IF(ISNUMBER('週次_媒体別CP'!M66),'週次_媒体別CP'!M66,0)</f>
        <v/>
      </c>
      <c r="F141" s="132">
        <f>IF(ISNUMBER('週次_媒体別CP'!M83),'週次_媒体別CP'!M83,0)</f>
        <v/>
      </c>
      <c r="G141" s="132">
        <f>IF(ISNUMBER('週次_媒体別CP'!M100),'週次_媒体別CP'!M100,0)</f>
        <v/>
      </c>
      <c r="H141" s="132">
        <f>IF(ISNUMBER('週次_媒体別CP'!M117),'週次_媒体別CP'!M117,0)</f>
        <v/>
      </c>
      <c r="I141" s="132">
        <f>IF(ISNUMBER('週次_媒体別CP'!M135),'週次_媒体別CP'!M135,0)</f>
        <v/>
      </c>
    </row>
    <row r="142">
      <c r="A142" s="129" t="inlineStr">
        <is>
          <t>W11</t>
        </is>
      </c>
      <c r="B142" s="132">
        <f>IF(ISNUMBER('週次_媒体別CP'!M16),'週次_媒体別CP'!M16,0)</f>
        <v/>
      </c>
      <c r="C142" s="132">
        <f>IF(ISNUMBER('週次_媒体別CP'!M33),'週次_媒体別CP'!M33,0)</f>
        <v/>
      </c>
      <c r="D142" s="132">
        <f>IF(ISNUMBER('週次_媒体別CP'!M50),'週次_媒体別CP'!M50,0)</f>
        <v/>
      </c>
      <c r="E142" s="132">
        <f>IF(ISNUMBER('週次_媒体別CP'!M67),'週次_媒体別CP'!M67,0)</f>
        <v/>
      </c>
      <c r="F142" s="132">
        <f>IF(ISNUMBER('週次_媒体別CP'!M84),'週次_媒体別CP'!M84,0)</f>
        <v/>
      </c>
      <c r="G142" s="132">
        <f>IF(ISNUMBER('週次_媒体別CP'!M101),'週次_媒体別CP'!M101,0)</f>
        <v/>
      </c>
      <c r="H142" s="132">
        <f>IF(ISNUMBER('週次_媒体別CP'!M118),'週次_媒体別CP'!M118,0)</f>
        <v/>
      </c>
      <c r="I142" s="132">
        <f>IF(ISNUMBER('週次_媒体別CP'!M136),'週次_媒体別CP'!M136,0)</f>
        <v/>
      </c>
    </row>
    <row r="143">
      <c r="A143" s="129" t="inlineStr">
        <is>
          <t>W12</t>
        </is>
      </c>
      <c r="B143" s="132">
        <f>IF(ISNUMBER('週次_媒体別CP'!M17),'週次_媒体別CP'!M17,0)</f>
        <v/>
      </c>
      <c r="C143" s="132">
        <f>IF(ISNUMBER('週次_媒体別CP'!M34),'週次_媒体別CP'!M34,0)</f>
        <v/>
      </c>
      <c r="D143" s="132">
        <f>IF(ISNUMBER('週次_媒体別CP'!M51),'週次_媒体別CP'!M51,0)</f>
        <v/>
      </c>
      <c r="E143" s="132">
        <f>IF(ISNUMBER('週次_媒体別CP'!M68),'週次_媒体別CP'!M68,0)</f>
        <v/>
      </c>
      <c r="F143" s="132">
        <f>IF(ISNUMBER('週次_媒体別CP'!M85),'週次_媒体別CP'!M85,0)</f>
        <v/>
      </c>
      <c r="G143" s="132">
        <f>IF(ISNUMBER('週次_媒体別CP'!M102),'週次_媒体別CP'!M102,0)</f>
        <v/>
      </c>
      <c r="H143" s="132">
        <f>IF(ISNUMBER('週次_媒体別CP'!M119),'週次_媒体別CP'!M119,0)</f>
        <v/>
      </c>
      <c r="I143" s="132">
        <f>IF(ISNUMBER('週次_媒体別CP'!M137),'週次_媒体別CP'!M137,0)</f>
        <v/>
      </c>
    </row>
    <row r="144">
      <c r="A144" s="129" t="inlineStr">
        <is>
          <t>W13</t>
        </is>
      </c>
      <c r="B144" s="132">
        <f>IF(ISNUMBER('週次_媒体別CP'!M18),'週次_媒体別CP'!M18,0)</f>
        <v/>
      </c>
      <c r="C144" s="132">
        <f>IF(ISNUMBER('週次_媒体別CP'!M35),'週次_媒体別CP'!M35,0)</f>
        <v/>
      </c>
      <c r="D144" s="132">
        <f>IF(ISNUMBER('週次_媒体別CP'!M52),'週次_媒体別CP'!M52,0)</f>
        <v/>
      </c>
      <c r="E144" s="132">
        <f>IF(ISNUMBER('週次_媒体別CP'!M69),'週次_媒体別CP'!M69,0)</f>
        <v/>
      </c>
      <c r="F144" s="132">
        <f>IF(ISNUMBER('週次_媒体別CP'!M86),'週次_媒体別CP'!M86,0)</f>
        <v/>
      </c>
      <c r="G144" s="132">
        <f>IF(ISNUMBER('週次_媒体別CP'!M103),'週次_媒体別CP'!M103,0)</f>
        <v/>
      </c>
      <c r="H144" s="132">
        <f>IF(ISNUMBER('週次_媒体別CP'!M120),'週次_媒体別CP'!M120,0)</f>
        <v/>
      </c>
      <c r="I144" s="132">
        <f>IF(ISNUMBER('週次_媒体別CP'!M138),'週次_媒体別CP'!M138,0)</f>
        <v/>
      </c>
    </row>
    <row r="146">
      <c r="A146" s="136" t="inlineStr">
        <is>
          <t>成約</t>
        </is>
      </c>
    </row>
    <row r="147">
      <c r="A147" s="127" t="inlineStr">
        <is>
          <t>週</t>
        </is>
      </c>
      <c r="B147" s="128" t="inlineStr">
        <is>
          <t>Meta/ウェビナー</t>
        </is>
      </c>
      <c r="C147" s="128" t="inlineStr">
        <is>
          <t>Meta/介護校</t>
        </is>
      </c>
      <c r="D147" s="128" t="inlineStr">
        <is>
          <t>Meta/Claude</t>
        </is>
      </c>
      <c r="E147" s="128" t="inlineStr">
        <is>
          <t>Google/ウェビナー</t>
        </is>
      </c>
      <c r="F147" s="128" t="inlineStr">
        <is>
          <t>Google/常設</t>
        </is>
      </c>
      <c r="G147" s="128" t="inlineStr">
        <is>
          <t>LINE/ウェビナー</t>
        </is>
      </c>
      <c r="H147" s="128" t="inlineStr">
        <is>
          <t>LINE/常設</t>
        </is>
      </c>
      <c r="I147" s="128" t="inlineStr">
        <is>
          <t>広告外</t>
        </is>
      </c>
    </row>
    <row r="148">
      <c r="A148" s="129" t="inlineStr">
        <is>
          <t>W1</t>
        </is>
      </c>
      <c r="B148" s="131">
        <f>IF(ISNUMBER('週次_媒体別CP'!N6),'週次_媒体別CP'!N6,0)</f>
        <v/>
      </c>
      <c r="C148" s="131">
        <f>IF(ISNUMBER('週次_媒体別CP'!N23),'週次_媒体別CP'!N23,0)</f>
        <v/>
      </c>
      <c r="D148" s="131">
        <f>IF(ISNUMBER('週次_媒体別CP'!N40),'週次_媒体別CP'!N40,0)</f>
        <v/>
      </c>
      <c r="E148" s="131">
        <f>IF(ISNUMBER('週次_媒体別CP'!N57),'週次_媒体別CP'!N57,0)</f>
        <v/>
      </c>
      <c r="F148" s="131">
        <f>IF(ISNUMBER('週次_媒体別CP'!N74),'週次_媒体別CP'!N74,0)</f>
        <v/>
      </c>
      <c r="G148" s="131">
        <f>IF(ISNUMBER('週次_媒体別CP'!N91),'週次_媒体別CP'!N91,0)</f>
        <v/>
      </c>
      <c r="H148" s="131">
        <f>IF(ISNUMBER('週次_媒体別CP'!N108),'週次_媒体別CP'!N108,0)</f>
        <v/>
      </c>
      <c r="I148" s="131">
        <f>IF(ISNUMBER('週次_媒体別CP'!N126),'週次_媒体別CP'!N126,0)</f>
        <v/>
      </c>
    </row>
    <row r="149">
      <c r="A149" s="129" t="inlineStr">
        <is>
          <t>W2</t>
        </is>
      </c>
      <c r="B149" s="131">
        <f>IF(ISNUMBER('週次_媒体別CP'!N7),'週次_媒体別CP'!N7,0)</f>
        <v/>
      </c>
      <c r="C149" s="131">
        <f>IF(ISNUMBER('週次_媒体別CP'!N24),'週次_媒体別CP'!N24,0)</f>
        <v/>
      </c>
      <c r="D149" s="131">
        <f>IF(ISNUMBER('週次_媒体別CP'!N41),'週次_媒体別CP'!N41,0)</f>
        <v/>
      </c>
      <c r="E149" s="131">
        <f>IF(ISNUMBER('週次_媒体別CP'!N58),'週次_媒体別CP'!N58,0)</f>
        <v/>
      </c>
      <c r="F149" s="131">
        <f>IF(ISNUMBER('週次_媒体別CP'!N75),'週次_媒体別CP'!N75,0)</f>
        <v/>
      </c>
      <c r="G149" s="131">
        <f>IF(ISNUMBER('週次_媒体別CP'!N92),'週次_媒体別CP'!N92,0)</f>
        <v/>
      </c>
      <c r="H149" s="131">
        <f>IF(ISNUMBER('週次_媒体別CP'!N109),'週次_媒体別CP'!N109,0)</f>
        <v/>
      </c>
      <c r="I149" s="131">
        <f>IF(ISNUMBER('週次_媒体別CP'!N127),'週次_媒体別CP'!N127,0)</f>
        <v/>
      </c>
    </row>
    <row r="150">
      <c r="A150" s="129" t="inlineStr">
        <is>
          <t>W3</t>
        </is>
      </c>
      <c r="B150" s="131">
        <f>IF(ISNUMBER('週次_媒体別CP'!N8),'週次_媒体別CP'!N8,0)</f>
        <v/>
      </c>
      <c r="C150" s="131">
        <f>IF(ISNUMBER('週次_媒体別CP'!N25),'週次_媒体別CP'!N25,0)</f>
        <v/>
      </c>
      <c r="D150" s="131">
        <f>IF(ISNUMBER('週次_媒体別CP'!N42),'週次_媒体別CP'!N42,0)</f>
        <v/>
      </c>
      <c r="E150" s="131">
        <f>IF(ISNUMBER('週次_媒体別CP'!N59),'週次_媒体別CP'!N59,0)</f>
        <v/>
      </c>
      <c r="F150" s="131">
        <f>IF(ISNUMBER('週次_媒体別CP'!N76),'週次_媒体別CP'!N76,0)</f>
        <v/>
      </c>
      <c r="G150" s="131">
        <f>IF(ISNUMBER('週次_媒体別CP'!N93),'週次_媒体別CP'!N93,0)</f>
        <v/>
      </c>
      <c r="H150" s="131">
        <f>IF(ISNUMBER('週次_媒体別CP'!N110),'週次_媒体別CP'!N110,0)</f>
        <v/>
      </c>
      <c r="I150" s="131">
        <f>IF(ISNUMBER('週次_媒体別CP'!N128),'週次_媒体別CP'!N128,0)</f>
        <v/>
      </c>
    </row>
    <row r="151">
      <c r="A151" s="129" t="inlineStr">
        <is>
          <t>W4</t>
        </is>
      </c>
      <c r="B151" s="131">
        <f>IF(ISNUMBER('週次_媒体別CP'!N9),'週次_媒体別CP'!N9,0)</f>
        <v/>
      </c>
      <c r="C151" s="131">
        <f>IF(ISNUMBER('週次_媒体別CP'!N26),'週次_媒体別CP'!N26,0)</f>
        <v/>
      </c>
      <c r="D151" s="131">
        <f>IF(ISNUMBER('週次_媒体別CP'!N43),'週次_媒体別CP'!N43,0)</f>
        <v/>
      </c>
      <c r="E151" s="131">
        <f>IF(ISNUMBER('週次_媒体別CP'!N60),'週次_媒体別CP'!N60,0)</f>
        <v/>
      </c>
      <c r="F151" s="131">
        <f>IF(ISNUMBER('週次_媒体別CP'!N77),'週次_媒体別CP'!N77,0)</f>
        <v/>
      </c>
      <c r="G151" s="131">
        <f>IF(ISNUMBER('週次_媒体別CP'!N94),'週次_媒体別CP'!N94,0)</f>
        <v/>
      </c>
      <c r="H151" s="131">
        <f>IF(ISNUMBER('週次_媒体別CP'!N111),'週次_媒体別CP'!N111,0)</f>
        <v/>
      </c>
      <c r="I151" s="131">
        <f>IF(ISNUMBER('週次_媒体別CP'!N129),'週次_媒体別CP'!N129,0)</f>
        <v/>
      </c>
    </row>
    <row r="152">
      <c r="A152" s="129" t="inlineStr">
        <is>
          <t>W5</t>
        </is>
      </c>
      <c r="B152" s="131">
        <f>IF(ISNUMBER('週次_媒体別CP'!N10),'週次_媒体別CP'!N10,0)</f>
        <v/>
      </c>
      <c r="C152" s="131">
        <f>IF(ISNUMBER('週次_媒体別CP'!N27),'週次_媒体別CP'!N27,0)</f>
        <v/>
      </c>
      <c r="D152" s="131">
        <f>IF(ISNUMBER('週次_媒体別CP'!N44),'週次_媒体別CP'!N44,0)</f>
        <v/>
      </c>
      <c r="E152" s="131">
        <f>IF(ISNUMBER('週次_媒体別CP'!N61),'週次_媒体別CP'!N61,0)</f>
        <v/>
      </c>
      <c r="F152" s="131">
        <f>IF(ISNUMBER('週次_媒体別CP'!N78),'週次_媒体別CP'!N78,0)</f>
        <v/>
      </c>
      <c r="G152" s="131">
        <f>IF(ISNUMBER('週次_媒体別CP'!N95),'週次_媒体別CP'!N95,0)</f>
        <v/>
      </c>
      <c r="H152" s="131">
        <f>IF(ISNUMBER('週次_媒体別CP'!N112),'週次_媒体別CP'!N112,0)</f>
        <v/>
      </c>
      <c r="I152" s="131">
        <f>IF(ISNUMBER('週次_媒体別CP'!N130),'週次_媒体別CP'!N130,0)</f>
        <v/>
      </c>
    </row>
    <row r="153">
      <c r="A153" s="129" t="inlineStr">
        <is>
          <t>W6</t>
        </is>
      </c>
      <c r="B153" s="131">
        <f>IF(ISNUMBER('週次_媒体別CP'!N11),'週次_媒体別CP'!N11,0)</f>
        <v/>
      </c>
      <c r="C153" s="131">
        <f>IF(ISNUMBER('週次_媒体別CP'!N28),'週次_媒体別CP'!N28,0)</f>
        <v/>
      </c>
      <c r="D153" s="131">
        <f>IF(ISNUMBER('週次_媒体別CP'!N45),'週次_媒体別CP'!N45,0)</f>
        <v/>
      </c>
      <c r="E153" s="131">
        <f>IF(ISNUMBER('週次_媒体別CP'!N62),'週次_媒体別CP'!N62,0)</f>
        <v/>
      </c>
      <c r="F153" s="131">
        <f>IF(ISNUMBER('週次_媒体別CP'!N79),'週次_媒体別CP'!N79,0)</f>
        <v/>
      </c>
      <c r="G153" s="131">
        <f>IF(ISNUMBER('週次_媒体別CP'!N96),'週次_媒体別CP'!N96,0)</f>
        <v/>
      </c>
      <c r="H153" s="131">
        <f>IF(ISNUMBER('週次_媒体別CP'!N113),'週次_媒体別CP'!N113,0)</f>
        <v/>
      </c>
      <c r="I153" s="131">
        <f>IF(ISNUMBER('週次_媒体別CP'!N131),'週次_媒体別CP'!N131,0)</f>
        <v/>
      </c>
    </row>
    <row r="154">
      <c r="A154" s="129" t="inlineStr">
        <is>
          <t>W7</t>
        </is>
      </c>
      <c r="B154" s="131">
        <f>IF(ISNUMBER('週次_媒体別CP'!N12),'週次_媒体別CP'!N12,0)</f>
        <v/>
      </c>
      <c r="C154" s="131">
        <f>IF(ISNUMBER('週次_媒体別CP'!N29),'週次_媒体別CP'!N29,0)</f>
        <v/>
      </c>
      <c r="D154" s="131">
        <f>IF(ISNUMBER('週次_媒体別CP'!N46),'週次_媒体別CP'!N46,0)</f>
        <v/>
      </c>
      <c r="E154" s="131">
        <f>IF(ISNUMBER('週次_媒体別CP'!N63),'週次_媒体別CP'!N63,0)</f>
        <v/>
      </c>
      <c r="F154" s="131">
        <f>IF(ISNUMBER('週次_媒体別CP'!N80),'週次_媒体別CP'!N80,0)</f>
        <v/>
      </c>
      <c r="G154" s="131">
        <f>IF(ISNUMBER('週次_媒体別CP'!N97),'週次_媒体別CP'!N97,0)</f>
        <v/>
      </c>
      <c r="H154" s="131">
        <f>IF(ISNUMBER('週次_媒体別CP'!N114),'週次_媒体別CP'!N114,0)</f>
        <v/>
      </c>
      <c r="I154" s="131">
        <f>IF(ISNUMBER('週次_媒体別CP'!N132),'週次_媒体別CP'!N132,0)</f>
        <v/>
      </c>
    </row>
    <row r="155">
      <c r="A155" s="129" t="inlineStr">
        <is>
          <t>W8</t>
        </is>
      </c>
      <c r="B155" s="131">
        <f>IF(ISNUMBER('週次_媒体別CP'!N13),'週次_媒体別CP'!N13,0)</f>
        <v/>
      </c>
      <c r="C155" s="131">
        <f>IF(ISNUMBER('週次_媒体別CP'!N30),'週次_媒体別CP'!N30,0)</f>
        <v/>
      </c>
      <c r="D155" s="131">
        <f>IF(ISNUMBER('週次_媒体別CP'!N47),'週次_媒体別CP'!N47,0)</f>
        <v/>
      </c>
      <c r="E155" s="131">
        <f>IF(ISNUMBER('週次_媒体別CP'!N64),'週次_媒体別CP'!N64,0)</f>
        <v/>
      </c>
      <c r="F155" s="131">
        <f>IF(ISNUMBER('週次_媒体別CP'!N81),'週次_媒体別CP'!N81,0)</f>
        <v/>
      </c>
      <c r="G155" s="131">
        <f>IF(ISNUMBER('週次_媒体別CP'!N98),'週次_媒体別CP'!N98,0)</f>
        <v/>
      </c>
      <c r="H155" s="131">
        <f>IF(ISNUMBER('週次_媒体別CP'!N115),'週次_媒体別CP'!N115,0)</f>
        <v/>
      </c>
      <c r="I155" s="131">
        <f>IF(ISNUMBER('週次_媒体別CP'!N133),'週次_媒体別CP'!N133,0)</f>
        <v/>
      </c>
    </row>
    <row r="156">
      <c r="A156" s="129" t="inlineStr">
        <is>
          <t>W9</t>
        </is>
      </c>
      <c r="B156" s="131">
        <f>IF(ISNUMBER('週次_媒体別CP'!N14),'週次_媒体別CP'!N14,0)</f>
        <v/>
      </c>
      <c r="C156" s="131">
        <f>IF(ISNUMBER('週次_媒体別CP'!N31),'週次_媒体別CP'!N31,0)</f>
        <v/>
      </c>
      <c r="D156" s="131">
        <f>IF(ISNUMBER('週次_媒体別CP'!N48),'週次_媒体別CP'!N48,0)</f>
        <v/>
      </c>
      <c r="E156" s="131">
        <f>IF(ISNUMBER('週次_媒体別CP'!N65),'週次_媒体別CP'!N65,0)</f>
        <v/>
      </c>
      <c r="F156" s="131">
        <f>IF(ISNUMBER('週次_媒体別CP'!N82),'週次_媒体別CP'!N82,0)</f>
        <v/>
      </c>
      <c r="G156" s="131">
        <f>IF(ISNUMBER('週次_媒体別CP'!N99),'週次_媒体別CP'!N99,0)</f>
        <v/>
      </c>
      <c r="H156" s="131">
        <f>IF(ISNUMBER('週次_媒体別CP'!N116),'週次_媒体別CP'!N116,0)</f>
        <v/>
      </c>
      <c r="I156" s="131">
        <f>IF(ISNUMBER('週次_媒体別CP'!N134),'週次_媒体別CP'!N134,0)</f>
        <v/>
      </c>
    </row>
    <row r="157">
      <c r="A157" s="129" t="inlineStr">
        <is>
          <t>W10</t>
        </is>
      </c>
      <c r="B157" s="131">
        <f>IF(ISNUMBER('週次_媒体別CP'!N15),'週次_媒体別CP'!N15,0)</f>
        <v/>
      </c>
      <c r="C157" s="131">
        <f>IF(ISNUMBER('週次_媒体別CP'!N32),'週次_媒体別CP'!N32,0)</f>
        <v/>
      </c>
      <c r="D157" s="131">
        <f>IF(ISNUMBER('週次_媒体別CP'!N49),'週次_媒体別CP'!N49,0)</f>
        <v/>
      </c>
      <c r="E157" s="131">
        <f>IF(ISNUMBER('週次_媒体別CP'!N66),'週次_媒体別CP'!N66,0)</f>
        <v/>
      </c>
      <c r="F157" s="131">
        <f>IF(ISNUMBER('週次_媒体別CP'!N83),'週次_媒体別CP'!N83,0)</f>
        <v/>
      </c>
      <c r="G157" s="131">
        <f>IF(ISNUMBER('週次_媒体別CP'!N100),'週次_媒体別CP'!N100,0)</f>
        <v/>
      </c>
      <c r="H157" s="131">
        <f>IF(ISNUMBER('週次_媒体別CP'!N117),'週次_媒体別CP'!N117,0)</f>
        <v/>
      </c>
      <c r="I157" s="131">
        <f>IF(ISNUMBER('週次_媒体別CP'!N135),'週次_媒体別CP'!N135,0)</f>
        <v/>
      </c>
    </row>
    <row r="158">
      <c r="A158" s="129" t="inlineStr">
        <is>
          <t>W11</t>
        </is>
      </c>
      <c r="B158" s="131">
        <f>IF(ISNUMBER('週次_媒体別CP'!N16),'週次_媒体別CP'!N16,0)</f>
        <v/>
      </c>
      <c r="C158" s="131">
        <f>IF(ISNUMBER('週次_媒体別CP'!N33),'週次_媒体別CP'!N33,0)</f>
        <v/>
      </c>
      <c r="D158" s="131">
        <f>IF(ISNUMBER('週次_媒体別CP'!N50),'週次_媒体別CP'!N50,0)</f>
        <v/>
      </c>
      <c r="E158" s="131">
        <f>IF(ISNUMBER('週次_媒体別CP'!N67),'週次_媒体別CP'!N67,0)</f>
        <v/>
      </c>
      <c r="F158" s="131">
        <f>IF(ISNUMBER('週次_媒体別CP'!N84),'週次_媒体別CP'!N84,0)</f>
        <v/>
      </c>
      <c r="G158" s="131">
        <f>IF(ISNUMBER('週次_媒体別CP'!N101),'週次_媒体別CP'!N101,0)</f>
        <v/>
      </c>
      <c r="H158" s="131">
        <f>IF(ISNUMBER('週次_媒体別CP'!N118),'週次_媒体別CP'!N118,0)</f>
        <v/>
      </c>
      <c r="I158" s="131">
        <f>IF(ISNUMBER('週次_媒体別CP'!N136),'週次_媒体別CP'!N136,0)</f>
        <v/>
      </c>
    </row>
    <row r="159">
      <c r="A159" s="129" t="inlineStr">
        <is>
          <t>W12</t>
        </is>
      </c>
      <c r="B159" s="131">
        <f>IF(ISNUMBER('週次_媒体別CP'!N17),'週次_媒体別CP'!N17,0)</f>
        <v/>
      </c>
      <c r="C159" s="131">
        <f>IF(ISNUMBER('週次_媒体別CP'!N34),'週次_媒体別CP'!N34,0)</f>
        <v/>
      </c>
      <c r="D159" s="131">
        <f>IF(ISNUMBER('週次_媒体別CP'!N51),'週次_媒体別CP'!N51,0)</f>
        <v/>
      </c>
      <c r="E159" s="131">
        <f>IF(ISNUMBER('週次_媒体別CP'!N68),'週次_媒体別CP'!N68,0)</f>
        <v/>
      </c>
      <c r="F159" s="131">
        <f>IF(ISNUMBER('週次_媒体別CP'!N85),'週次_媒体別CP'!N85,0)</f>
        <v/>
      </c>
      <c r="G159" s="131">
        <f>IF(ISNUMBER('週次_媒体別CP'!N102),'週次_媒体別CP'!N102,0)</f>
        <v/>
      </c>
      <c r="H159" s="131">
        <f>IF(ISNUMBER('週次_媒体別CP'!N119),'週次_媒体別CP'!N119,0)</f>
        <v/>
      </c>
      <c r="I159" s="131">
        <f>IF(ISNUMBER('週次_媒体別CP'!N137),'週次_媒体別CP'!N137,0)</f>
        <v/>
      </c>
    </row>
    <row r="160">
      <c r="A160" s="129" t="inlineStr">
        <is>
          <t>W13</t>
        </is>
      </c>
      <c r="B160" s="131">
        <f>IF(ISNUMBER('週次_媒体別CP'!N18),'週次_媒体別CP'!N18,0)</f>
        <v/>
      </c>
      <c r="C160" s="131">
        <f>IF(ISNUMBER('週次_媒体別CP'!N35),'週次_媒体別CP'!N35,0)</f>
        <v/>
      </c>
      <c r="D160" s="131">
        <f>IF(ISNUMBER('週次_媒体別CP'!N52),'週次_媒体別CP'!N52,0)</f>
        <v/>
      </c>
      <c r="E160" s="131">
        <f>IF(ISNUMBER('週次_媒体別CP'!N69),'週次_媒体別CP'!N69,0)</f>
        <v/>
      </c>
      <c r="F160" s="131">
        <f>IF(ISNUMBER('週次_媒体別CP'!N86),'週次_媒体別CP'!N86,0)</f>
        <v/>
      </c>
      <c r="G160" s="131">
        <f>IF(ISNUMBER('週次_媒体別CP'!N103),'週次_媒体別CP'!N103,0)</f>
        <v/>
      </c>
      <c r="H160" s="131">
        <f>IF(ISNUMBER('週次_媒体別CP'!N120),'週次_媒体別CP'!N120,0)</f>
        <v/>
      </c>
      <c r="I160" s="131">
        <f>IF(ISNUMBER('週次_媒体別CP'!N138),'週次_媒体別CP'!N138,0)</f>
        <v/>
      </c>
    </row>
    <row r="162">
      <c r="A162" s="136" t="inlineStr">
        <is>
          <t>成約率</t>
        </is>
      </c>
    </row>
    <row r="163">
      <c r="A163" s="127" t="inlineStr">
        <is>
          <t>週</t>
        </is>
      </c>
      <c r="B163" s="128" t="inlineStr">
        <is>
          <t>Meta/ウェビナー</t>
        </is>
      </c>
      <c r="C163" s="128" t="inlineStr">
        <is>
          <t>Meta/介護校</t>
        </is>
      </c>
      <c r="D163" s="128" t="inlineStr">
        <is>
          <t>Meta/Claude</t>
        </is>
      </c>
      <c r="E163" s="128" t="inlineStr">
        <is>
          <t>Google/ウェビナー</t>
        </is>
      </c>
      <c r="F163" s="128" t="inlineStr">
        <is>
          <t>Google/常設</t>
        </is>
      </c>
      <c r="G163" s="128" t="inlineStr">
        <is>
          <t>LINE/ウェビナー</t>
        </is>
      </c>
      <c r="H163" s="128" t="inlineStr">
        <is>
          <t>LINE/常設</t>
        </is>
      </c>
      <c r="I163" s="128" t="inlineStr">
        <is>
          <t>広告外</t>
        </is>
      </c>
    </row>
    <row r="164">
      <c r="A164" s="129" t="inlineStr">
        <is>
          <t>W1</t>
        </is>
      </c>
      <c r="B164" s="132">
        <f>IF(ISNUMBER('週次_媒体別CP'!O6),'週次_媒体別CP'!O6,0)</f>
        <v/>
      </c>
      <c r="C164" s="132">
        <f>IF(ISNUMBER('週次_媒体別CP'!O23),'週次_媒体別CP'!O23,0)</f>
        <v/>
      </c>
      <c r="D164" s="132">
        <f>IF(ISNUMBER('週次_媒体別CP'!O40),'週次_媒体別CP'!O40,0)</f>
        <v/>
      </c>
      <c r="E164" s="132">
        <f>IF(ISNUMBER('週次_媒体別CP'!O57),'週次_媒体別CP'!O57,0)</f>
        <v/>
      </c>
      <c r="F164" s="132">
        <f>IF(ISNUMBER('週次_媒体別CP'!O74),'週次_媒体別CP'!O74,0)</f>
        <v/>
      </c>
      <c r="G164" s="132">
        <f>IF(ISNUMBER('週次_媒体別CP'!O91),'週次_媒体別CP'!O91,0)</f>
        <v/>
      </c>
      <c r="H164" s="132">
        <f>IF(ISNUMBER('週次_媒体別CP'!O108),'週次_媒体別CP'!O108,0)</f>
        <v/>
      </c>
      <c r="I164" s="132">
        <f>IF(ISNUMBER('週次_媒体別CP'!O126),'週次_媒体別CP'!O126,0)</f>
        <v/>
      </c>
    </row>
    <row r="165">
      <c r="A165" s="129" t="inlineStr">
        <is>
          <t>W2</t>
        </is>
      </c>
      <c r="B165" s="132">
        <f>IF(ISNUMBER('週次_媒体別CP'!O7),'週次_媒体別CP'!O7,0)</f>
        <v/>
      </c>
      <c r="C165" s="132">
        <f>IF(ISNUMBER('週次_媒体別CP'!O24),'週次_媒体別CP'!O24,0)</f>
        <v/>
      </c>
      <c r="D165" s="132">
        <f>IF(ISNUMBER('週次_媒体別CP'!O41),'週次_媒体別CP'!O41,0)</f>
        <v/>
      </c>
      <c r="E165" s="132">
        <f>IF(ISNUMBER('週次_媒体別CP'!O58),'週次_媒体別CP'!O58,0)</f>
        <v/>
      </c>
      <c r="F165" s="132">
        <f>IF(ISNUMBER('週次_媒体別CP'!O75),'週次_媒体別CP'!O75,0)</f>
        <v/>
      </c>
      <c r="G165" s="132">
        <f>IF(ISNUMBER('週次_媒体別CP'!O92),'週次_媒体別CP'!O92,0)</f>
        <v/>
      </c>
      <c r="H165" s="132">
        <f>IF(ISNUMBER('週次_媒体別CP'!O109),'週次_媒体別CP'!O109,0)</f>
        <v/>
      </c>
      <c r="I165" s="132">
        <f>IF(ISNUMBER('週次_媒体別CP'!O127),'週次_媒体別CP'!O127,0)</f>
        <v/>
      </c>
    </row>
    <row r="166">
      <c r="A166" s="129" t="inlineStr">
        <is>
          <t>W3</t>
        </is>
      </c>
      <c r="B166" s="132">
        <f>IF(ISNUMBER('週次_媒体別CP'!O8),'週次_媒体別CP'!O8,0)</f>
        <v/>
      </c>
      <c r="C166" s="132">
        <f>IF(ISNUMBER('週次_媒体別CP'!O25),'週次_媒体別CP'!O25,0)</f>
        <v/>
      </c>
      <c r="D166" s="132">
        <f>IF(ISNUMBER('週次_媒体別CP'!O42),'週次_媒体別CP'!O42,0)</f>
        <v/>
      </c>
      <c r="E166" s="132">
        <f>IF(ISNUMBER('週次_媒体別CP'!O59),'週次_媒体別CP'!O59,0)</f>
        <v/>
      </c>
      <c r="F166" s="132">
        <f>IF(ISNUMBER('週次_媒体別CP'!O76),'週次_媒体別CP'!O76,0)</f>
        <v/>
      </c>
      <c r="G166" s="132">
        <f>IF(ISNUMBER('週次_媒体別CP'!O93),'週次_媒体別CP'!O93,0)</f>
        <v/>
      </c>
      <c r="H166" s="132">
        <f>IF(ISNUMBER('週次_媒体別CP'!O110),'週次_媒体別CP'!O110,0)</f>
        <v/>
      </c>
      <c r="I166" s="132">
        <f>IF(ISNUMBER('週次_媒体別CP'!O128),'週次_媒体別CP'!O128,0)</f>
        <v/>
      </c>
    </row>
    <row r="167">
      <c r="A167" s="129" t="inlineStr">
        <is>
          <t>W4</t>
        </is>
      </c>
      <c r="B167" s="132">
        <f>IF(ISNUMBER('週次_媒体別CP'!O9),'週次_媒体別CP'!O9,0)</f>
        <v/>
      </c>
      <c r="C167" s="132">
        <f>IF(ISNUMBER('週次_媒体別CP'!O26),'週次_媒体別CP'!O26,0)</f>
        <v/>
      </c>
      <c r="D167" s="132">
        <f>IF(ISNUMBER('週次_媒体別CP'!O43),'週次_媒体別CP'!O43,0)</f>
        <v/>
      </c>
      <c r="E167" s="132">
        <f>IF(ISNUMBER('週次_媒体別CP'!O60),'週次_媒体別CP'!O60,0)</f>
        <v/>
      </c>
      <c r="F167" s="132">
        <f>IF(ISNUMBER('週次_媒体別CP'!O77),'週次_媒体別CP'!O77,0)</f>
        <v/>
      </c>
      <c r="G167" s="132">
        <f>IF(ISNUMBER('週次_媒体別CP'!O94),'週次_媒体別CP'!O94,0)</f>
        <v/>
      </c>
      <c r="H167" s="132">
        <f>IF(ISNUMBER('週次_媒体別CP'!O111),'週次_媒体別CP'!O111,0)</f>
        <v/>
      </c>
      <c r="I167" s="132">
        <f>IF(ISNUMBER('週次_媒体別CP'!O129),'週次_媒体別CP'!O129,0)</f>
        <v/>
      </c>
    </row>
    <row r="168">
      <c r="A168" s="129" t="inlineStr">
        <is>
          <t>W5</t>
        </is>
      </c>
      <c r="B168" s="132">
        <f>IF(ISNUMBER('週次_媒体別CP'!O10),'週次_媒体別CP'!O10,0)</f>
        <v/>
      </c>
      <c r="C168" s="132">
        <f>IF(ISNUMBER('週次_媒体別CP'!O27),'週次_媒体別CP'!O27,0)</f>
        <v/>
      </c>
      <c r="D168" s="132">
        <f>IF(ISNUMBER('週次_媒体別CP'!O44),'週次_媒体別CP'!O44,0)</f>
        <v/>
      </c>
      <c r="E168" s="132">
        <f>IF(ISNUMBER('週次_媒体別CP'!O61),'週次_媒体別CP'!O61,0)</f>
        <v/>
      </c>
      <c r="F168" s="132">
        <f>IF(ISNUMBER('週次_媒体別CP'!O78),'週次_媒体別CP'!O78,0)</f>
        <v/>
      </c>
      <c r="G168" s="132">
        <f>IF(ISNUMBER('週次_媒体別CP'!O95),'週次_媒体別CP'!O95,0)</f>
        <v/>
      </c>
      <c r="H168" s="132">
        <f>IF(ISNUMBER('週次_媒体別CP'!O112),'週次_媒体別CP'!O112,0)</f>
        <v/>
      </c>
      <c r="I168" s="132">
        <f>IF(ISNUMBER('週次_媒体別CP'!O130),'週次_媒体別CP'!O130,0)</f>
        <v/>
      </c>
    </row>
    <row r="169">
      <c r="A169" s="129" t="inlineStr">
        <is>
          <t>W6</t>
        </is>
      </c>
      <c r="B169" s="132">
        <f>IF(ISNUMBER('週次_媒体別CP'!O11),'週次_媒体別CP'!O11,0)</f>
        <v/>
      </c>
      <c r="C169" s="132">
        <f>IF(ISNUMBER('週次_媒体別CP'!O28),'週次_媒体別CP'!O28,0)</f>
        <v/>
      </c>
      <c r="D169" s="132">
        <f>IF(ISNUMBER('週次_媒体別CP'!O45),'週次_媒体別CP'!O45,0)</f>
        <v/>
      </c>
      <c r="E169" s="132">
        <f>IF(ISNUMBER('週次_媒体別CP'!O62),'週次_媒体別CP'!O62,0)</f>
        <v/>
      </c>
      <c r="F169" s="132">
        <f>IF(ISNUMBER('週次_媒体別CP'!O79),'週次_媒体別CP'!O79,0)</f>
        <v/>
      </c>
      <c r="G169" s="132">
        <f>IF(ISNUMBER('週次_媒体別CP'!O96),'週次_媒体別CP'!O96,0)</f>
        <v/>
      </c>
      <c r="H169" s="132">
        <f>IF(ISNUMBER('週次_媒体別CP'!O113),'週次_媒体別CP'!O113,0)</f>
        <v/>
      </c>
      <c r="I169" s="132">
        <f>IF(ISNUMBER('週次_媒体別CP'!O131),'週次_媒体別CP'!O131,0)</f>
        <v/>
      </c>
    </row>
    <row r="170">
      <c r="A170" s="129" t="inlineStr">
        <is>
          <t>W7</t>
        </is>
      </c>
      <c r="B170" s="132">
        <f>IF(ISNUMBER('週次_媒体別CP'!O12),'週次_媒体別CP'!O12,0)</f>
        <v/>
      </c>
      <c r="C170" s="132">
        <f>IF(ISNUMBER('週次_媒体別CP'!O29),'週次_媒体別CP'!O29,0)</f>
        <v/>
      </c>
      <c r="D170" s="132">
        <f>IF(ISNUMBER('週次_媒体別CP'!O46),'週次_媒体別CP'!O46,0)</f>
        <v/>
      </c>
      <c r="E170" s="132">
        <f>IF(ISNUMBER('週次_媒体別CP'!O63),'週次_媒体別CP'!O63,0)</f>
        <v/>
      </c>
      <c r="F170" s="132">
        <f>IF(ISNUMBER('週次_媒体別CP'!O80),'週次_媒体別CP'!O80,0)</f>
        <v/>
      </c>
      <c r="G170" s="132">
        <f>IF(ISNUMBER('週次_媒体別CP'!O97),'週次_媒体別CP'!O97,0)</f>
        <v/>
      </c>
      <c r="H170" s="132">
        <f>IF(ISNUMBER('週次_媒体別CP'!O114),'週次_媒体別CP'!O114,0)</f>
        <v/>
      </c>
      <c r="I170" s="132">
        <f>IF(ISNUMBER('週次_媒体別CP'!O132),'週次_媒体別CP'!O132,0)</f>
        <v/>
      </c>
    </row>
    <row r="171">
      <c r="A171" s="129" t="inlineStr">
        <is>
          <t>W8</t>
        </is>
      </c>
      <c r="B171" s="132">
        <f>IF(ISNUMBER('週次_媒体別CP'!O13),'週次_媒体別CP'!O13,0)</f>
        <v/>
      </c>
      <c r="C171" s="132">
        <f>IF(ISNUMBER('週次_媒体別CP'!O30),'週次_媒体別CP'!O30,0)</f>
        <v/>
      </c>
      <c r="D171" s="132">
        <f>IF(ISNUMBER('週次_媒体別CP'!O47),'週次_媒体別CP'!O47,0)</f>
        <v/>
      </c>
      <c r="E171" s="132">
        <f>IF(ISNUMBER('週次_媒体別CP'!O64),'週次_媒体別CP'!O64,0)</f>
        <v/>
      </c>
      <c r="F171" s="132">
        <f>IF(ISNUMBER('週次_媒体別CP'!O81),'週次_媒体別CP'!O81,0)</f>
        <v/>
      </c>
      <c r="G171" s="132">
        <f>IF(ISNUMBER('週次_媒体別CP'!O98),'週次_媒体別CP'!O98,0)</f>
        <v/>
      </c>
      <c r="H171" s="132">
        <f>IF(ISNUMBER('週次_媒体別CP'!O115),'週次_媒体別CP'!O115,0)</f>
        <v/>
      </c>
      <c r="I171" s="132">
        <f>IF(ISNUMBER('週次_媒体別CP'!O133),'週次_媒体別CP'!O133,0)</f>
        <v/>
      </c>
    </row>
    <row r="172">
      <c r="A172" s="129" t="inlineStr">
        <is>
          <t>W9</t>
        </is>
      </c>
      <c r="B172" s="132">
        <f>IF(ISNUMBER('週次_媒体別CP'!O14),'週次_媒体別CP'!O14,0)</f>
        <v/>
      </c>
      <c r="C172" s="132">
        <f>IF(ISNUMBER('週次_媒体別CP'!O31),'週次_媒体別CP'!O31,0)</f>
        <v/>
      </c>
      <c r="D172" s="132">
        <f>IF(ISNUMBER('週次_媒体別CP'!O48),'週次_媒体別CP'!O48,0)</f>
        <v/>
      </c>
      <c r="E172" s="132">
        <f>IF(ISNUMBER('週次_媒体別CP'!O65),'週次_媒体別CP'!O65,0)</f>
        <v/>
      </c>
      <c r="F172" s="132">
        <f>IF(ISNUMBER('週次_媒体別CP'!O82),'週次_媒体別CP'!O82,0)</f>
        <v/>
      </c>
      <c r="G172" s="132">
        <f>IF(ISNUMBER('週次_媒体別CP'!O99),'週次_媒体別CP'!O99,0)</f>
        <v/>
      </c>
      <c r="H172" s="132">
        <f>IF(ISNUMBER('週次_媒体別CP'!O116),'週次_媒体別CP'!O116,0)</f>
        <v/>
      </c>
      <c r="I172" s="132">
        <f>IF(ISNUMBER('週次_媒体別CP'!O134),'週次_媒体別CP'!O134,0)</f>
        <v/>
      </c>
    </row>
    <row r="173">
      <c r="A173" s="129" t="inlineStr">
        <is>
          <t>W10</t>
        </is>
      </c>
      <c r="B173" s="132">
        <f>IF(ISNUMBER('週次_媒体別CP'!O15),'週次_媒体別CP'!O15,0)</f>
        <v/>
      </c>
      <c r="C173" s="132">
        <f>IF(ISNUMBER('週次_媒体別CP'!O32),'週次_媒体別CP'!O32,0)</f>
        <v/>
      </c>
      <c r="D173" s="132">
        <f>IF(ISNUMBER('週次_媒体別CP'!O49),'週次_媒体別CP'!O49,0)</f>
        <v/>
      </c>
      <c r="E173" s="132">
        <f>IF(ISNUMBER('週次_媒体別CP'!O66),'週次_媒体別CP'!O66,0)</f>
        <v/>
      </c>
      <c r="F173" s="132">
        <f>IF(ISNUMBER('週次_媒体別CP'!O83),'週次_媒体別CP'!O83,0)</f>
        <v/>
      </c>
      <c r="G173" s="132">
        <f>IF(ISNUMBER('週次_媒体別CP'!O100),'週次_媒体別CP'!O100,0)</f>
        <v/>
      </c>
      <c r="H173" s="132">
        <f>IF(ISNUMBER('週次_媒体別CP'!O117),'週次_媒体別CP'!O117,0)</f>
        <v/>
      </c>
      <c r="I173" s="132">
        <f>IF(ISNUMBER('週次_媒体別CP'!O135),'週次_媒体別CP'!O135,0)</f>
        <v/>
      </c>
    </row>
    <row r="174">
      <c r="A174" s="129" t="inlineStr">
        <is>
          <t>W11</t>
        </is>
      </c>
      <c r="B174" s="132">
        <f>IF(ISNUMBER('週次_媒体別CP'!O16),'週次_媒体別CP'!O16,0)</f>
        <v/>
      </c>
      <c r="C174" s="132">
        <f>IF(ISNUMBER('週次_媒体別CP'!O33),'週次_媒体別CP'!O33,0)</f>
        <v/>
      </c>
      <c r="D174" s="132">
        <f>IF(ISNUMBER('週次_媒体別CP'!O50),'週次_媒体別CP'!O50,0)</f>
        <v/>
      </c>
      <c r="E174" s="132">
        <f>IF(ISNUMBER('週次_媒体別CP'!O67),'週次_媒体別CP'!O67,0)</f>
        <v/>
      </c>
      <c r="F174" s="132">
        <f>IF(ISNUMBER('週次_媒体別CP'!O84),'週次_媒体別CP'!O84,0)</f>
        <v/>
      </c>
      <c r="G174" s="132">
        <f>IF(ISNUMBER('週次_媒体別CP'!O101),'週次_媒体別CP'!O101,0)</f>
        <v/>
      </c>
      <c r="H174" s="132">
        <f>IF(ISNUMBER('週次_媒体別CP'!O118),'週次_媒体別CP'!O118,0)</f>
        <v/>
      </c>
      <c r="I174" s="132">
        <f>IF(ISNUMBER('週次_媒体別CP'!O136),'週次_媒体別CP'!O136,0)</f>
        <v/>
      </c>
    </row>
    <row r="175">
      <c r="A175" s="129" t="inlineStr">
        <is>
          <t>W12</t>
        </is>
      </c>
      <c r="B175" s="132">
        <f>IF(ISNUMBER('週次_媒体別CP'!O17),'週次_媒体別CP'!O17,0)</f>
        <v/>
      </c>
      <c r="C175" s="132">
        <f>IF(ISNUMBER('週次_媒体別CP'!O34),'週次_媒体別CP'!O34,0)</f>
        <v/>
      </c>
      <c r="D175" s="132">
        <f>IF(ISNUMBER('週次_媒体別CP'!O51),'週次_媒体別CP'!O51,0)</f>
        <v/>
      </c>
      <c r="E175" s="132">
        <f>IF(ISNUMBER('週次_媒体別CP'!O68),'週次_媒体別CP'!O68,0)</f>
        <v/>
      </c>
      <c r="F175" s="132">
        <f>IF(ISNUMBER('週次_媒体別CP'!O85),'週次_媒体別CP'!O85,0)</f>
        <v/>
      </c>
      <c r="G175" s="132">
        <f>IF(ISNUMBER('週次_媒体別CP'!O102),'週次_媒体別CP'!O102,0)</f>
        <v/>
      </c>
      <c r="H175" s="132">
        <f>IF(ISNUMBER('週次_媒体別CP'!O119),'週次_媒体別CP'!O119,0)</f>
        <v/>
      </c>
      <c r="I175" s="132">
        <f>IF(ISNUMBER('週次_媒体別CP'!O137),'週次_媒体別CP'!O137,0)</f>
        <v/>
      </c>
    </row>
    <row r="176">
      <c r="A176" s="129" t="inlineStr">
        <is>
          <t>W13</t>
        </is>
      </c>
      <c r="B176" s="132">
        <f>IF(ISNUMBER('週次_媒体別CP'!O18),'週次_媒体別CP'!O18,0)</f>
        <v/>
      </c>
      <c r="C176" s="132">
        <f>IF(ISNUMBER('週次_媒体別CP'!O35),'週次_媒体別CP'!O35,0)</f>
        <v/>
      </c>
      <c r="D176" s="132">
        <f>IF(ISNUMBER('週次_媒体別CP'!O52),'週次_媒体別CP'!O52,0)</f>
        <v/>
      </c>
      <c r="E176" s="132">
        <f>IF(ISNUMBER('週次_媒体別CP'!O69),'週次_媒体別CP'!O69,0)</f>
        <v/>
      </c>
      <c r="F176" s="132">
        <f>IF(ISNUMBER('週次_媒体別CP'!O86),'週次_媒体別CP'!O86,0)</f>
        <v/>
      </c>
      <c r="G176" s="132">
        <f>IF(ISNUMBER('週次_媒体別CP'!O103),'週次_媒体別CP'!O103,0)</f>
        <v/>
      </c>
      <c r="H176" s="132">
        <f>IF(ISNUMBER('週次_媒体別CP'!O120),'週次_媒体別CP'!O120,0)</f>
        <v/>
      </c>
      <c r="I176" s="132">
        <f>IF(ISNUMBER('週次_媒体別CP'!O138),'週次_媒体別CP'!O138,0)</f>
        <v/>
      </c>
    </row>
    <row r="178">
      <c r="A178" s="136" t="inlineStr">
        <is>
          <t>余裕倍率</t>
        </is>
      </c>
    </row>
    <row r="179">
      <c r="A179" s="127" t="inlineStr">
        <is>
          <t>週</t>
        </is>
      </c>
      <c r="B179" s="128" t="inlineStr">
        <is>
          <t>Meta/ウェビナー</t>
        </is>
      </c>
      <c r="C179" s="128" t="inlineStr">
        <is>
          <t>Meta/介護校</t>
        </is>
      </c>
      <c r="D179" s="128" t="inlineStr">
        <is>
          <t>Meta/Claude</t>
        </is>
      </c>
      <c r="E179" s="128" t="inlineStr">
        <is>
          <t>Google/ウェビナー</t>
        </is>
      </c>
      <c r="F179" s="128" t="inlineStr">
        <is>
          <t>Google/常設</t>
        </is>
      </c>
      <c r="G179" s="128" t="inlineStr">
        <is>
          <t>LINE/ウェビナー</t>
        </is>
      </c>
      <c r="H179" s="128" t="inlineStr">
        <is>
          <t>LINE/常設</t>
        </is>
      </c>
    </row>
    <row r="180">
      <c r="A180" s="129" t="inlineStr">
        <is>
          <t>W1</t>
        </is>
      </c>
      <c r="B180" s="208">
        <f>IF(ISNUMBER('週次_媒体別CP'!R6),'週次_媒体別CP'!R6,0)</f>
        <v/>
      </c>
      <c r="C180" s="208">
        <f>IF(ISNUMBER('週次_媒体別CP'!R23),'週次_媒体別CP'!R23,0)</f>
        <v/>
      </c>
      <c r="D180" s="208">
        <f>IF(ISNUMBER('週次_媒体別CP'!R40),'週次_媒体別CP'!R40,0)</f>
        <v/>
      </c>
      <c r="E180" s="208">
        <f>IF(ISNUMBER('週次_媒体別CP'!R57),'週次_媒体別CP'!R57,0)</f>
        <v/>
      </c>
      <c r="F180" s="208">
        <f>IF(ISNUMBER('週次_媒体別CP'!R74),'週次_媒体別CP'!R74,0)</f>
        <v/>
      </c>
      <c r="G180" s="208">
        <f>IF(ISNUMBER('週次_媒体別CP'!R91),'週次_媒体別CP'!R91,0)</f>
        <v/>
      </c>
      <c r="H180" s="208">
        <f>IF(ISNUMBER('週次_媒体別CP'!R108),'週次_媒体別CP'!R108,0)</f>
        <v/>
      </c>
    </row>
    <row r="181">
      <c r="A181" s="129" t="inlineStr">
        <is>
          <t>W2</t>
        </is>
      </c>
      <c r="B181" s="208">
        <f>IF(ISNUMBER('週次_媒体別CP'!R7),'週次_媒体別CP'!R7,0)</f>
        <v/>
      </c>
      <c r="C181" s="208">
        <f>IF(ISNUMBER('週次_媒体別CP'!R24),'週次_媒体別CP'!R24,0)</f>
        <v/>
      </c>
      <c r="D181" s="208">
        <f>IF(ISNUMBER('週次_媒体別CP'!R41),'週次_媒体別CP'!R41,0)</f>
        <v/>
      </c>
      <c r="E181" s="208">
        <f>IF(ISNUMBER('週次_媒体別CP'!R58),'週次_媒体別CP'!R58,0)</f>
        <v/>
      </c>
      <c r="F181" s="208">
        <f>IF(ISNUMBER('週次_媒体別CP'!R75),'週次_媒体別CP'!R75,0)</f>
        <v/>
      </c>
      <c r="G181" s="208">
        <f>IF(ISNUMBER('週次_媒体別CP'!R92),'週次_媒体別CP'!R92,0)</f>
        <v/>
      </c>
      <c r="H181" s="208">
        <f>IF(ISNUMBER('週次_媒体別CP'!R109),'週次_媒体別CP'!R109,0)</f>
        <v/>
      </c>
    </row>
    <row r="182">
      <c r="A182" s="129" t="inlineStr">
        <is>
          <t>W3</t>
        </is>
      </c>
      <c r="B182" s="208">
        <f>IF(ISNUMBER('週次_媒体別CP'!R8),'週次_媒体別CP'!R8,0)</f>
        <v/>
      </c>
      <c r="C182" s="208">
        <f>IF(ISNUMBER('週次_媒体別CP'!R25),'週次_媒体別CP'!R25,0)</f>
        <v/>
      </c>
      <c r="D182" s="208">
        <f>IF(ISNUMBER('週次_媒体別CP'!R42),'週次_媒体別CP'!R42,0)</f>
        <v/>
      </c>
      <c r="E182" s="208">
        <f>IF(ISNUMBER('週次_媒体別CP'!R59),'週次_媒体別CP'!R59,0)</f>
        <v/>
      </c>
      <c r="F182" s="208">
        <f>IF(ISNUMBER('週次_媒体別CP'!R76),'週次_媒体別CP'!R76,0)</f>
        <v/>
      </c>
      <c r="G182" s="208">
        <f>IF(ISNUMBER('週次_媒体別CP'!R93),'週次_媒体別CP'!R93,0)</f>
        <v/>
      </c>
      <c r="H182" s="208">
        <f>IF(ISNUMBER('週次_媒体別CP'!R110),'週次_媒体別CP'!R110,0)</f>
        <v/>
      </c>
    </row>
    <row r="183">
      <c r="A183" s="129" t="inlineStr">
        <is>
          <t>W4</t>
        </is>
      </c>
      <c r="B183" s="208">
        <f>IF(ISNUMBER('週次_媒体別CP'!R9),'週次_媒体別CP'!R9,0)</f>
        <v/>
      </c>
      <c r="C183" s="208">
        <f>IF(ISNUMBER('週次_媒体別CP'!R26),'週次_媒体別CP'!R26,0)</f>
        <v/>
      </c>
      <c r="D183" s="208">
        <f>IF(ISNUMBER('週次_媒体別CP'!R43),'週次_媒体別CP'!R43,0)</f>
        <v/>
      </c>
      <c r="E183" s="208">
        <f>IF(ISNUMBER('週次_媒体別CP'!R60),'週次_媒体別CP'!R60,0)</f>
        <v/>
      </c>
      <c r="F183" s="208">
        <f>IF(ISNUMBER('週次_媒体別CP'!R77),'週次_媒体別CP'!R77,0)</f>
        <v/>
      </c>
      <c r="G183" s="208">
        <f>IF(ISNUMBER('週次_媒体別CP'!R94),'週次_媒体別CP'!R94,0)</f>
        <v/>
      </c>
      <c r="H183" s="208">
        <f>IF(ISNUMBER('週次_媒体別CP'!R111),'週次_媒体別CP'!R111,0)</f>
        <v/>
      </c>
    </row>
    <row r="184">
      <c r="A184" s="129" t="inlineStr">
        <is>
          <t>W5</t>
        </is>
      </c>
      <c r="B184" s="208">
        <f>IF(ISNUMBER('週次_媒体別CP'!R10),'週次_媒体別CP'!R10,0)</f>
        <v/>
      </c>
      <c r="C184" s="208">
        <f>IF(ISNUMBER('週次_媒体別CP'!R27),'週次_媒体別CP'!R27,0)</f>
        <v/>
      </c>
      <c r="D184" s="208">
        <f>IF(ISNUMBER('週次_媒体別CP'!R44),'週次_媒体別CP'!R44,0)</f>
        <v/>
      </c>
      <c r="E184" s="208">
        <f>IF(ISNUMBER('週次_媒体別CP'!R61),'週次_媒体別CP'!R61,0)</f>
        <v/>
      </c>
      <c r="F184" s="208">
        <f>IF(ISNUMBER('週次_媒体別CP'!R78),'週次_媒体別CP'!R78,0)</f>
        <v/>
      </c>
      <c r="G184" s="208">
        <f>IF(ISNUMBER('週次_媒体別CP'!R95),'週次_媒体別CP'!R95,0)</f>
        <v/>
      </c>
      <c r="H184" s="208">
        <f>IF(ISNUMBER('週次_媒体別CP'!R112),'週次_媒体別CP'!R112,0)</f>
        <v/>
      </c>
    </row>
    <row r="185">
      <c r="A185" s="129" t="inlineStr">
        <is>
          <t>W6</t>
        </is>
      </c>
      <c r="B185" s="208">
        <f>IF(ISNUMBER('週次_媒体別CP'!R11),'週次_媒体別CP'!R11,0)</f>
        <v/>
      </c>
      <c r="C185" s="208">
        <f>IF(ISNUMBER('週次_媒体別CP'!R28),'週次_媒体別CP'!R28,0)</f>
        <v/>
      </c>
      <c r="D185" s="208">
        <f>IF(ISNUMBER('週次_媒体別CP'!R45),'週次_媒体別CP'!R45,0)</f>
        <v/>
      </c>
      <c r="E185" s="208">
        <f>IF(ISNUMBER('週次_媒体別CP'!R62),'週次_媒体別CP'!R62,0)</f>
        <v/>
      </c>
      <c r="F185" s="208">
        <f>IF(ISNUMBER('週次_媒体別CP'!R79),'週次_媒体別CP'!R79,0)</f>
        <v/>
      </c>
      <c r="G185" s="208">
        <f>IF(ISNUMBER('週次_媒体別CP'!R96),'週次_媒体別CP'!R96,0)</f>
        <v/>
      </c>
      <c r="H185" s="208">
        <f>IF(ISNUMBER('週次_媒体別CP'!R113),'週次_媒体別CP'!R113,0)</f>
        <v/>
      </c>
    </row>
    <row r="186">
      <c r="A186" s="129" t="inlineStr">
        <is>
          <t>W7</t>
        </is>
      </c>
      <c r="B186" s="208">
        <f>IF(ISNUMBER('週次_媒体別CP'!R12),'週次_媒体別CP'!R12,0)</f>
        <v/>
      </c>
      <c r="C186" s="208">
        <f>IF(ISNUMBER('週次_媒体別CP'!R29),'週次_媒体別CP'!R29,0)</f>
        <v/>
      </c>
      <c r="D186" s="208">
        <f>IF(ISNUMBER('週次_媒体別CP'!R46),'週次_媒体別CP'!R46,0)</f>
        <v/>
      </c>
      <c r="E186" s="208">
        <f>IF(ISNUMBER('週次_媒体別CP'!R63),'週次_媒体別CP'!R63,0)</f>
        <v/>
      </c>
      <c r="F186" s="208">
        <f>IF(ISNUMBER('週次_媒体別CP'!R80),'週次_媒体別CP'!R80,0)</f>
        <v/>
      </c>
      <c r="G186" s="208">
        <f>IF(ISNUMBER('週次_媒体別CP'!R97),'週次_媒体別CP'!R97,0)</f>
        <v/>
      </c>
      <c r="H186" s="208">
        <f>IF(ISNUMBER('週次_媒体別CP'!R114),'週次_媒体別CP'!R114,0)</f>
        <v/>
      </c>
    </row>
    <row r="187">
      <c r="A187" s="129" t="inlineStr">
        <is>
          <t>W8</t>
        </is>
      </c>
      <c r="B187" s="208">
        <f>IF(ISNUMBER('週次_媒体別CP'!R13),'週次_媒体別CP'!R13,0)</f>
        <v/>
      </c>
      <c r="C187" s="208">
        <f>IF(ISNUMBER('週次_媒体別CP'!R30),'週次_媒体別CP'!R30,0)</f>
        <v/>
      </c>
      <c r="D187" s="208">
        <f>IF(ISNUMBER('週次_媒体別CP'!R47),'週次_媒体別CP'!R47,0)</f>
        <v/>
      </c>
      <c r="E187" s="208">
        <f>IF(ISNUMBER('週次_媒体別CP'!R64),'週次_媒体別CP'!R64,0)</f>
        <v/>
      </c>
      <c r="F187" s="208">
        <f>IF(ISNUMBER('週次_媒体別CP'!R81),'週次_媒体別CP'!R81,0)</f>
        <v/>
      </c>
      <c r="G187" s="208">
        <f>IF(ISNUMBER('週次_媒体別CP'!R98),'週次_媒体別CP'!R98,0)</f>
        <v/>
      </c>
      <c r="H187" s="208">
        <f>IF(ISNUMBER('週次_媒体別CP'!R115),'週次_媒体別CP'!R115,0)</f>
        <v/>
      </c>
    </row>
    <row r="188">
      <c r="A188" s="129" t="inlineStr">
        <is>
          <t>W9</t>
        </is>
      </c>
      <c r="B188" s="208">
        <f>IF(ISNUMBER('週次_媒体別CP'!R14),'週次_媒体別CP'!R14,0)</f>
        <v/>
      </c>
      <c r="C188" s="208">
        <f>IF(ISNUMBER('週次_媒体別CP'!R31),'週次_媒体別CP'!R31,0)</f>
        <v/>
      </c>
      <c r="D188" s="208">
        <f>IF(ISNUMBER('週次_媒体別CP'!R48),'週次_媒体別CP'!R48,0)</f>
        <v/>
      </c>
      <c r="E188" s="208">
        <f>IF(ISNUMBER('週次_媒体別CP'!R65),'週次_媒体別CP'!R65,0)</f>
        <v/>
      </c>
      <c r="F188" s="208">
        <f>IF(ISNUMBER('週次_媒体別CP'!R82),'週次_媒体別CP'!R82,0)</f>
        <v/>
      </c>
      <c r="G188" s="208">
        <f>IF(ISNUMBER('週次_媒体別CP'!R99),'週次_媒体別CP'!R99,0)</f>
        <v/>
      </c>
      <c r="H188" s="208">
        <f>IF(ISNUMBER('週次_媒体別CP'!R116),'週次_媒体別CP'!R116,0)</f>
        <v/>
      </c>
    </row>
    <row r="189">
      <c r="A189" s="129" t="inlineStr">
        <is>
          <t>W10</t>
        </is>
      </c>
      <c r="B189" s="208">
        <f>IF(ISNUMBER('週次_媒体別CP'!R15),'週次_媒体別CP'!R15,0)</f>
        <v/>
      </c>
      <c r="C189" s="208">
        <f>IF(ISNUMBER('週次_媒体別CP'!R32),'週次_媒体別CP'!R32,0)</f>
        <v/>
      </c>
      <c r="D189" s="208">
        <f>IF(ISNUMBER('週次_媒体別CP'!R49),'週次_媒体別CP'!R49,0)</f>
        <v/>
      </c>
      <c r="E189" s="208">
        <f>IF(ISNUMBER('週次_媒体別CP'!R66),'週次_媒体別CP'!R66,0)</f>
        <v/>
      </c>
      <c r="F189" s="208">
        <f>IF(ISNUMBER('週次_媒体別CP'!R83),'週次_媒体別CP'!R83,0)</f>
        <v/>
      </c>
      <c r="G189" s="208">
        <f>IF(ISNUMBER('週次_媒体別CP'!R100),'週次_媒体別CP'!R100,0)</f>
        <v/>
      </c>
      <c r="H189" s="208">
        <f>IF(ISNUMBER('週次_媒体別CP'!R117),'週次_媒体別CP'!R117,0)</f>
        <v/>
      </c>
    </row>
    <row r="190">
      <c r="A190" s="129" t="inlineStr">
        <is>
          <t>W11</t>
        </is>
      </c>
      <c r="B190" s="208">
        <f>IF(ISNUMBER('週次_媒体別CP'!R16),'週次_媒体別CP'!R16,0)</f>
        <v/>
      </c>
      <c r="C190" s="208">
        <f>IF(ISNUMBER('週次_媒体別CP'!R33),'週次_媒体別CP'!R33,0)</f>
        <v/>
      </c>
      <c r="D190" s="208">
        <f>IF(ISNUMBER('週次_媒体別CP'!R50),'週次_媒体別CP'!R50,0)</f>
        <v/>
      </c>
      <c r="E190" s="208">
        <f>IF(ISNUMBER('週次_媒体別CP'!R67),'週次_媒体別CP'!R67,0)</f>
        <v/>
      </c>
      <c r="F190" s="208">
        <f>IF(ISNUMBER('週次_媒体別CP'!R84),'週次_媒体別CP'!R84,0)</f>
        <v/>
      </c>
      <c r="G190" s="208">
        <f>IF(ISNUMBER('週次_媒体別CP'!R101),'週次_媒体別CP'!R101,0)</f>
        <v/>
      </c>
      <c r="H190" s="208">
        <f>IF(ISNUMBER('週次_媒体別CP'!R118),'週次_媒体別CP'!R118,0)</f>
        <v/>
      </c>
    </row>
    <row r="191">
      <c r="A191" s="129" t="inlineStr">
        <is>
          <t>W12</t>
        </is>
      </c>
      <c r="B191" s="208">
        <f>IF(ISNUMBER('週次_媒体別CP'!R17),'週次_媒体別CP'!R17,0)</f>
        <v/>
      </c>
      <c r="C191" s="208">
        <f>IF(ISNUMBER('週次_媒体別CP'!R34),'週次_媒体別CP'!R34,0)</f>
        <v/>
      </c>
      <c r="D191" s="208">
        <f>IF(ISNUMBER('週次_媒体別CP'!R51),'週次_媒体別CP'!R51,0)</f>
        <v/>
      </c>
      <c r="E191" s="208">
        <f>IF(ISNUMBER('週次_媒体別CP'!R68),'週次_媒体別CP'!R68,0)</f>
        <v/>
      </c>
      <c r="F191" s="208">
        <f>IF(ISNUMBER('週次_媒体別CP'!R85),'週次_媒体別CP'!R85,0)</f>
        <v/>
      </c>
      <c r="G191" s="208">
        <f>IF(ISNUMBER('週次_媒体別CP'!R102),'週次_媒体別CP'!R102,0)</f>
        <v/>
      </c>
      <c r="H191" s="208">
        <f>IF(ISNUMBER('週次_媒体別CP'!R119),'週次_媒体別CP'!R119,0)</f>
        <v/>
      </c>
    </row>
    <row r="192">
      <c r="A192" s="129" t="inlineStr">
        <is>
          <t>W13</t>
        </is>
      </c>
      <c r="B192" s="208">
        <f>IF(ISNUMBER('週次_媒体別CP'!R18),'週次_媒体別CP'!R18,0)</f>
        <v/>
      </c>
      <c r="C192" s="208">
        <f>IF(ISNUMBER('週次_媒体別CP'!R35),'週次_媒体別CP'!R35,0)</f>
        <v/>
      </c>
      <c r="D192" s="208">
        <f>IF(ISNUMBER('週次_媒体別CP'!R52),'週次_媒体別CP'!R52,0)</f>
        <v/>
      </c>
      <c r="E192" s="208">
        <f>IF(ISNUMBER('週次_媒体別CP'!R69),'週次_媒体別CP'!R69,0)</f>
        <v/>
      </c>
      <c r="F192" s="208">
        <f>IF(ISNUMBER('週次_媒体別CP'!R86),'週次_媒体別CP'!R86,0)</f>
        <v/>
      </c>
      <c r="G192" s="208">
        <f>IF(ISNUMBER('週次_媒体別CP'!R103),'週次_媒体別CP'!R103,0)</f>
        <v/>
      </c>
      <c r="H192" s="208">
        <f>IF(ISNUMBER('週次_媒体別CP'!R120),'週次_媒体別CP'!R120,0)</f>
        <v/>
      </c>
    </row>
  </sheetData>
  <mergeCells count="1">
    <mergeCell ref="A1:I1"/>
  </mergeCells>
  <conditionalFormatting sqref="B1:I220">
    <cfRule type="expression" priority="1" dxfId="0">
      <formula>ISNA(B1)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0" workbookViewId="0">
      <selection activeCell="A1" sqref="A1"/>
    </sheetView>
  </sheetViews>
  <sheetFormatPr baseColWidth="8" defaultRowHeight="15"/>
  <sheetData>
    <row r="1" ht="24" customHeight="1" s="68">
      <c r="A1" s="134" t="inlineStr">
        <is>
          <t>媒体×キャンペーン 週次推移（自動更新）</t>
        </is>
      </c>
    </row>
  </sheetData>
  <mergeCells count="1">
    <mergeCell ref="A1:T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2026-06-10T03:01:44Z</dcterms:created>
  <dcterms:modified xmlns:dcterms="http://purl.org/dc/terms/" xmlns:xsi="http://www.w3.org/2001/XMLSchema-instance" xsi:type="dcterms:W3CDTF">2026-06-12T10:05:09Z</dcterms:modified>
  <cp:revision>3</cp:revision>
</cp:coreProperties>
</file>